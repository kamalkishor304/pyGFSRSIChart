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3.xml" ContentType="application/vnd.openxmlformats-officedocument.spreadsheetml.table+xml"/>
  <Override PartName="/xl/pivotTables/pivotTable14.xml" ContentType="application/vnd.openxmlformats-officedocument.spreadsheetml.pivot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ivotTables/pivotTable15.xml" ContentType="application/vnd.openxmlformats-officedocument.spreadsheetml.pivot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tables/table7.xml" ContentType="application/vnd.openxmlformats-officedocument.spreadsheetml.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tables/table8.xml" ContentType="application/vnd.openxmlformats-officedocument.spreadsheetml.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1.xml" ContentType="application/vnd.openxmlformats-officedocument.drawing+xml"/>
  <Override PartName="/xl/pivotTables/pivotTable30.xml" ContentType="application/vnd.openxmlformats-officedocument.spreadsheetml.pivotTab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pivotTables/pivotTable31.xml" ContentType="application/vnd.openxmlformats-officedocument.spreadsheetml.pivot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s\pyGFSRSIChart\git_repo_testing\pyGFSRSIChart\"/>
    </mc:Choice>
  </mc:AlternateContent>
  <xr:revisionPtr revIDLastSave="0" documentId="13_ncr:20001_{F460723A-EFD0-4D42-9CAB-F60DFF256E2B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PIVOT" sheetId="1" r:id="rId1"/>
    <sheet name="Equity_Trade-2025" sheetId="2" r:id="rId2"/>
    <sheet name="Dashrathlal" sheetId="3" r:id="rId3"/>
    <sheet name="Ramkishor" sheetId="4" r:id="rId4"/>
    <sheet name="Rashmi" sheetId="5" r:id="rId5"/>
    <sheet name="Aishwarya" sheetId="6" r:id="rId6"/>
    <sheet name="Sudhadevi" sheetId="7" r:id="rId7"/>
    <sheet name="Long Term Holiding" sheetId="8" r:id="rId8"/>
    <sheet name="Dividend" sheetId="9" r:id="rId9"/>
    <sheet name="Equity_Trade-2024" sheetId="10" r:id="rId10"/>
    <sheet name="Equity_Trade-2023" sheetId="11" r:id="rId11"/>
    <sheet name="Equity_Trade-2022" sheetId="12" r:id="rId12"/>
    <sheet name="Equity_Trade_2021" sheetId="13" r:id="rId13"/>
    <sheet name="Long Term Holiding-" sheetId="14" r:id="rId14"/>
    <sheet name="3 yaar" sheetId="15" r:id="rId15"/>
  </sheets>
  <definedNames>
    <definedName name="_xlnm._FilterDatabase" localSheetId="2" hidden="1">Dashrathlal!$A$1:$AB$53</definedName>
    <definedName name="_xlnm._FilterDatabase" localSheetId="8" hidden="1">Dividend!$A$1:$E$87</definedName>
    <definedName name="_xlnm._FilterDatabase" localSheetId="12" hidden="1">Equity_Trade_2021!$A$1:$Y$54</definedName>
    <definedName name="_xlnm._FilterDatabase" localSheetId="11" hidden="1">'Equity_Trade-2022'!$A$1:$Y$28</definedName>
    <definedName name="_xlnm._FilterDatabase" localSheetId="9" hidden="1">'Equity_Trade-2024'!$A$1:$AB$53</definedName>
    <definedName name="_xlnm._FilterDatabase" localSheetId="1" hidden="1">'Equity_Trade-2025'!$A$1:$AB$53</definedName>
    <definedName name="_xlnm._FilterDatabase" localSheetId="7" hidden="1">'Long Term Holiding'!$A$1:$AC$103</definedName>
    <definedName name="_xlnm._FilterDatabase" localSheetId="13" hidden="1">'Long Term Holiding-'!$A$1:$X$15</definedName>
    <definedName name="_xlnm._FilterDatabase" localSheetId="3" hidden="1">Ramkishor!$A$1:$AB$53</definedName>
    <definedName name="_xlnm._FilterDatabase" localSheetId="4" hidden="1">Rashmi!$A$1:$P$54</definedName>
    <definedName name="_xlnm._FilterDatabase" localSheetId="6" hidden="1">Sudhadevi!$A$1:$R$50</definedName>
    <definedName name="DIVIDEND">Dividend!$A$1:$E$80</definedName>
    <definedName name="Equity_Trade_2024" localSheetId="2">Dashrathlal!$A$1:$AB$53</definedName>
    <definedName name="Equity_Trade_2024" localSheetId="1">'Equity_Trade-2025'!$A$1:$AB$53</definedName>
    <definedName name="Equity_Trade_2024" localSheetId="3">Ramkishor!$A$1:$AB$53</definedName>
    <definedName name="Equity_Trade_2024">'Equity_Trade-2024'!$A$1:$AB$53</definedName>
  </definedNames>
  <calcPr calcId="181029"/>
  <pivotCaches>
    <pivotCache cacheId="57" r:id="rId16"/>
    <pivotCache cacheId="61" r:id="rId17"/>
    <pivotCache cacheId="65" r:id="rId18"/>
    <pivotCache cacheId="69" r:id="rId19"/>
    <pivotCache cacheId="73" r:id="rId20"/>
    <pivotCache cacheId="78" r:id="rId21"/>
    <pivotCache cacheId="82" r:id="rId22"/>
    <pivotCache cacheId="86" r:id="rId23"/>
    <pivotCache cacheId="91" r:id="rId24"/>
    <pivotCache cacheId="96" r:id="rId25"/>
    <pivotCache cacheId="101" r:id="rId26"/>
    <pivotCache cacheId="106" r:id="rId27"/>
    <pivotCache cacheId="111" r:id="rId28"/>
    <pivotCache cacheId="115" r:id="rId29"/>
    <pivotCache cacheId="119" r:id="rId30"/>
    <pivotCache cacheId="123" r:id="rId31"/>
    <pivotCache cacheId="127" r:id="rId32"/>
    <pivotCache cacheId="132" r:id="rId33"/>
    <pivotCache cacheId="136" r:id="rId34"/>
    <pivotCache cacheId="140" r:id="rId35"/>
    <pivotCache cacheId="145" r:id="rId36"/>
    <pivotCache cacheId="149" r:id="rId37"/>
    <pivotCache cacheId="154" r:id="rId38"/>
    <pivotCache cacheId="158" r:id="rId39"/>
    <pivotCache cacheId="162" r:id="rId40"/>
    <pivotCache cacheId="166" r:id="rId41"/>
    <pivotCache cacheId="170" r:id="rId42"/>
  </pivotCaches>
  <fileRecoveryPr repairLoad="1"/>
</workbook>
</file>

<file path=xl/calcChain.xml><?xml version="1.0" encoding="utf-8"?>
<calcChain xmlns="http://schemas.openxmlformats.org/spreadsheetml/2006/main">
  <c r="F31" i="15" l="1"/>
  <c r="F30" i="15"/>
  <c r="F29" i="15"/>
  <c r="F28" i="15"/>
  <c r="F27" i="15"/>
  <c r="F26" i="15"/>
  <c r="F25" i="15"/>
  <c r="F24" i="15"/>
  <c r="F23" i="15"/>
  <c r="F22" i="15"/>
  <c r="F21" i="15"/>
  <c r="F20" i="15"/>
  <c r="F19" i="15"/>
  <c r="Q13" i="15"/>
  <c r="Q9" i="15"/>
  <c r="Q8" i="15"/>
  <c r="Q6" i="15"/>
  <c r="K6" i="15"/>
  <c r="J6" i="15"/>
  <c r="L6" i="15" s="1"/>
  <c r="I6" i="15"/>
  <c r="Q5" i="15"/>
  <c r="Q10" i="15" s="1"/>
  <c r="Q12" i="15" s="1"/>
  <c r="Q14" i="15" s="1"/>
  <c r="N5" i="15"/>
  <c r="K5" i="15"/>
  <c r="M5" i="15" s="1"/>
  <c r="I5" i="15"/>
  <c r="D5" i="15"/>
  <c r="J5" i="15" s="1"/>
  <c r="L5" i="15" s="1"/>
  <c r="Q4" i="15"/>
  <c r="N4" i="15"/>
  <c r="K4" i="15"/>
  <c r="M4" i="15" s="1"/>
  <c r="I4" i="15"/>
  <c r="I15" i="15" s="1"/>
  <c r="D4" i="15"/>
  <c r="J4" i="15" s="1"/>
  <c r="K3" i="15"/>
  <c r="I3" i="15"/>
  <c r="D3" i="15"/>
  <c r="J3" i="15" s="1"/>
  <c r="L3" i="15" s="1"/>
  <c r="N2" i="15"/>
  <c r="K2" i="15"/>
  <c r="I2" i="15"/>
  <c r="M2" i="15" s="1"/>
  <c r="D2" i="15"/>
  <c r="J2" i="15" s="1"/>
  <c r="L2" i="15" s="1"/>
  <c r="V14" i="14"/>
  <c r="W14" i="14" s="1"/>
  <c r="T14" i="14"/>
  <c r="N14" i="14"/>
  <c r="M14" i="14"/>
  <c r="J14" i="14"/>
  <c r="I14" i="14"/>
  <c r="G14" i="14"/>
  <c r="W13" i="14"/>
  <c r="V13" i="14"/>
  <c r="T13" i="14"/>
  <c r="O13" i="14"/>
  <c r="N13" i="14"/>
  <c r="M13" i="14"/>
  <c r="J13" i="14"/>
  <c r="R13" i="14" s="1"/>
  <c r="I13" i="14"/>
  <c r="G13" i="14"/>
  <c r="K13" i="14" s="1"/>
  <c r="V12" i="14"/>
  <c r="W12" i="14" s="1"/>
  <c r="T12" i="14"/>
  <c r="P12" i="14"/>
  <c r="Q12" i="14" s="1"/>
  <c r="O12" i="14"/>
  <c r="N12" i="14"/>
  <c r="M12" i="14"/>
  <c r="J12" i="14"/>
  <c r="R12" i="14" s="1"/>
  <c r="I12" i="14"/>
  <c r="G12" i="14"/>
  <c r="K12" i="14" s="1"/>
  <c r="V11" i="14"/>
  <c r="T11" i="14"/>
  <c r="N11" i="14"/>
  <c r="M11" i="14"/>
  <c r="J11" i="14"/>
  <c r="R11" i="14" s="1"/>
  <c r="I11" i="14"/>
  <c r="W11" i="14" s="1"/>
  <c r="G11" i="14"/>
  <c r="V10" i="14"/>
  <c r="T10" i="14"/>
  <c r="N10" i="14"/>
  <c r="M10" i="14"/>
  <c r="J10" i="14"/>
  <c r="R10" i="14" s="1"/>
  <c r="I10" i="14"/>
  <c r="G10" i="14"/>
  <c r="L10" i="14" s="1"/>
  <c r="W9" i="14"/>
  <c r="V9" i="14"/>
  <c r="T9" i="14"/>
  <c r="P9" i="14"/>
  <c r="Q9" i="14" s="1"/>
  <c r="N9" i="14"/>
  <c r="M9" i="14"/>
  <c r="J9" i="14"/>
  <c r="R9" i="14" s="1"/>
  <c r="I9" i="14"/>
  <c r="G9" i="14"/>
  <c r="K9" i="14" s="1"/>
  <c r="V8" i="14"/>
  <c r="W8" i="14" s="1"/>
  <c r="T8" i="14"/>
  <c r="P8" i="14"/>
  <c r="Q8" i="14" s="1"/>
  <c r="N8" i="14"/>
  <c r="M8" i="14"/>
  <c r="J8" i="14"/>
  <c r="O8" i="14" s="1"/>
  <c r="I8" i="14"/>
  <c r="G8" i="14"/>
  <c r="L8" i="14" s="1"/>
  <c r="V7" i="14"/>
  <c r="W7" i="14" s="1"/>
  <c r="T7" i="14"/>
  <c r="S7" i="14"/>
  <c r="U7" i="14" s="1"/>
  <c r="R7" i="14"/>
  <c r="Q7" i="14"/>
  <c r="P7" i="14"/>
  <c r="O7" i="14"/>
  <c r="N7" i="14"/>
  <c r="M7" i="14"/>
  <c r="J7" i="14"/>
  <c r="I7" i="14"/>
  <c r="G7" i="14"/>
  <c r="K7" i="14" s="1"/>
  <c r="T6" i="14"/>
  <c r="O6" i="14"/>
  <c r="N6" i="14"/>
  <c r="M6" i="14"/>
  <c r="L6" i="14"/>
  <c r="K6" i="14"/>
  <c r="J6" i="14"/>
  <c r="P6" i="14" s="1"/>
  <c r="Q6" i="14" s="1"/>
  <c r="I6" i="14"/>
  <c r="G6" i="14"/>
  <c r="W5" i="14"/>
  <c r="V5" i="14"/>
  <c r="X5" i="14" s="1"/>
  <c r="T5" i="14"/>
  <c r="O5" i="14"/>
  <c r="N5" i="14"/>
  <c r="M5" i="14"/>
  <c r="J5" i="14"/>
  <c r="R5" i="14" s="1"/>
  <c r="I5" i="14"/>
  <c r="G5" i="14"/>
  <c r="K5" i="14" s="1"/>
  <c r="V4" i="14"/>
  <c r="W4" i="14" s="1"/>
  <c r="T4" i="14"/>
  <c r="R4" i="14"/>
  <c r="N4" i="14"/>
  <c r="M4" i="14"/>
  <c r="J4" i="14"/>
  <c r="O4" i="14" s="1"/>
  <c r="I4" i="14"/>
  <c r="G4" i="14"/>
  <c r="L4" i="14" s="1"/>
  <c r="T3" i="14"/>
  <c r="R3" i="14"/>
  <c r="P3" i="14"/>
  <c r="Q3" i="14" s="1"/>
  <c r="N3" i="14"/>
  <c r="M3" i="14"/>
  <c r="L3" i="14"/>
  <c r="K3" i="14"/>
  <c r="J3" i="14"/>
  <c r="O3" i="14" s="1"/>
  <c r="I3" i="14"/>
  <c r="G3" i="14"/>
  <c r="V2" i="14"/>
  <c r="T2" i="14"/>
  <c r="O2" i="14"/>
  <c r="N2" i="14"/>
  <c r="M2" i="14"/>
  <c r="J2" i="14"/>
  <c r="I2" i="14"/>
  <c r="G2" i="14"/>
  <c r="L2" i="14" s="1"/>
  <c r="U53" i="13"/>
  <c r="S53" i="13"/>
  <c r="Q53" i="13"/>
  <c r="R53" i="13" s="1"/>
  <c r="P53" i="13"/>
  <c r="T53" i="13" s="1"/>
  <c r="V53" i="13" s="1"/>
  <c r="O53" i="13"/>
  <c r="N53" i="13"/>
  <c r="M53" i="13"/>
  <c r="L53" i="13"/>
  <c r="K53" i="13"/>
  <c r="J53" i="13"/>
  <c r="H53" i="13"/>
  <c r="U52" i="13"/>
  <c r="O52" i="13"/>
  <c r="N52" i="13"/>
  <c r="M52" i="13"/>
  <c r="L52" i="13"/>
  <c r="K52" i="13"/>
  <c r="J52" i="13"/>
  <c r="H52" i="13"/>
  <c r="U51" i="13"/>
  <c r="O51" i="13"/>
  <c r="N51" i="13"/>
  <c r="M51" i="13"/>
  <c r="L51" i="13"/>
  <c r="K51" i="13"/>
  <c r="J51" i="13"/>
  <c r="H51" i="13"/>
  <c r="W50" i="13"/>
  <c r="U50" i="13"/>
  <c r="S50" i="13"/>
  <c r="Q50" i="13"/>
  <c r="O50" i="13"/>
  <c r="N50" i="13"/>
  <c r="K50" i="13"/>
  <c r="P50" i="13" s="1"/>
  <c r="J50" i="13"/>
  <c r="X50" i="13" s="1"/>
  <c r="H50" i="13"/>
  <c r="M50" i="13" s="1"/>
  <c r="U49" i="13"/>
  <c r="O49" i="13"/>
  <c r="N49" i="13"/>
  <c r="M49" i="13"/>
  <c r="L49" i="13"/>
  <c r="K49" i="13"/>
  <c r="Q49" i="13" s="1"/>
  <c r="R49" i="13" s="1"/>
  <c r="J49" i="13"/>
  <c r="H49" i="13"/>
  <c r="U48" i="13"/>
  <c r="O48" i="13"/>
  <c r="N48" i="13"/>
  <c r="M48" i="13"/>
  <c r="L48" i="13"/>
  <c r="K48" i="13"/>
  <c r="P48" i="13" s="1"/>
  <c r="J48" i="13"/>
  <c r="H48" i="13"/>
  <c r="W47" i="13"/>
  <c r="X47" i="13" s="1"/>
  <c r="U47" i="13"/>
  <c r="O47" i="13"/>
  <c r="N47" i="13"/>
  <c r="K47" i="13"/>
  <c r="J47" i="13"/>
  <c r="H47" i="13"/>
  <c r="U46" i="13"/>
  <c r="S46" i="13"/>
  <c r="P46" i="13"/>
  <c r="O46" i="13"/>
  <c r="N46" i="13"/>
  <c r="M46" i="13"/>
  <c r="L46" i="13"/>
  <c r="K46" i="13"/>
  <c r="Q46" i="13" s="1"/>
  <c r="R46" i="13" s="1"/>
  <c r="J46" i="13"/>
  <c r="H46" i="13"/>
  <c r="U45" i="13"/>
  <c r="R45" i="13"/>
  <c r="Q45" i="13"/>
  <c r="P45" i="13"/>
  <c r="T45" i="13" s="1"/>
  <c r="V45" i="13" s="1"/>
  <c r="W45" i="13" s="1"/>
  <c r="X45" i="13" s="1"/>
  <c r="O45" i="13"/>
  <c r="N45" i="13"/>
  <c r="M45" i="13"/>
  <c r="L45" i="13"/>
  <c r="K45" i="13"/>
  <c r="S45" i="13" s="1"/>
  <c r="J45" i="13"/>
  <c r="H45" i="13"/>
  <c r="U44" i="13"/>
  <c r="S44" i="13"/>
  <c r="Q44" i="13"/>
  <c r="R44" i="13" s="1"/>
  <c r="P44" i="13"/>
  <c r="O44" i="13"/>
  <c r="N44" i="13"/>
  <c r="M44" i="13"/>
  <c r="L44" i="13"/>
  <c r="K44" i="13"/>
  <c r="J44" i="13"/>
  <c r="H44" i="13"/>
  <c r="U43" i="13"/>
  <c r="S43" i="13"/>
  <c r="Q43" i="13"/>
  <c r="R43" i="13" s="1"/>
  <c r="O43" i="13"/>
  <c r="N43" i="13"/>
  <c r="M43" i="13"/>
  <c r="L43" i="13"/>
  <c r="K43" i="13"/>
  <c r="P43" i="13" s="1"/>
  <c r="J43" i="13"/>
  <c r="H43" i="13"/>
  <c r="U42" i="13"/>
  <c r="S42" i="13"/>
  <c r="Q42" i="13"/>
  <c r="R42" i="13" s="1"/>
  <c r="P42" i="13"/>
  <c r="O42" i="13"/>
  <c r="N42" i="13"/>
  <c r="M42" i="13"/>
  <c r="L42" i="13"/>
  <c r="K42" i="13"/>
  <c r="J42" i="13"/>
  <c r="H42" i="13"/>
  <c r="U41" i="13"/>
  <c r="S41" i="13"/>
  <c r="Q41" i="13"/>
  <c r="R41" i="13" s="1"/>
  <c r="P41" i="13"/>
  <c r="T41" i="13" s="1"/>
  <c r="V41" i="13" s="1"/>
  <c r="O41" i="13"/>
  <c r="N41" i="13"/>
  <c r="M41" i="13"/>
  <c r="L41" i="13"/>
  <c r="K41" i="13"/>
  <c r="J41" i="13"/>
  <c r="H41" i="13"/>
  <c r="U40" i="13"/>
  <c r="S40" i="13"/>
  <c r="Q40" i="13"/>
  <c r="O40" i="13"/>
  <c r="N40" i="13"/>
  <c r="M40" i="13"/>
  <c r="L40" i="13"/>
  <c r="K40" i="13"/>
  <c r="P40" i="13" s="1"/>
  <c r="J40" i="13"/>
  <c r="H40" i="13"/>
  <c r="U39" i="13"/>
  <c r="S39" i="13"/>
  <c r="R39" i="13"/>
  <c r="T39" i="13" s="1"/>
  <c r="V39" i="13" s="1"/>
  <c r="Q39" i="13"/>
  <c r="P39" i="13"/>
  <c r="O39" i="13"/>
  <c r="N39" i="13"/>
  <c r="M39" i="13"/>
  <c r="L39" i="13"/>
  <c r="K39" i="13"/>
  <c r="J39" i="13"/>
  <c r="H39" i="13"/>
  <c r="U38" i="13"/>
  <c r="O38" i="13"/>
  <c r="N38" i="13"/>
  <c r="M38" i="13"/>
  <c r="L38" i="13"/>
  <c r="K38" i="13"/>
  <c r="J38" i="13"/>
  <c r="H38" i="13"/>
  <c r="U37" i="13"/>
  <c r="S37" i="13"/>
  <c r="Q37" i="13"/>
  <c r="R37" i="13" s="1"/>
  <c r="P37" i="13"/>
  <c r="T37" i="13" s="1"/>
  <c r="V37" i="13" s="1"/>
  <c r="O37" i="13"/>
  <c r="N37" i="13"/>
  <c r="W37" i="13" s="1"/>
  <c r="X37" i="13" s="1"/>
  <c r="M37" i="13"/>
  <c r="L37" i="13"/>
  <c r="K37" i="13"/>
  <c r="J37" i="13"/>
  <c r="H37" i="13"/>
  <c r="U36" i="13"/>
  <c r="S36" i="13"/>
  <c r="Q36" i="13"/>
  <c r="R36" i="13" s="1"/>
  <c r="P36" i="13"/>
  <c r="T36" i="13" s="1"/>
  <c r="O36" i="13"/>
  <c r="N36" i="13"/>
  <c r="W36" i="13" s="1"/>
  <c r="M36" i="13"/>
  <c r="L36" i="13"/>
  <c r="K36" i="13"/>
  <c r="J36" i="13"/>
  <c r="H36" i="13"/>
  <c r="U35" i="13"/>
  <c r="O35" i="13"/>
  <c r="N35" i="13"/>
  <c r="M35" i="13"/>
  <c r="L35" i="13"/>
  <c r="K35" i="13"/>
  <c r="J35" i="13"/>
  <c r="H35" i="13"/>
  <c r="U34" i="13"/>
  <c r="O34" i="13"/>
  <c r="N34" i="13"/>
  <c r="M34" i="13"/>
  <c r="L34" i="13"/>
  <c r="K34" i="13"/>
  <c r="J34" i="13"/>
  <c r="H34" i="13"/>
  <c r="U33" i="13"/>
  <c r="O33" i="13"/>
  <c r="N33" i="13"/>
  <c r="M33" i="13"/>
  <c r="L33" i="13"/>
  <c r="K33" i="13"/>
  <c r="P33" i="13" s="1"/>
  <c r="J33" i="13"/>
  <c r="H33" i="13"/>
  <c r="U32" i="13"/>
  <c r="O32" i="13"/>
  <c r="N32" i="13"/>
  <c r="M32" i="13"/>
  <c r="L32" i="13"/>
  <c r="K32" i="13"/>
  <c r="Q32" i="13" s="1"/>
  <c r="R32" i="13" s="1"/>
  <c r="J32" i="13"/>
  <c r="H32" i="13"/>
  <c r="U31" i="13"/>
  <c r="Q31" i="13"/>
  <c r="R31" i="13" s="1"/>
  <c r="O31" i="13"/>
  <c r="N31" i="13"/>
  <c r="M31" i="13"/>
  <c r="L31" i="13"/>
  <c r="K31" i="13"/>
  <c r="P31" i="13" s="1"/>
  <c r="J31" i="13"/>
  <c r="H31" i="13"/>
  <c r="U30" i="13"/>
  <c r="P30" i="13"/>
  <c r="O30" i="13"/>
  <c r="N30" i="13"/>
  <c r="M30" i="13"/>
  <c r="L30" i="13"/>
  <c r="K30" i="13"/>
  <c r="J30" i="13"/>
  <c r="H30" i="13"/>
  <c r="U29" i="13"/>
  <c r="S29" i="13"/>
  <c r="Q29" i="13"/>
  <c r="R29" i="13" s="1"/>
  <c r="P29" i="13"/>
  <c r="T29" i="13" s="1"/>
  <c r="V29" i="13" s="1"/>
  <c r="O29" i="13"/>
  <c r="N29" i="13"/>
  <c r="M29" i="13"/>
  <c r="L29" i="13"/>
  <c r="K29" i="13"/>
  <c r="J29" i="13"/>
  <c r="H29" i="13"/>
  <c r="U28" i="13"/>
  <c r="Q28" i="13"/>
  <c r="R28" i="13" s="1"/>
  <c r="P28" i="13"/>
  <c r="T28" i="13" s="1"/>
  <c r="V28" i="13" s="1"/>
  <c r="O28" i="13"/>
  <c r="N28" i="13"/>
  <c r="W28" i="13" s="1"/>
  <c r="X28" i="13" s="1"/>
  <c r="M28" i="13"/>
  <c r="L28" i="13"/>
  <c r="K28" i="13"/>
  <c r="S28" i="13" s="1"/>
  <c r="J28" i="13"/>
  <c r="H28" i="13"/>
  <c r="U27" i="13"/>
  <c r="S27" i="13"/>
  <c r="Q27" i="13"/>
  <c r="R27" i="13" s="1"/>
  <c r="P27" i="13"/>
  <c r="O27" i="13"/>
  <c r="N27" i="13"/>
  <c r="M27" i="13"/>
  <c r="L27" i="13"/>
  <c r="K27" i="13"/>
  <c r="J27" i="13"/>
  <c r="H27" i="13"/>
  <c r="X26" i="13"/>
  <c r="W26" i="13"/>
  <c r="U26" i="13"/>
  <c r="S26" i="13"/>
  <c r="Q26" i="13"/>
  <c r="R26" i="13" s="1"/>
  <c r="P26" i="13"/>
  <c r="T26" i="13" s="1"/>
  <c r="V26" i="13" s="1"/>
  <c r="O26" i="13"/>
  <c r="N26" i="13"/>
  <c r="K26" i="13"/>
  <c r="J26" i="13"/>
  <c r="H26" i="13"/>
  <c r="S25" i="13"/>
  <c r="R25" i="13"/>
  <c r="Q25" i="13"/>
  <c r="P25" i="13"/>
  <c r="T25" i="13" s="1"/>
  <c r="V25" i="13" s="1"/>
  <c r="O25" i="13"/>
  <c r="N25" i="13"/>
  <c r="W25" i="13" s="1"/>
  <c r="M25" i="13"/>
  <c r="L25" i="13"/>
  <c r="K25" i="13"/>
  <c r="J25" i="13"/>
  <c r="H25" i="13"/>
  <c r="U24" i="13"/>
  <c r="O24" i="13"/>
  <c r="N24" i="13"/>
  <c r="M24" i="13"/>
  <c r="L24" i="13"/>
  <c r="K24" i="13"/>
  <c r="J24" i="13"/>
  <c r="H24" i="13"/>
  <c r="U23" i="13"/>
  <c r="O23" i="13"/>
  <c r="N23" i="13"/>
  <c r="M23" i="13"/>
  <c r="L23" i="13"/>
  <c r="K23" i="13"/>
  <c r="S23" i="13" s="1"/>
  <c r="J23" i="13"/>
  <c r="H23" i="13"/>
  <c r="W22" i="13"/>
  <c r="X22" i="13" s="1"/>
  <c r="U22" i="13"/>
  <c r="O22" i="13"/>
  <c r="N22" i="13"/>
  <c r="K22" i="13"/>
  <c r="P22" i="13" s="1"/>
  <c r="J22" i="13"/>
  <c r="H22" i="13"/>
  <c r="U21" i="13"/>
  <c r="T21" i="13"/>
  <c r="V21" i="13" s="1"/>
  <c r="W21" i="13" s="1"/>
  <c r="X21" i="13" s="1"/>
  <c r="S21" i="13"/>
  <c r="R21" i="13"/>
  <c r="Q21" i="13"/>
  <c r="P21" i="13"/>
  <c r="O21" i="13"/>
  <c r="N21" i="13"/>
  <c r="M21" i="13"/>
  <c r="L21" i="13"/>
  <c r="K21" i="13"/>
  <c r="J21" i="13"/>
  <c r="H21" i="13"/>
  <c r="X20" i="13"/>
  <c r="W20" i="13"/>
  <c r="U20" i="13"/>
  <c r="O20" i="13"/>
  <c r="N20" i="13"/>
  <c r="K20" i="13"/>
  <c r="Q20" i="13" s="1"/>
  <c r="R20" i="13" s="1"/>
  <c r="J20" i="13"/>
  <c r="H20" i="13"/>
  <c r="L20" i="13" s="1"/>
  <c r="P19" i="13"/>
  <c r="O19" i="13"/>
  <c r="N19" i="13"/>
  <c r="M19" i="13"/>
  <c r="L19" i="13"/>
  <c r="K19" i="13"/>
  <c r="Q19" i="13" s="1"/>
  <c r="R19" i="13" s="1"/>
  <c r="J19" i="13"/>
  <c r="H19" i="13"/>
  <c r="S18" i="13"/>
  <c r="O18" i="13"/>
  <c r="N18" i="13"/>
  <c r="M18" i="13"/>
  <c r="L18" i="13"/>
  <c r="K18" i="13"/>
  <c r="Q18" i="13" s="1"/>
  <c r="R18" i="13" s="1"/>
  <c r="J18" i="13"/>
  <c r="H18" i="13"/>
  <c r="U17" i="13"/>
  <c r="S17" i="13"/>
  <c r="Q17" i="13"/>
  <c r="R17" i="13" s="1"/>
  <c r="P17" i="13"/>
  <c r="O17" i="13"/>
  <c r="N17" i="13"/>
  <c r="M17" i="13"/>
  <c r="L17" i="13"/>
  <c r="K17" i="13"/>
  <c r="J17" i="13"/>
  <c r="H17" i="13"/>
  <c r="U16" i="13"/>
  <c r="P16" i="13"/>
  <c r="O16" i="13"/>
  <c r="N16" i="13"/>
  <c r="M16" i="13"/>
  <c r="L16" i="13"/>
  <c r="K16" i="13"/>
  <c r="S16" i="13" s="1"/>
  <c r="J16" i="13"/>
  <c r="H16" i="13"/>
  <c r="U15" i="13"/>
  <c r="S15" i="13"/>
  <c r="P15" i="13"/>
  <c r="O15" i="13"/>
  <c r="N15" i="13"/>
  <c r="M15" i="13"/>
  <c r="L15" i="13"/>
  <c r="K15" i="13"/>
  <c r="Q15" i="13" s="1"/>
  <c r="R15" i="13" s="1"/>
  <c r="J15" i="13"/>
  <c r="H15" i="13"/>
  <c r="S14" i="13"/>
  <c r="Q14" i="13"/>
  <c r="R14" i="13" s="1"/>
  <c r="P14" i="13"/>
  <c r="O14" i="13"/>
  <c r="N14" i="13"/>
  <c r="M14" i="13"/>
  <c r="L14" i="13"/>
  <c r="K14" i="13"/>
  <c r="J14" i="13"/>
  <c r="H14" i="13"/>
  <c r="S13" i="13"/>
  <c r="R13" i="13"/>
  <c r="Q13" i="13"/>
  <c r="P13" i="13"/>
  <c r="O13" i="13"/>
  <c r="N13" i="13"/>
  <c r="M13" i="13"/>
  <c r="L13" i="13"/>
  <c r="K13" i="13"/>
  <c r="J13" i="13"/>
  <c r="H13" i="13"/>
  <c r="U12" i="13"/>
  <c r="O12" i="13"/>
  <c r="N12" i="13"/>
  <c r="M12" i="13"/>
  <c r="L12" i="13"/>
  <c r="K12" i="13"/>
  <c r="J12" i="13"/>
  <c r="H12" i="13"/>
  <c r="W11" i="13"/>
  <c r="U11" i="13"/>
  <c r="S11" i="13"/>
  <c r="R11" i="13"/>
  <c r="P11" i="13"/>
  <c r="T11" i="13" s="1"/>
  <c r="V11" i="13" s="1"/>
  <c r="O11" i="13"/>
  <c r="N11" i="13"/>
  <c r="K11" i="13"/>
  <c r="Q11" i="13" s="1"/>
  <c r="J11" i="13"/>
  <c r="X11" i="13" s="1"/>
  <c r="H11" i="13"/>
  <c r="O10" i="13"/>
  <c r="N10" i="13"/>
  <c r="M10" i="13"/>
  <c r="L10" i="13"/>
  <c r="K10" i="13"/>
  <c r="Q10" i="13" s="1"/>
  <c r="R10" i="13" s="1"/>
  <c r="J10" i="13"/>
  <c r="H10" i="13"/>
  <c r="U9" i="13"/>
  <c r="S9" i="13"/>
  <c r="O9" i="13"/>
  <c r="N9" i="13"/>
  <c r="M9" i="13"/>
  <c r="L9" i="13"/>
  <c r="K9" i="13"/>
  <c r="P9" i="13" s="1"/>
  <c r="J9" i="13"/>
  <c r="H9" i="13"/>
  <c r="U8" i="13"/>
  <c r="O8" i="13"/>
  <c r="N8" i="13"/>
  <c r="M8" i="13"/>
  <c r="L8" i="13"/>
  <c r="K8" i="13"/>
  <c r="J8" i="13"/>
  <c r="H8" i="13"/>
  <c r="U7" i="13"/>
  <c r="S7" i="13"/>
  <c r="Q7" i="13"/>
  <c r="R7" i="13" s="1"/>
  <c r="O7" i="13"/>
  <c r="N7" i="13"/>
  <c r="M7" i="13"/>
  <c r="L7" i="13"/>
  <c r="K7" i="13"/>
  <c r="P7" i="13" s="1"/>
  <c r="J7" i="13"/>
  <c r="H7" i="13"/>
  <c r="U6" i="13"/>
  <c r="R6" i="13"/>
  <c r="Q6" i="13"/>
  <c r="P6" i="13"/>
  <c r="O6" i="13"/>
  <c r="N6" i="13"/>
  <c r="M6" i="13"/>
  <c r="L6" i="13"/>
  <c r="K6" i="13"/>
  <c r="S6" i="13" s="1"/>
  <c r="J6" i="13"/>
  <c r="H6" i="13"/>
  <c r="V5" i="13"/>
  <c r="U5" i="13"/>
  <c r="S5" i="13"/>
  <c r="R5" i="13"/>
  <c r="P5" i="13"/>
  <c r="T5" i="13" s="1"/>
  <c r="O5" i="13"/>
  <c r="N5" i="13"/>
  <c r="M5" i="13"/>
  <c r="L5" i="13"/>
  <c r="K5" i="13"/>
  <c r="Q5" i="13" s="1"/>
  <c r="J5" i="13"/>
  <c r="H5" i="13"/>
  <c r="U4" i="13"/>
  <c r="S4" i="13"/>
  <c r="P4" i="13"/>
  <c r="T4" i="13" s="1"/>
  <c r="V4" i="13" s="1"/>
  <c r="O4" i="13"/>
  <c r="N4" i="13"/>
  <c r="M4" i="13"/>
  <c r="L4" i="13"/>
  <c r="K4" i="13"/>
  <c r="Q4" i="13" s="1"/>
  <c r="R4" i="13" s="1"/>
  <c r="J4" i="13"/>
  <c r="H4" i="13"/>
  <c r="U3" i="13"/>
  <c r="S3" i="13"/>
  <c r="T3" i="13" s="1"/>
  <c r="V3" i="13" s="1"/>
  <c r="W3" i="13" s="1"/>
  <c r="X3" i="13" s="1"/>
  <c r="R3" i="13"/>
  <c r="Q3" i="13"/>
  <c r="P3" i="13"/>
  <c r="O3" i="13"/>
  <c r="N3" i="13"/>
  <c r="M3" i="13"/>
  <c r="L3" i="13"/>
  <c r="K3" i="13"/>
  <c r="J3" i="13"/>
  <c r="H3" i="13"/>
  <c r="U2" i="13"/>
  <c r="P2" i="13"/>
  <c r="O2" i="13"/>
  <c r="N2" i="13"/>
  <c r="M2" i="13"/>
  <c r="L2" i="13"/>
  <c r="K2" i="13"/>
  <c r="Q2" i="13" s="1"/>
  <c r="R2" i="13" s="1"/>
  <c r="J2" i="13"/>
  <c r="H2" i="13"/>
  <c r="S27" i="12"/>
  <c r="P27" i="12"/>
  <c r="O27" i="12"/>
  <c r="N27" i="12"/>
  <c r="M27" i="12"/>
  <c r="L27" i="12"/>
  <c r="K27" i="12"/>
  <c r="Q27" i="12" s="1"/>
  <c r="R27" i="12" s="1"/>
  <c r="J27" i="12"/>
  <c r="H27" i="12"/>
  <c r="S26" i="12"/>
  <c r="Q26" i="12"/>
  <c r="O26" i="12"/>
  <c r="N26" i="12"/>
  <c r="M26" i="12"/>
  <c r="L26" i="12"/>
  <c r="K26" i="12"/>
  <c r="P26" i="12" s="1"/>
  <c r="J26" i="12"/>
  <c r="H26" i="12"/>
  <c r="S25" i="12"/>
  <c r="R25" i="12"/>
  <c r="Q25" i="12"/>
  <c r="O25" i="12"/>
  <c r="N25" i="12"/>
  <c r="M25" i="12"/>
  <c r="L25" i="12"/>
  <c r="K25" i="12"/>
  <c r="P25" i="12" s="1"/>
  <c r="T25" i="12" s="1"/>
  <c r="V25" i="12" s="1"/>
  <c r="W25" i="12" s="1"/>
  <c r="X25" i="12" s="1"/>
  <c r="J25" i="12"/>
  <c r="H25" i="12"/>
  <c r="S24" i="12"/>
  <c r="R24" i="12"/>
  <c r="Q24" i="12"/>
  <c r="P24" i="12"/>
  <c r="O24" i="12"/>
  <c r="N24" i="12"/>
  <c r="M24" i="12"/>
  <c r="L24" i="12"/>
  <c r="K24" i="12"/>
  <c r="J24" i="12"/>
  <c r="S23" i="12"/>
  <c r="R23" i="12"/>
  <c r="Q23" i="12"/>
  <c r="P23" i="12"/>
  <c r="T23" i="12" s="1"/>
  <c r="V23" i="12" s="1"/>
  <c r="O23" i="12"/>
  <c r="N23" i="12"/>
  <c r="M23" i="12"/>
  <c r="L23" i="12"/>
  <c r="K23" i="12"/>
  <c r="J23" i="12"/>
  <c r="H23" i="12"/>
  <c r="S22" i="12"/>
  <c r="Q22" i="12"/>
  <c r="R22" i="12" s="1"/>
  <c r="P22" i="12"/>
  <c r="O22" i="12"/>
  <c r="N22" i="12"/>
  <c r="M22" i="12"/>
  <c r="L22" i="12"/>
  <c r="K22" i="12"/>
  <c r="J22" i="12"/>
  <c r="H22" i="12"/>
  <c r="S21" i="12"/>
  <c r="R21" i="12"/>
  <c r="Q21" i="12"/>
  <c r="P21" i="12"/>
  <c r="T21" i="12" s="1"/>
  <c r="V21" i="12" s="1"/>
  <c r="O21" i="12"/>
  <c r="N21" i="12"/>
  <c r="M21" i="12"/>
  <c r="L21" i="12"/>
  <c r="K21" i="12"/>
  <c r="J21" i="12"/>
  <c r="H21" i="12"/>
  <c r="S20" i="12"/>
  <c r="Q20" i="12"/>
  <c r="R20" i="12" s="1"/>
  <c r="P20" i="12"/>
  <c r="O20" i="12"/>
  <c r="N20" i="12"/>
  <c r="M20" i="12"/>
  <c r="L20" i="12"/>
  <c r="K20" i="12"/>
  <c r="J20" i="12"/>
  <c r="H20" i="12"/>
  <c r="S19" i="12"/>
  <c r="R19" i="12"/>
  <c r="Q19" i="12"/>
  <c r="P19" i="12"/>
  <c r="O19" i="12"/>
  <c r="N19" i="12"/>
  <c r="M19" i="12"/>
  <c r="L19" i="12"/>
  <c r="K19" i="12"/>
  <c r="J19" i="12"/>
  <c r="H19" i="12"/>
  <c r="S18" i="12"/>
  <c r="R18" i="12"/>
  <c r="Q18" i="12"/>
  <c r="P18" i="12"/>
  <c r="O18" i="12"/>
  <c r="N18" i="12"/>
  <c r="M18" i="12"/>
  <c r="L18" i="12"/>
  <c r="K18" i="12"/>
  <c r="J18" i="12"/>
  <c r="H18" i="12"/>
  <c r="V17" i="12"/>
  <c r="S17" i="12"/>
  <c r="Q17" i="12"/>
  <c r="R17" i="12" s="1"/>
  <c r="P17" i="12"/>
  <c r="T17" i="12" s="1"/>
  <c r="O17" i="12"/>
  <c r="N17" i="12"/>
  <c r="M17" i="12"/>
  <c r="L17" i="12"/>
  <c r="K17" i="12"/>
  <c r="J17" i="12"/>
  <c r="H17" i="12"/>
  <c r="S16" i="12"/>
  <c r="R16" i="12"/>
  <c r="Q16" i="12"/>
  <c r="P16" i="12"/>
  <c r="O16" i="12"/>
  <c r="N16" i="12"/>
  <c r="M16" i="12"/>
  <c r="L16" i="12"/>
  <c r="K16" i="12"/>
  <c r="J16" i="12"/>
  <c r="H16" i="12"/>
  <c r="S15" i="12"/>
  <c r="R15" i="12"/>
  <c r="Q15" i="12"/>
  <c r="P15" i="12"/>
  <c r="T15" i="12" s="1"/>
  <c r="V15" i="12" s="1"/>
  <c r="O15" i="12"/>
  <c r="N15" i="12"/>
  <c r="M15" i="12"/>
  <c r="L15" i="12"/>
  <c r="K15" i="12"/>
  <c r="J15" i="12"/>
  <c r="H15" i="12"/>
  <c r="S14" i="12"/>
  <c r="Q14" i="12"/>
  <c r="R14" i="12" s="1"/>
  <c r="P14" i="12"/>
  <c r="O14" i="12"/>
  <c r="N14" i="12"/>
  <c r="M14" i="12"/>
  <c r="L14" i="12"/>
  <c r="K14" i="12"/>
  <c r="J14" i="12"/>
  <c r="H14" i="12"/>
  <c r="S13" i="12"/>
  <c r="R13" i="12"/>
  <c r="Q13" i="12"/>
  <c r="P13" i="12"/>
  <c r="T13" i="12" s="1"/>
  <c r="V13" i="12" s="1"/>
  <c r="O13" i="12"/>
  <c r="N13" i="12"/>
  <c r="M13" i="12"/>
  <c r="L13" i="12"/>
  <c r="K13" i="12"/>
  <c r="J13" i="12"/>
  <c r="H13" i="12"/>
  <c r="U12" i="12"/>
  <c r="O12" i="12"/>
  <c r="N12" i="12"/>
  <c r="M12" i="12"/>
  <c r="L12" i="12"/>
  <c r="K12" i="12"/>
  <c r="S12" i="12" s="1"/>
  <c r="J12" i="12"/>
  <c r="H12" i="12"/>
  <c r="U11" i="12"/>
  <c r="O11" i="12"/>
  <c r="N11" i="12"/>
  <c r="M11" i="12"/>
  <c r="L11" i="12"/>
  <c r="K11" i="12"/>
  <c r="J11" i="12"/>
  <c r="W10" i="12"/>
  <c r="X10" i="12" s="1"/>
  <c r="U10" i="12"/>
  <c r="S10" i="12"/>
  <c r="O10" i="12"/>
  <c r="N10" i="12"/>
  <c r="K10" i="12"/>
  <c r="Q10" i="12" s="1"/>
  <c r="R10" i="12" s="1"/>
  <c r="J10" i="12"/>
  <c r="H10" i="12"/>
  <c r="M10" i="12" s="1"/>
  <c r="X9" i="12"/>
  <c r="W9" i="12"/>
  <c r="U9" i="12"/>
  <c r="O9" i="12"/>
  <c r="N9" i="12"/>
  <c r="M9" i="12"/>
  <c r="K9" i="12"/>
  <c r="J9" i="12"/>
  <c r="H9" i="12"/>
  <c r="L9" i="12" s="1"/>
  <c r="V8" i="12"/>
  <c r="W8" i="12" s="1"/>
  <c r="X8" i="12" s="1"/>
  <c r="S8" i="12"/>
  <c r="Q8" i="12"/>
  <c r="R8" i="12" s="1"/>
  <c r="O8" i="12"/>
  <c r="N8" i="12"/>
  <c r="M8" i="12"/>
  <c r="L8" i="12"/>
  <c r="K8" i="12"/>
  <c r="P8" i="12" s="1"/>
  <c r="T8" i="12" s="1"/>
  <c r="J8" i="12"/>
  <c r="H8" i="12"/>
  <c r="T7" i="12"/>
  <c r="V7" i="12" s="1"/>
  <c r="W7" i="12" s="1"/>
  <c r="X7" i="12" s="1"/>
  <c r="S7" i="12"/>
  <c r="R7" i="12"/>
  <c r="P7" i="12"/>
  <c r="O7" i="12"/>
  <c r="N7" i="12"/>
  <c r="M7" i="12"/>
  <c r="L7" i="12"/>
  <c r="K7" i="12"/>
  <c r="Q7" i="12" s="1"/>
  <c r="J7" i="12"/>
  <c r="H7" i="12"/>
  <c r="U6" i="12"/>
  <c r="S6" i="12"/>
  <c r="O6" i="12"/>
  <c r="N6" i="12"/>
  <c r="M6" i="12"/>
  <c r="L6" i="12"/>
  <c r="K6" i="12"/>
  <c r="P6" i="12" s="1"/>
  <c r="J6" i="12"/>
  <c r="H6" i="12"/>
  <c r="X5" i="12"/>
  <c r="W5" i="12"/>
  <c r="U5" i="12"/>
  <c r="T5" i="12"/>
  <c r="V5" i="12" s="1"/>
  <c r="S5" i="12"/>
  <c r="P5" i="12"/>
  <c r="O5" i="12"/>
  <c r="N5" i="12"/>
  <c r="K5" i="12"/>
  <c r="Q5" i="12" s="1"/>
  <c r="R5" i="12" s="1"/>
  <c r="J5" i="12"/>
  <c r="H5" i="12"/>
  <c r="L5" i="12" s="1"/>
  <c r="U4" i="12"/>
  <c r="Q4" i="12"/>
  <c r="R4" i="12" s="1"/>
  <c r="P4" i="12"/>
  <c r="O4" i="12"/>
  <c r="N4" i="12"/>
  <c r="M4" i="12"/>
  <c r="L4" i="12"/>
  <c r="K4" i="12"/>
  <c r="S4" i="12" s="1"/>
  <c r="J4" i="12"/>
  <c r="H4" i="12"/>
  <c r="U3" i="12"/>
  <c r="S3" i="12"/>
  <c r="Q3" i="12"/>
  <c r="R3" i="12" s="1"/>
  <c r="T3" i="12" s="1"/>
  <c r="V3" i="12" s="1"/>
  <c r="W3" i="12" s="1"/>
  <c r="O3" i="12"/>
  <c r="N3" i="12"/>
  <c r="M3" i="12"/>
  <c r="L3" i="12"/>
  <c r="K3" i="12"/>
  <c r="P3" i="12" s="1"/>
  <c r="J3" i="12"/>
  <c r="H3" i="12"/>
  <c r="Y2" i="12"/>
  <c r="X2" i="12"/>
  <c r="W2" i="12"/>
  <c r="U2" i="12"/>
  <c r="S2" i="12"/>
  <c r="R2" i="12"/>
  <c r="P2" i="12"/>
  <c r="T2" i="12" s="1"/>
  <c r="V2" i="12" s="1"/>
  <c r="O2" i="12"/>
  <c r="N2" i="12"/>
  <c r="K2" i="12"/>
  <c r="Q2" i="12" s="1"/>
  <c r="J2" i="12"/>
  <c r="H2" i="12"/>
  <c r="Q28" i="11"/>
  <c r="P28" i="11"/>
  <c r="N28" i="11"/>
  <c r="O28" i="11" s="1"/>
  <c r="M28" i="11"/>
  <c r="L28" i="11"/>
  <c r="K28" i="11"/>
  <c r="J28" i="11"/>
  <c r="H28" i="11"/>
  <c r="Q27" i="11"/>
  <c r="P27" i="11"/>
  <c r="N27" i="11"/>
  <c r="O27" i="11" s="1"/>
  <c r="M27" i="11"/>
  <c r="L27" i="11"/>
  <c r="K27" i="11"/>
  <c r="J27" i="11"/>
  <c r="H27" i="11"/>
  <c r="Q26" i="11"/>
  <c r="P26" i="11"/>
  <c r="N26" i="11"/>
  <c r="O26" i="11" s="1"/>
  <c r="M26" i="11"/>
  <c r="L26" i="11"/>
  <c r="K26" i="11"/>
  <c r="J26" i="11"/>
  <c r="H26" i="11"/>
  <c r="Q25" i="11"/>
  <c r="P25" i="11"/>
  <c r="N25" i="11"/>
  <c r="O25" i="11" s="1"/>
  <c r="M25" i="11"/>
  <c r="L25" i="11"/>
  <c r="K25" i="11"/>
  <c r="J25" i="11"/>
  <c r="H25" i="11"/>
  <c r="Q24" i="11"/>
  <c r="P24" i="11"/>
  <c r="N24" i="11"/>
  <c r="O24" i="11" s="1"/>
  <c r="M24" i="11"/>
  <c r="L24" i="11"/>
  <c r="K24" i="11"/>
  <c r="J24" i="11"/>
  <c r="H24" i="11"/>
  <c r="Q23" i="11"/>
  <c r="P23" i="11"/>
  <c r="N23" i="11"/>
  <c r="O23" i="11" s="1"/>
  <c r="M23" i="11"/>
  <c r="L23" i="11"/>
  <c r="K23" i="11"/>
  <c r="J23" i="11"/>
  <c r="H23" i="11"/>
  <c r="Q22" i="11"/>
  <c r="P22" i="11"/>
  <c r="N22" i="11"/>
  <c r="O22" i="11" s="1"/>
  <c r="K22" i="11"/>
  <c r="J22" i="11"/>
  <c r="H22" i="11"/>
  <c r="L22" i="11" s="1"/>
  <c r="Q21" i="11"/>
  <c r="P21" i="11"/>
  <c r="N21" i="11"/>
  <c r="O21" i="11" s="1"/>
  <c r="K21" i="11"/>
  <c r="J21" i="11"/>
  <c r="H21" i="11"/>
  <c r="Q20" i="11"/>
  <c r="P20" i="11"/>
  <c r="N20" i="11"/>
  <c r="O20" i="11" s="1"/>
  <c r="M20" i="11"/>
  <c r="L20" i="11"/>
  <c r="K20" i="11"/>
  <c r="J20" i="11"/>
  <c r="H20" i="11"/>
  <c r="Q19" i="11"/>
  <c r="P19" i="11"/>
  <c r="N19" i="11"/>
  <c r="O19" i="11" s="1"/>
  <c r="M19" i="11"/>
  <c r="L19" i="11"/>
  <c r="K19" i="11"/>
  <c r="J19" i="11"/>
  <c r="H19" i="11"/>
  <c r="Q18" i="11"/>
  <c r="P18" i="11"/>
  <c r="N18" i="11"/>
  <c r="O18" i="11" s="1"/>
  <c r="M18" i="11"/>
  <c r="L18" i="11"/>
  <c r="K18" i="11"/>
  <c r="J18" i="11"/>
  <c r="H18" i="11"/>
  <c r="Q17" i="11"/>
  <c r="P17" i="11"/>
  <c r="N17" i="11"/>
  <c r="O17" i="11" s="1"/>
  <c r="M17" i="11"/>
  <c r="L17" i="11"/>
  <c r="K17" i="11"/>
  <c r="J17" i="11"/>
  <c r="H17" i="11"/>
  <c r="Q16" i="11"/>
  <c r="P16" i="11"/>
  <c r="N16" i="11"/>
  <c r="O16" i="11" s="1"/>
  <c r="M16" i="11"/>
  <c r="L16" i="11"/>
  <c r="K16" i="11"/>
  <c r="J16" i="11"/>
  <c r="H16" i="11"/>
  <c r="Q15" i="11"/>
  <c r="P15" i="11"/>
  <c r="N15" i="11"/>
  <c r="O15" i="11" s="1"/>
  <c r="M15" i="11"/>
  <c r="L15" i="11"/>
  <c r="K15" i="11"/>
  <c r="J15" i="11"/>
  <c r="H15" i="11"/>
  <c r="Q14" i="11"/>
  <c r="P14" i="11"/>
  <c r="N14" i="11"/>
  <c r="O14" i="11" s="1"/>
  <c r="M14" i="11"/>
  <c r="L14" i="11"/>
  <c r="K14" i="11"/>
  <c r="J14" i="11"/>
  <c r="H14" i="11"/>
  <c r="Q13" i="11"/>
  <c r="P13" i="11"/>
  <c r="N13" i="11"/>
  <c r="O13" i="11" s="1"/>
  <c r="M13" i="11"/>
  <c r="L13" i="11"/>
  <c r="K13" i="11"/>
  <c r="J13" i="11"/>
  <c r="H13" i="11"/>
  <c r="Q12" i="11"/>
  <c r="P12" i="11"/>
  <c r="N12" i="11"/>
  <c r="O12" i="11" s="1"/>
  <c r="M12" i="11"/>
  <c r="L12" i="11"/>
  <c r="K12" i="11"/>
  <c r="J12" i="11"/>
  <c r="H12" i="11"/>
  <c r="Q11" i="11"/>
  <c r="P11" i="11"/>
  <c r="N11" i="11"/>
  <c r="O11" i="11" s="1"/>
  <c r="M11" i="11"/>
  <c r="L11" i="11"/>
  <c r="K11" i="11"/>
  <c r="J11" i="11"/>
  <c r="H11" i="11"/>
  <c r="Q10" i="11"/>
  <c r="P10" i="11"/>
  <c r="N10" i="11"/>
  <c r="O10" i="11" s="1"/>
  <c r="M10" i="11"/>
  <c r="L10" i="11"/>
  <c r="K10" i="11"/>
  <c r="J10" i="11"/>
  <c r="H10" i="11"/>
  <c r="Y9" i="11"/>
  <c r="Z9" i="11" s="1"/>
  <c r="W9" i="11"/>
  <c r="U9" i="11"/>
  <c r="T9" i="11"/>
  <c r="V9" i="11" s="1"/>
  <c r="X9" i="11" s="1"/>
  <c r="S9" i="11"/>
  <c r="R9" i="11"/>
  <c r="Q9" i="11"/>
  <c r="P9" i="11"/>
  <c r="N9" i="11"/>
  <c r="O9" i="11" s="1"/>
  <c r="M9" i="11"/>
  <c r="L9" i="11"/>
  <c r="K9" i="11"/>
  <c r="J9" i="11"/>
  <c r="H9" i="11"/>
  <c r="Z8" i="11"/>
  <c r="Y8" i="11"/>
  <c r="W8" i="11"/>
  <c r="U8" i="11"/>
  <c r="S8" i="11"/>
  <c r="T8" i="11" s="1"/>
  <c r="R8" i="11"/>
  <c r="V8" i="11" s="1"/>
  <c r="X8" i="11" s="1"/>
  <c r="Q8" i="11"/>
  <c r="P8" i="11"/>
  <c r="N8" i="11"/>
  <c r="O8" i="11" s="1"/>
  <c r="M8" i="11"/>
  <c r="L8" i="11"/>
  <c r="K8" i="11"/>
  <c r="J8" i="11"/>
  <c r="H8" i="11"/>
  <c r="Z7" i="11"/>
  <c r="Y7" i="11"/>
  <c r="W7" i="11"/>
  <c r="U7" i="11"/>
  <c r="T7" i="11"/>
  <c r="S7" i="11"/>
  <c r="R7" i="11"/>
  <c r="V7" i="11" s="1"/>
  <c r="X7" i="11" s="1"/>
  <c r="Q7" i="11"/>
  <c r="P7" i="11"/>
  <c r="N7" i="11"/>
  <c r="O7" i="11" s="1"/>
  <c r="M7" i="11"/>
  <c r="L7" i="11"/>
  <c r="K7" i="11"/>
  <c r="J7" i="11"/>
  <c r="H7" i="11"/>
  <c r="Y6" i="11"/>
  <c r="W6" i="11"/>
  <c r="U6" i="11"/>
  <c r="S6" i="11"/>
  <c r="T6" i="11" s="1"/>
  <c r="R6" i="11"/>
  <c r="Q6" i="11"/>
  <c r="P6" i="11"/>
  <c r="N6" i="11"/>
  <c r="O6" i="11" s="1"/>
  <c r="K6" i="11"/>
  <c r="J6" i="11"/>
  <c r="Z6" i="11" s="1"/>
  <c r="H6" i="11"/>
  <c r="L6" i="11" s="1"/>
  <c r="W5" i="11"/>
  <c r="U5" i="11"/>
  <c r="R5" i="11"/>
  <c r="Q5" i="11"/>
  <c r="P5" i="11"/>
  <c r="N5" i="11"/>
  <c r="O5" i="11" s="1"/>
  <c r="M5" i="11"/>
  <c r="L5" i="11"/>
  <c r="K5" i="11"/>
  <c r="S5" i="11" s="1"/>
  <c r="T5" i="11" s="1"/>
  <c r="J5" i="11"/>
  <c r="H5" i="11"/>
  <c r="Z4" i="11"/>
  <c r="Y4" i="11"/>
  <c r="W4" i="11"/>
  <c r="Q4" i="11"/>
  <c r="P4" i="11"/>
  <c r="N4" i="11"/>
  <c r="O4" i="11" s="1"/>
  <c r="K4" i="11"/>
  <c r="J4" i="11"/>
  <c r="H4" i="11"/>
  <c r="L4" i="11" s="1"/>
  <c r="W3" i="11"/>
  <c r="U3" i="11"/>
  <c r="S3" i="11"/>
  <c r="Q3" i="11"/>
  <c r="P3" i="11"/>
  <c r="N3" i="11"/>
  <c r="O3" i="11" s="1"/>
  <c r="M3" i="11"/>
  <c r="L3" i="11"/>
  <c r="K3" i="11"/>
  <c r="R3" i="11" s="1"/>
  <c r="J3" i="11"/>
  <c r="H3" i="11"/>
  <c r="Y2" i="11"/>
  <c r="W2" i="11"/>
  <c r="R2" i="11"/>
  <c r="Q2" i="11"/>
  <c r="P2" i="11"/>
  <c r="N2" i="11"/>
  <c r="O2" i="11" s="1"/>
  <c r="L2" i="11"/>
  <c r="K2" i="11"/>
  <c r="U2" i="11" s="1"/>
  <c r="J2" i="11"/>
  <c r="H2" i="11"/>
  <c r="M2" i="11" s="1"/>
  <c r="Q53" i="10"/>
  <c r="P53" i="10"/>
  <c r="N53" i="10"/>
  <c r="O53" i="10" s="1"/>
  <c r="K53" i="10"/>
  <c r="J53" i="10"/>
  <c r="H53" i="10"/>
  <c r="Q52" i="10"/>
  <c r="P52" i="10"/>
  <c r="N52" i="10"/>
  <c r="O52" i="10" s="1"/>
  <c r="K52" i="10"/>
  <c r="J52" i="10"/>
  <c r="H52" i="10"/>
  <c r="Q51" i="10"/>
  <c r="P51" i="10"/>
  <c r="N51" i="10"/>
  <c r="O51" i="10" s="1"/>
  <c r="K51" i="10"/>
  <c r="J51" i="10"/>
  <c r="H51" i="10"/>
  <c r="L51" i="10" s="1"/>
  <c r="Q50" i="10"/>
  <c r="P50" i="10"/>
  <c r="N50" i="10"/>
  <c r="O50" i="10" s="1"/>
  <c r="K50" i="10"/>
  <c r="J50" i="10"/>
  <c r="H50" i="10"/>
  <c r="M50" i="10" s="1"/>
  <c r="Q49" i="10"/>
  <c r="P49" i="10"/>
  <c r="N49" i="10"/>
  <c r="O49" i="10" s="1"/>
  <c r="K49" i="10"/>
  <c r="J49" i="10"/>
  <c r="H49" i="10"/>
  <c r="M49" i="10" s="1"/>
  <c r="Q48" i="10"/>
  <c r="P48" i="10"/>
  <c r="N48" i="10"/>
  <c r="O48" i="10" s="1"/>
  <c r="K48" i="10"/>
  <c r="J48" i="10"/>
  <c r="H48" i="10"/>
  <c r="M48" i="10" s="1"/>
  <c r="Q47" i="10"/>
  <c r="P47" i="10"/>
  <c r="N47" i="10"/>
  <c r="O47" i="10" s="1"/>
  <c r="K47" i="10"/>
  <c r="J47" i="10"/>
  <c r="H47" i="10"/>
  <c r="L47" i="10" s="1"/>
  <c r="Q46" i="10"/>
  <c r="P46" i="10"/>
  <c r="N46" i="10"/>
  <c r="O46" i="10" s="1"/>
  <c r="K46" i="10"/>
  <c r="J46" i="10"/>
  <c r="H46" i="10"/>
  <c r="Q45" i="10"/>
  <c r="P45" i="10"/>
  <c r="N45" i="10"/>
  <c r="O45" i="10" s="1"/>
  <c r="K45" i="10"/>
  <c r="J45" i="10"/>
  <c r="H45" i="10"/>
  <c r="L45" i="10" s="1"/>
  <c r="Q44" i="10"/>
  <c r="P44" i="10"/>
  <c r="N44" i="10"/>
  <c r="O44" i="10" s="1"/>
  <c r="K44" i="10"/>
  <c r="J44" i="10"/>
  <c r="H44" i="10"/>
  <c r="Q43" i="10"/>
  <c r="P43" i="10"/>
  <c r="N43" i="10"/>
  <c r="O43" i="10" s="1"/>
  <c r="K43" i="10"/>
  <c r="J43" i="10"/>
  <c r="H43" i="10"/>
  <c r="Q42" i="10"/>
  <c r="P42" i="10"/>
  <c r="N42" i="10"/>
  <c r="O42" i="10" s="1"/>
  <c r="K42" i="10"/>
  <c r="J42" i="10"/>
  <c r="H42" i="10"/>
  <c r="M42" i="10" s="1"/>
  <c r="Q41" i="10"/>
  <c r="P41" i="10"/>
  <c r="N41" i="10"/>
  <c r="O41" i="10" s="1"/>
  <c r="K41" i="10"/>
  <c r="J41" i="10"/>
  <c r="H41" i="10"/>
  <c r="M41" i="10" s="1"/>
  <c r="Q40" i="10"/>
  <c r="P40" i="10"/>
  <c r="N40" i="10"/>
  <c r="O40" i="10" s="1"/>
  <c r="K40" i="10"/>
  <c r="J40" i="10"/>
  <c r="H40" i="10"/>
  <c r="L40" i="10" s="1"/>
  <c r="Q39" i="10"/>
  <c r="P39" i="10"/>
  <c r="N39" i="10"/>
  <c r="O39" i="10" s="1"/>
  <c r="K39" i="10"/>
  <c r="J39" i="10"/>
  <c r="H39" i="10"/>
  <c r="L39" i="10" s="1"/>
  <c r="Q38" i="10"/>
  <c r="P38" i="10"/>
  <c r="N38" i="10"/>
  <c r="O38" i="10" s="1"/>
  <c r="K38" i="10"/>
  <c r="J38" i="10"/>
  <c r="H38" i="10"/>
  <c r="M38" i="10" s="1"/>
  <c r="Q37" i="10"/>
  <c r="P37" i="10"/>
  <c r="N37" i="10"/>
  <c r="O37" i="10" s="1"/>
  <c r="K37" i="10"/>
  <c r="J37" i="10"/>
  <c r="H37" i="10"/>
  <c r="Q36" i="10"/>
  <c r="P36" i="10"/>
  <c r="N36" i="10"/>
  <c r="O36" i="10" s="1"/>
  <c r="K36" i="10"/>
  <c r="J36" i="10"/>
  <c r="H36" i="10"/>
  <c r="Q35" i="10"/>
  <c r="P35" i="10"/>
  <c r="N35" i="10"/>
  <c r="O35" i="10" s="1"/>
  <c r="K35" i="10"/>
  <c r="J35" i="10"/>
  <c r="H35" i="10"/>
  <c r="Q34" i="10"/>
  <c r="P34" i="10"/>
  <c r="N34" i="10"/>
  <c r="O34" i="10" s="1"/>
  <c r="K34" i="10"/>
  <c r="J34" i="10"/>
  <c r="H34" i="10"/>
  <c r="M34" i="10" s="1"/>
  <c r="Q33" i="10"/>
  <c r="P33" i="10"/>
  <c r="N33" i="10"/>
  <c r="O33" i="10" s="1"/>
  <c r="M33" i="10"/>
  <c r="L33" i="10"/>
  <c r="K33" i="10"/>
  <c r="J33" i="10"/>
  <c r="H33" i="10"/>
  <c r="Q32" i="10"/>
  <c r="P32" i="10"/>
  <c r="N32" i="10"/>
  <c r="O32" i="10" s="1"/>
  <c r="K32" i="10"/>
  <c r="J32" i="10"/>
  <c r="H32" i="10"/>
  <c r="M32" i="10" s="1"/>
  <c r="Q31" i="10"/>
  <c r="P31" i="10"/>
  <c r="N31" i="10"/>
  <c r="O31" i="10" s="1"/>
  <c r="K31" i="10"/>
  <c r="J31" i="10"/>
  <c r="H31" i="10"/>
  <c r="Q30" i="10"/>
  <c r="P30" i="10"/>
  <c r="O30" i="10"/>
  <c r="N30" i="10"/>
  <c r="K30" i="10"/>
  <c r="J30" i="10"/>
  <c r="H30" i="10"/>
  <c r="Q29" i="10"/>
  <c r="P29" i="10"/>
  <c r="N29" i="10"/>
  <c r="O29" i="10" s="1"/>
  <c r="M29" i="10"/>
  <c r="L29" i="10"/>
  <c r="K29" i="10"/>
  <c r="J29" i="10"/>
  <c r="H29" i="10"/>
  <c r="Q28" i="10"/>
  <c r="P28" i="10"/>
  <c r="N28" i="10"/>
  <c r="O28" i="10" s="1"/>
  <c r="M28" i="10"/>
  <c r="L28" i="10"/>
  <c r="K28" i="10"/>
  <c r="J28" i="10"/>
  <c r="H28" i="10"/>
  <c r="Q27" i="10"/>
  <c r="P27" i="10"/>
  <c r="N27" i="10"/>
  <c r="O27" i="10" s="1"/>
  <c r="M27" i="10"/>
  <c r="L27" i="10"/>
  <c r="K27" i="10"/>
  <c r="J27" i="10"/>
  <c r="H27" i="10"/>
  <c r="Q26" i="10"/>
  <c r="P26" i="10"/>
  <c r="N26" i="10"/>
  <c r="O26" i="10" s="1"/>
  <c r="K26" i="10"/>
  <c r="J26" i="10"/>
  <c r="H26" i="10"/>
  <c r="M26" i="10" s="1"/>
  <c r="Q25" i="10"/>
  <c r="P25" i="10"/>
  <c r="N25" i="10"/>
  <c r="O25" i="10" s="1"/>
  <c r="K25" i="10"/>
  <c r="J25" i="10"/>
  <c r="H25" i="10"/>
  <c r="M25" i="10" s="1"/>
  <c r="Q24" i="10"/>
  <c r="P24" i="10"/>
  <c r="N24" i="10"/>
  <c r="O24" i="10" s="1"/>
  <c r="K24" i="10"/>
  <c r="J24" i="10"/>
  <c r="H24" i="10"/>
  <c r="L24" i="10" s="1"/>
  <c r="Q23" i="10"/>
  <c r="P23" i="10"/>
  <c r="N23" i="10"/>
  <c r="O23" i="10" s="1"/>
  <c r="M23" i="10"/>
  <c r="L23" i="10"/>
  <c r="K23" i="10"/>
  <c r="J23" i="10"/>
  <c r="H23" i="10"/>
  <c r="Q22" i="10"/>
  <c r="P22" i="10"/>
  <c r="N22" i="10"/>
  <c r="O22" i="10" s="1"/>
  <c r="K22" i="10"/>
  <c r="J22" i="10"/>
  <c r="H22" i="10"/>
  <c r="M22" i="10" s="1"/>
  <c r="Q21" i="10"/>
  <c r="P21" i="10"/>
  <c r="N21" i="10"/>
  <c r="O21" i="10" s="1"/>
  <c r="M21" i="10"/>
  <c r="L21" i="10"/>
  <c r="K21" i="10"/>
  <c r="J21" i="10"/>
  <c r="H21" i="10"/>
  <c r="Q20" i="10"/>
  <c r="P20" i="10"/>
  <c r="N20" i="10"/>
  <c r="O20" i="10" s="1"/>
  <c r="M20" i="10"/>
  <c r="L20" i="10"/>
  <c r="K20" i="10"/>
  <c r="J20" i="10"/>
  <c r="H20" i="10"/>
  <c r="Q19" i="10"/>
  <c r="P19" i="10"/>
  <c r="N19" i="10"/>
  <c r="O19" i="10" s="1"/>
  <c r="K19" i="10"/>
  <c r="J19" i="10"/>
  <c r="H19" i="10"/>
  <c r="Q18" i="10"/>
  <c r="P18" i="10"/>
  <c r="N18" i="10"/>
  <c r="O18" i="10" s="1"/>
  <c r="M18" i="10"/>
  <c r="L18" i="10"/>
  <c r="K18" i="10"/>
  <c r="J18" i="10"/>
  <c r="H18" i="10"/>
  <c r="Q17" i="10"/>
  <c r="P17" i="10"/>
  <c r="N17" i="10"/>
  <c r="O17" i="10" s="1"/>
  <c r="M17" i="10"/>
  <c r="L17" i="10"/>
  <c r="K17" i="10"/>
  <c r="J17" i="10"/>
  <c r="H17" i="10"/>
  <c r="Q16" i="10"/>
  <c r="P16" i="10"/>
  <c r="N16" i="10"/>
  <c r="O16" i="10" s="1"/>
  <c r="M16" i="10"/>
  <c r="L16" i="10"/>
  <c r="K16" i="10"/>
  <c r="J16" i="10"/>
  <c r="H16" i="10"/>
  <c r="Q15" i="10"/>
  <c r="P15" i="10"/>
  <c r="N15" i="10"/>
  <c r="O15" i="10" s="1"/>
  <c r="M15" i="10"/>
  <c r="L15" i="10"/>
  <c r="K15" i="10"/>
  <c r="J15" i="10"/>
  <c r="H15" i="10"/>
  <c r="Q14" i="10"/>
  <c r="P14" i="10"/>
  <c r="N14" i="10"/>
  <c r="O14" i="10" s="1"/>
  <c r="M14" i="10"/>
  <c r="L14" i="10"/>
  <c r="K14" i="10"/>
  <c r="J14" i="10"/>
  <c r="H14" i="10"/>
  <c r="Q13" i="10"/>
  <c r="P13" i="10"/>
  <c r="N13" i="10"/>
  <c r="O13" i="10" s="1"/>
  <c r="M13" i="10"/>
  <c r="L13" i="10"/>
  <c r="K13" i="10"/>
  <c r="J13" i="10"/>
  <c r="H13" i="10"/>
  <c r="Q12" i="10"/>
  <c r="P12" i="10"/>
  <c r="N12" i="10"/>
  <c r="O12" i="10" s="1"/>
  <c r="K12" i="10"/>
  <c r="J12" i="10"/>
  <c r="H12" i="10"/>
  <c r="M12" i="10" s="1"/>
  <c r="Q11" i="10"/>
  <c r="P11" i="10"/>
  <c r="N11" i="10"/>
  <c r="O11" i="10" s="1"/>
  <c r="M11" i="10"/>
  <c r="L11" i="10"/>
  <c r="K11" i="10"/>
  <c r="J11" i="10"/>
  <c r="H11" i="10"/>
  <c r="Q10" i="10"/>
  <c r="P10" i="10"/>
  <c r="N10" i="10"/>
  <c r="O10" i="10" s="1"/>
  <c r="M10" i="10"/>
  <c r="L10" i="10"/>
  <c r="K10" i="10"/>
  <c r="J10" i="10"/>
  <c r="H10" i="10"/>
  <c r="Z9" i="10"/>
  <c r="Y9" i="10"/>
  <c r="W9" i="10"/>
  <c r="V9" i="10"/>
  <c r="X9" i="10" s="1"/>
  <c r="U9" i="10"/>
  <c r="S9" i="10"/>
  <c r="T9" i="10" s="1"/>
  <c r="R9" i="10"/>
  <c r="Q9" i="10"/>
  <c r="P9" i="10"/>
  <c r="N9" i="10"/>
  <c r="O9" i="10" s="1"/>
  <c r="M9" i="10"/>
  <c r="L9" i="10"/>
  <c r="K9" i="10"/>
  <c r="J9" i="10"/>
  <c r="H9" i="10"/>
  <c r="Z8" i="10"/>
  <c r="Y8" i="10"/>
  <c r="W8" i="10"/>
  <c r="U8" i="10"/>
  <c r="T8" i="10"/>
  <c r="S8" i="10"/>
  <c r="R8" i="10"/>
  <c r="V8" i="10" s="1"/>
  <c r="X8" i="10" s="1"/>
  <c r="Q8" i="10"/>
  <c r="P8" i="10"/>
  <c r="N8" i="10"/>
  <c r="O8" i="10" s="1"/>
  <c r="M8" i="10"/>
  <c r="L8" i="10"/>
  <c r="K8" i="10"/>
  <c r="J8" i="10"/>
  <c r="H8" i="10"/>
  <c r="Y7" i="10"/>
  <c r="Z7" i="10" s="1"/>
  <c r="W7" i="10"/>
  <c r="U7" i="10"/>
  <c r="S7" i="10"/>
  <c r="T7" i="10" s="1"/>
  <c r="R7" i="10"/>
  <c r="V7" i="10" s="1"/>
  <c r="X7" i="10" s="1"/>
  <c r="Q7" i="10"/>
  <c r="P7" i="10"/>
  <c r="N7" i="10"/>
  <c r="O7" i="10" s="1"/>
  <c r="M7" i="10"/>
  <c r="L7" i="10"/>
  <c r="K7" i="10"/>
  <c r="J7" i="10"/>
  <c r="H7" i="10"/>
  <c r="W6" i="10"/>
  <c r="U6" i="10"/>
  <c r="S6" i="10"/>
  <c r="R6" i="10"/>
  <c r="Q6" i="10"/>
  <c r="P6" i="10"/>
  <c r="N6" i="10"/>
  <c r="O6" i="10" s="1"/>
  <c r="M6" i="10"/>
  <c r="L6" i="10"/>
  <c r="K6" i="10"/>
  <c r="J6" i="10"/>
  <c r="H6" i="10"/>
  <c r="W5" i="10"/>
  <c r="U5" i="10"/>
  <c r="S5" i="10"/>
  <c r="T5" i="10" s="1"/>
  <c r="R5" i="10"/>
  <c r="Q5" i="10"/>
  <c r="P5" i="10"/>
  <c r="N5" i="10"/>
  <c r="O5" i="10" s="1"/>
  <c r="M5" i="10"/>
  <c r="L5" i="10"/>
  <c r="K5" i="10"/>
  <c r="J5" i="10"/>
  <c r="H5" i="10"/>
  <c r="W4" i="10"/>
  <c r="R4" i="10"/>
  <c r="Q4" i="10"/>
  <c r="P4" i="10"/>
  <c r="O4" i="10"/>
  <c r="N4" i="10"/>
  <c r="M4" i="10"/>
  <c r="L4" i="10"/>
  <c r="K4" i="10"/>
  <c r="J4" i="10"/>
  <c r="H4" i="10"/>
  <c r="W3" i="10"/>
  <c r="V3" i="10"/>
  <c r="X3" i="10" s="1"/>
  <c r="U3" i="10"/>
  <c r="T3" i="10"/>
  <c r="S3" i="10"/>
  <c r="R3" i="10"/>
  <c r="Q3" i="10"/>
  <c r="P3" i="10"/>
  <c r="N3" i="10"/>
  <c r="O3" i="10" s="1"/>
  <c r="M3" i="10"/>
  <c r="L3" i="10"/>
  <c r="K3" i="10"/>
  <c r="J3" i="10"/>
  <c r="H3" i="10"/>
  <c r="W2" i="10"/>
  <c r="V2" i="10"/>
  <c r="X2" i="10" s="1"/>
  <c r="Y2" i="10" s="1"/>
  <c r="U2" i="10"/>
  <c r="T2" i="10"/>
  <c r="R2" i="10"/>
  <c r="Q2" i="10"/>
  <c r="P2" i="10"/>
  <c r="N2" i="10"/>
  <c r="O2" i="10" s="1"/>
  <c r="M2" i="10"/>
  <c r="L2" i="10"/>
  <c r="K2" i="10"/>
  <c r="S2" i="10" s="1"/>
  <c r="J2" i="10"/>
  <c r="H2" i="10"/>
  <c r="Q102" i="8"/>
  <c r="P102" i="8"/>
  <c r="N102" i="8"/>
  <c r="O102" i="8" s="1"/>
  <c r="K102" i="8"/>
  <c r="J102" i="8"/>
  <c r="H102" i="8"/>
  <c r="L102" i="8" s="1"/>
  <c r="Q101" i="8"/>
  <c r="P101" i="8"/>
  <c r="N101" i="8"/>
  <c r="O101" i="8" s="1"/>
  <c r="K101" i="8"/>
  <c r="J101" i="8"/>
  <c r="H101" i="8"/>
  <c r="L101" i="8" s="1"/>
  <c r="Q100" i="8"/>
  <c r="P100" i="8"/>
  <c r="N100" i="8"/>
  <c r="O100" i="8" s="1"/>
  <c r="K100" i="8"/>
  <c r="J100" i="8"/>
  <c r="H100" i="8"/>
  <c r="L100" i="8" s="1"/>
  <c r="Q99" i="8"/>
  <c r="P99" i="8"/>
  <c r="N99" i="8"/>
  <c r="O99" i="8" s="1"/>
  <c r="K99" i="8"/>
  <c r="J99" i="8"/>
  <c r="H99" i="8"/>
  <c r="L99" i="8" s="1"/>
  <c r="Q98" i="8"/>
  <c r="P98" i="8"/>
  <c r="N98" i="8"/>
  <c r="O98" i="8" s="1"/>
  <c r="K98" i="8"/>
  <c r="J98" i="8"/>
  <c r="H98" i="8"/>
  <c r="L98" i="8" s="1"/>
  <c r="Q97" i="8"/>
  <c r="P97" i="8"/>
  <c r="N97" i="8"/>
  <c r="O97" i="8" s="1"/>
  <c r="K97" i="8"/>
  <c r="J97" i="8"/>
  <c r="H97" i="8"/>
  <c r="M97" i="8" s="1"/>
  <c r="Q96" i="8"/>
  <c r="P96" i="8"/>
  <c r="N96" i="8"/>
  <c r="O96" i="8" s="1"/>
  <c r="K96" i="8"/>
  <c r="J96" i="8"/>
  <c r="H96" i="8"/>
  <c r="M96" i="8" s="1"/>
  <c r="Q95" i="8"/>
  <c r="P95" i="8"/>
  <c r="N95" i="8"/>
  <c r="O95" i="8" s="1"/>
  <c r="K95" i="8"/>
  <c r="J95" i="8"/>
  <c r="H95" i="8"/>
  <c r="Q94" i="8"/>
  <c r="P94" i="8"/>
  <c r="N94" i="8"/>
  <c r="O94" i="8" s="1"/>
  <c r="K94" i="8"/>
  <c r="J94" i="8"/>
  <c r="H94" i="8"/>
  <c r="Q93" i="8"/>
  <c r="P93" i="8"/>
  <c r="N93" i="8"/>
  <c r="O93" i="8" s="1"/>
  <c r="K93" i="8"/>
  <c r="J93" i="8"/>
  <c r="H93" i="8"/>
  <c r="Q92" i="8"/>
  <c r="P92" i="8"/>
  <c r="N92" i="8"/>
  <c r="O92" i="8" s="1"/>
  <c r="K92" i="8"/>
  <c r="J92" i="8"/>
  <c r="H92" i="8"/>
  <c r="M92" i="8" s="1"/>
  <c r="Q91" i="8"/>
  <c r="P91" i="8"/>
  <c r="N91" i="8"/>
  <c r="O91" i="8" s="1"/>
  <c r="K91" i="8"/>
  <c r="J91" i="8"/>
  <c r="H91" i="8"/>
  <c r="M91" i="8" s="1"/>
  <c r="Q90" i="8"/>
  <c r="P90" i="8"/>
  <c r="N90" i="8"/>
  <c r="O90" i="8" s="1"/>
  <c r="L90" i="8"/>
  <c r="K90" i="8"/>
  <c r="J90" i="8"/>
  <c r="H90" i="8"/>
  <c r="M90" i="8" s="1"/>
  <c r="Q89" i="8"/>
  <c r="P89" i="8"/>
  <c r="N89" i="8"/>
  <c r="O89" i="8" s="1"/>
  <c r="K89" i="8"/>
  <c r="J89" i="8"/>
  <c r="H89" i="8"/>
  <c r="L89" i="8" s="1"/>
  <c r="Q88" i="8"/>
  <c r="P88" i="8"/>
  <c r="N88" i="8"/>
  <c r="O88" i="8" s="1"/>
  <c r="M88" i="8"/>
  <c r="K88" i="8"/>
  <c r="J88" i="8"/>
  <c r="H88" i="8"/>
  <c r="L88" i="8" s="1"/>
  <c r="Q87" i="8"/>
  <c r="P87" i="8"/>
  <c r="N87" i="8"/>
  <c r="O87" i="8" s="1"/>
  <c r="K87" i="8"/>
  <c r="J87" i="8"/>
  <c r="H87" i="8"/>
  <c r="L87" i="8" s="1"/>
  <c r="Q86" i="8"/>
  <c r="P86" i="8"/>
  <c r="N86" i="8"/>
  <c r="O86" i="8" s="1"/>
  <c r="M86" i="8"/>
  <c r="L86" i="8"/>
  <c r="K86" i="8"/>
  <c r="J86" i="8"/>
  <c r="H86" i="8"/>
  <c r="Q85" i="8"/>
  <c r="P85" i="8"/>
  <c r="N85" i="8"/>
  <c r="O85" i="8" s="1"/>
  <c r="K85" i="8"/>
  <c r="J85" i="8"/>
  <c r="H85" i="8"/>
  <c r="M85" i="8" s="1"/>
  <c r="Q84" i="8"/>
  <c r="P84" i="8"/>
  <c r="N84" i="8"/>
  <c r="O84" i="8" s="1"/>
  <c r="K84" i="8"/>
  <c r="J84" i="8"/>
  <c r="H84" i="8"/>
  <c r="M84" i="8" s="1"/>
  <c r="Q83" i="8"/>
  <c r="P83" i="8"/>
  <c r="N83" i="8"/>
  <c r="O83" i="8" s="1"/>
  <c r="K83" i="8"/>
  <c r="J83" i="8"/>
  <c r="H83" i="8"/>
  <c r="M83" i="8" s="1"/>
  <c r="Q82" i="8"/>
  <c r="P82" i="8"/>
  <c r="N82" i="8"/>
  <c r="O82" i="8" s="1"/>
  <c r="K82" i="8"/>
  <c r="J82" i="8"/>
  <c r="H82" i="8"/>
  <c r="L82" i="8" s="1"/>
  <c r="Q81" i="8"/>
  <c r="P81" i="8"/>
  <c r="N81" i="8"/>
  <c r="O81" i="8" s="1"/>
  <c r="K81" i="8"/>
  <c r="J81" i="8"/>
  <c r="H81" i="8"/>
  <c r="L81" i="8" s="1"/>
  <c r="Q80" i="8"/>
  <c r="P80" i="8"/>
  <c r="N80" i="8"/>
  <c r="O80" i="8" s="1"/>
  <c r="L80" i="8"/>
  <c r="K80" i="8"/>
  <c r="J80" i="8"/>
  <c r="H80" i="8"/>
  <c r="M80" i="8" s="1"/>
  <c r="Q79" i="8"/>
  <c r="P79" i="8"/>
  <c r="N79" i="8"/>
  <c r="O79" i="8" s="1"/>
  <c r="K79" i="8"/>
  <c r="J79" i="8"/>
  <c r="H79" i="8"/>
  <c r="Q78" i="8"/>
  <c r="P78" i="8"/>
  <c r="N78" i="8"/>
  <c r="O78" i="8" s="1"/>
  <c r="K78" i="8"/>
  <c r="J78" i="8"/>
  <c r="H78" i="8"/>
  <c r="M78" i="8" s="1"/>
  <c r="Q77" i="8"/>
  <c r="P77" i="8"/>
  <c r="O77" i="8"/>
  <c r="N77" i="8"/>
  <c r="K77" i="8"/>
  <c r="J77" i="8"/>
  <c r="H77" i="8"/>
  <c r="M77" i="8" s="1"/>
  <c r="Q76" i="8"/>
  <c r="P76" i="8"/>
  <c r="N76" i="8"/>
  <c r="O76" i="8" s="1"/>
  <c r="K76" i="8"/>
  <c r="J76" i="8"/>
  <c r="H76" i="8"/>
  <c r="L76" i="8" s="1"/>
  <c r="Q75" i="8"/>
  <c r="P75" i="8"/>
  <c r="N75" i="8"/>
  <c r="O75" i="8" s="1"/>
  <c r="K75" i="8"/>
  <c r="J75" i="8"/>
  <c r="H75" i="8"/>
  <c r="M75" i="8" s="1"/>
  <c r="Q74" i="8"/>
  <c r="P74" i="8"/>
  <c r="N74" i="8"/>
  <c r="O74" i="8" s="1"/>
  <c r="K74" i="8"/>
  <c r="J74" i="8"/>
  <c r="H74" i="8"/>
  <c r="M74" i="8" s="1"/>
  <c r="Q73" i="8"/>
  <c r="P73" i="8"/>
  <c r="N73" i="8"/>
  <c r="O73" i="8" s="1"/>
  <c r="K73" i="8"/>
  <c r="J73" i="8"/>
  <c r="H73" i="8"/>
  <c r="L73" i="8" s="1"/>
  <c r="Q72" i="8"/>
  <c r="P72" i="8"/>
  <c r="N72" i="8"/>
  <c r="O72" i="8" s="1"/>
  <c r="K72" i="8"/>
  <c r="J72" i="8"/>
  <c r="H72" i="8"/>
  <c r="L72" i="8" s="1"/>
  <c r="Q71" i="8"/>
  <c r="P71" i="8"/>
  <c r="N71" i="8"/>
  <c r="O71" i="8" s="1"/>
  <c r="K71" i="8"/>
  <c r="J71" i="8"/>
  <c r="H71" i="8"/>
  <c r="L71" i="8" s="1"/>
  <c r="Q70" i="8"/>
  <c r="P70" i="8"/>
  <c r="N70" i="8"/>
  <c r="O70" i="8" s="1"/>
  <c r="K70" i="8"/>
  <c r="J70" i="8"/>
  <c r="H70" i="8"/>
  <c r="M70" i="8" s="1"/>
  <c r="Q69" i="8"/>
  <c r="P69" i="8"/>
  <c r="N69" i="8"/>
  <c r="O69" i="8" s="1"/>
  <c r="K69" i="8"/>
  <c r="J69" i="8"/>
  <c r="H69" i="8"/>
  <c r="Q68" i="8"/>
  <c r="P68" i="8"/>
  <c r="N68" i="8"/>
  <c r="O68" i="8" s="1"/>
  <c r="K68" i="8"/>
  <c r="J68" i="8"/>
  <c r="H68" i="8"/>
  <c r="M68" i="8" s="1"/>
  <c r="Q67" i="8"/>
  <c r="P67" i="8"/>
  <c r="N67" i="8"/>
  <c r="O67" i="8" s="1"/>
  <c r="M67" i="8"/>
  <c r="L67" i="8"/>
  <c r="K67" i="8"/>
  <c r="J67" i="8"/>
  <c r="H67" i="8"/>
  <c r="Q66" i="8"/>
  <c r="P66" i="8"/>
  <c r="N66" i="8"/>
  <c r="O66" i="8" s="1"/>
  <c r="K66" i="8"/>
  <c r="J66" i="8"/>
  <c r="H66" i="8"/>
  <c r="M66" i="8" s="1"/>
  <c r="Q65" i="8"/>
  <c r="P65" i="8"/>
  <c r="N65" i="8"/>
  <c r="O65" i="8" s="1"/>
  <c r="K65" i="8"/>
  <c r="J65" i="8"/>
  <c r="H65" i="8"/>
  <c r="Q64" i="8"/>
  <c r="P64" i="8"/>
  <c r="N64" i="8"/>
  <c r="O64" i="8" s="1"/>
  <c r="K64" i="8"/>
  <c r="J64" i="8"/>
  <c r="H64" i="8"/>
  <c r="M64" i="8" s="1"/>
  <c r="Q63" i="8"/>
  <c r="P63" i="8"/>
  <c r="N63" i="8"/>
  <c r="O63" i="8" s="1"/>
  <c r="K63" i="8"/>
  <c r="J63" i="8"/>
  <c r="H63" i="8"/>
  <c r="L63" i="8" s="1"/>
  <c r="Q62" i="8"/>
  <c r="P62" i="8"/>
  <c r="N62" i="8"/>
  <c r="O62" i="8" s="1"/>
  <c r="K62" i="8"/>
  <c r="J62" i="8"/>
  <c r="H62" i="8"/>
  <c r="M62" i="8" s="1"/>
  <c r="Q61" i="8"/>
  <c r="P61" i="8"/>
  <c r="N61" i="8"/>
  <c r="O61" i="8" s="1"/>
  <c r="K61" i="8"/>
  <c r="J61" i="8"/>
  <c r="H61" i="8"/>
  <c r="M61" i="8" s="1"/>
  <c r="Q60" i="8"/>
  <c r="P60" i="8"/>
  <c r="N60" i="8"/>
  <c r="O60" i="8" s="1"/>
  <c r="M60" i="8"/>
  <c r="L60" i="8"/>
  <c r="K60" i="8"/>
  <c r="J60" i="8"/>
  <c r="H60" i="8"/>
  <c r="Q59" i="8"/>
  <c r="P59" i="8"/>
  <c r="N59" i="8"/>
  <c r="O59" i="8" s="1"/>
  <c r="M59" i="8"/>
  <c r="L59" i="8"/>
  <c r="K59" i="8"/>
  <c r="J59" i="8"/>
  <c r="H59" i="8"/>
  <c r="Q58" i="8"/>
  <c r="P58" i="8"/>
  <c r="N58" i="8"/>
  <c r="O58" i="8" s="1"/>
  <c r="L58" i="8"/>
  <c r="K58" i="8"/>
  <c r="J58" i="8"/>
  <c r="H58" i="8"/>
  <c r="M58" i="8" s="1"/>
  <c r="Q57" i="8"/>
  <c r="P57" i="8"/>
  <c r="N57" i="8"/>
  <c r="O57" i="8" s="1"/>
  <c r="K57" i="8"/>
  <c r="J57" i="8"/>
  <c r="H57" i="8"/>
  <c r="L57" i="8" s="1"/>
  <c r="Q56" i="8"/>
  <c r="P56" i="8"/>
  <c r="N56" i="8"/>
  <c r="O56" i="8" s="1"/>
  <c r="K56" i="8"/>
  <c r="J56" i="8"/>
  <c r="H56" i="8"/>
  <c r="M56" i="8" s="1"/>
  <c r="Q55" i="8"/>
  <c r="P55" i="8"/>
  <c r="N55" i="8"/>
  <c r="O55" i="8" s="1"/>
  <c r="K55" i="8"/>
  <c r="J55" i="8"/>
  <c r="H55" i="8"/>
  <c r="L55" i="8" s="1"/>
  <c r="Q54" i="8"/>
  <c r="P54" i="8"/>
  <c r="N54" i="8"/>
  <c r="O54" i="8" s="1"/>
  <c r="K54" i="8"/>
  <c r="J54" i="8"/>
  <c r="H54" i="8"/>
  <c r="M54" i="8" s="1"/>
  <c r="Q53" i="8"/>
  <c r="P53" i="8"/>
  <c r="N53" i="8"/>
  <c r="O53" i="8" s="1"/>
  <c r="K53" i="8"/>
  <c r="J53" i="8"/>
  <c r="H53" i="8"/>
  <c r="M53" i="8" s="1"/>
  <c r="Q52" i="8"/>
  <c r="P52" i="8"/>
  <c r="N52" i="8"/>
  <c r="O52" i="8" s="1"/>
  <c r="K52" i="8"/>
  <c r="J52" i="8"/>
  <c r="H52" i="8"/>
  <c r="M52" i="8" s="1"/>
  <c r="Q51" i="8"/>
  <c r="P51" i="8"/>
  <c r="N51" i="8"/>
  <c r="O51" i="8" s="1"/>
  <c r="K51" i="8"/>
  <c r="J51" i="8"/>
  <c r="H51" i="8"/>
  <c r="Q50" i="8"/>
  <c r="P50" i="8"/>
  <c r="N50" i="8"/>
  <c r="O50" i="8" s="1"/>
  <c r="K50" i="8"/>
  <c r="J50" i="8"/>
  <c r="H50" i="8"/>
  <c r="Q49" i="8"/>
  <c r="P49" i="8"/>
  <c r="N49" i="8"/>
  <c r="O49" i="8" s="1"/>
  <c r="K49" i="8"/>
  <c r="J49" i="8"/>
  <c r="H49" i="8"/>
  <c r="M49" i="8" s="1"/>
  <c r="Q48" i="8"/>
  <c r="P48" i="8"/>
  <c r="N48" i="8"/>
  <c r="O48" i="8" s="1"/>
  <c r="K48" i="8"/>
  <c r="J48" i="8"/>
  <c r="H48" i="8"/>
  <c r="M48" i="8" s="1"/>
  <c r="Q47" i="8"/>
  <c r="P47" i="8"/>
  <c r="N47" i="8"/>
  <c r="O47" i="8" s="1"/>
  <c r="K47" i="8"/>
  <c r="J47" i="8"/>
  <c r="H47" i="8"/>
  <c r="L47" i="8" s="1"/>
  <c r="Q46" i="8"/>
  <c r="P46" i="8"/>
  <c r="N46" i="8"/>
  <c r="O46" i="8" s="1"/>
  <c r="M46" i="8"/>
  <c r="L46" i="8"/>
  <c r="K46" i="8"/>
  <c r="J46" i="8"/>
  <c r="H46" i="8"/>
  <c r="Q45" i="8"/>
  <c r="P45" i="8"/>
  <c r="N45" i="8"/>
  <c r="O45" i="8" s="1"/>
  <c r="M45" i="8"/>
  <c r="L45" i="8"/>
  <c r="K45" i="8"/>
  <c r="J45" i="8"/>
  <c r="H45" i="8"/>
  <c r="Q44" i="8"/>
  <c r="P44" i="8"/>
  <c r="N44" i="8"/>
  <c r="O44" i="8" s="1"/>
  <c r="M44" i="8"/>
  <c r="L44" i="8"/>
  <c r="K44" i="8"/>
  <c r="J44" i="8"/>
  <c r="H44" i="8"/>
  <c r="Q43" i="8"/>
  <c r="P43" i="8"/>
  <c r="N43" i="8"/>
  <c r="O43" i="8" s="1"/>
  <c r="M43" i="8"/>
  <c r="L43" i="8"/>
  <c r="K43" i="8"/>
  <c r="J43" i="8"/>
  <c r="H43" i="8"/>
  <c r="Q42" i="8"/>
  <c r="P42" i="8"/>
  <c r="N42" i="8"/>
  <c r="O42" i="8" s="1"/>
  <c r="K42" i="8"/>
  <c r="J42" i="8"/>
  <c r="H42" i="8"/>
  <c r="Q41" i="8"/>
  <c r="P41" i="8"/>
  <c r="N41" i="8"/>
  <c r="O41" i="8" s="1"/>
  <c r="K41" i="8"/>
  <c r="J41" i="8"/>
  <c r="H41" i="8"/>
  <c r="L41" i="8" s="1"/>
  <c r="Q40" i="8"/>
  <c r="P40" i="8"/>
  <c r="N40" i="8"/>
  <c r="O40" i="8" s="1"/>
  <c r="M40" i="8"/>
  <c r="L40" i="8"/>
  <c r="K40" i="8"/>
  <c r="J40" i="8"/>
  <c r="H40" i="8"/>
  <c r="Q39" i="8"/>
  <c r="P39" i="8"/>
  <c r="N39" i="8"/>
  <c r="O39" i="8" s="1"/>
  <c r="M39" i="8"/>
  <c r="L39" i="8"/>
  <c r="K39" i="8"/>
  <c r="J39" i="8"/>
  <c r="H39" i="8"/>
  <c r="Q38" i="8"/>
  <c r="P38" i="8"/>
  <c r="N38" i="8"/>
  <c r="O38" i="8" s="1"/>
  <c r="M38" i="8"/>
  <c r="L38" i="8"/>
  <c r="K38" i="8"/>
  <c r="J38" i="8"/>
  <c r="H38" i="8"/>
  <c r="Q37" i="8"/>
  <c r="P37" i="8"/>
  <c r="N37" i="8"/>
  <c r="O37" i="8" s="1"/>
  <c r="M37" i="8"/>
  <c r="L37" i="8"/>
  <c r="K37" i="8"/>
  <c r="J37" i="8"/>
  <c r="H37" i="8"/>
  <c r="Q36" i="8"/>
  <c r="P36" i="8"/>
  <c r="N36" i="8"/>
  <c r="O36" i="8" s="1"/>
  <c r="K36" i="8"/>
  <c r="J36" i="8"/>
  <c r="H36" i="8"/>
  <c r="Q35" i="8"/>
  <c r="P35" i="8"/>
  <c r="N35" i="8"/>
  <c r="O35" i="8" s="1"/>
  <c r="M35" i="8"/>
  <c r="L35" i="8"/>
  <c r="K35" i="8"/>
  <c r="J35" i="8"/>
  <c r="H35" i="8"/>
  <c r="Q34" i="8"/>
  <c r="P34" i="8"/>
  <c r="N34" i="8"/>
  <c r="O34" i="8" s="1"/>
  <c r="K34" i="8"/>
  <c r="J34" i="8"/>
  <c r="H34" i="8"/>
  <c r="Q33" i="8"/>
  <c r="P33" i="8"/>
  <c r="N33" i="8"/>
  <c r="O33" i="8" s="1"/>
  <c r="K33" i="8"/>
  <c r="J33" i="8"/>
  <c r="H33" i="8"/>
  <c r="M33" i="8" s="1"/>
  <c r="Q32" i="8"/>
  <c r="P32" i="8"/>
  <c r="N32" i="8"/>
  <c r="O32" i="8" s="1"/>
  <c r="K32" i="8"/>
  <c r="J32" i="8"/>
  <c r="H32" i="8"/>
  <c r="Q31" i="8"/>
  <c r="P31" i="8"/>
  <c r="N31" i="8"/>
  <c r="O31" i="8" s="1"/>
  <c r="M31" i="8"/>
  <c r="L31" i="8"/>
  <c r="K31" i="8"/>
  <c r="J31" i="8"/>
  <c r="H31" i="8"/>
  <c r="Q30" i="8"/>
  <c r="P30" i="8"/>
  <c r="N30" i="8"/>
  <c r="O30" i="8" s="1"/>
  <c r="M30" i="8"/>
  <c r="L30" i="8"/>
  <c r="K30" i="8"/>
  <c r="J30" i="8"/>
  <c r="H30" i="8"/>
  <c r="Q29" i="8"/>
  <c r="P29" i="8"/>
  <c r="N29" i="8"/>
  <c r="O29" i="8" s="1"/>
  <c r="K29" i="8"/>
  <c r="J29" i="8"/>
  <c r="H29" i="8"/>
  <c r="M29" i="8" s="1"/>
  <c r="Q28" i="8"/>
  <c r="P28" i="8"/>
  <c r="N28" i="8"/>
  <c r="O28" i="8" s="1"/>
  <c r="K28" i="8"/>
  <c r="J28" i="8"/>
  <c r="H28" i="8"/>
  <c r="Q27" i="8"/>
  <c r="P27" i="8"/>
  <c r="N27" i="8"/>
  <c r="O27" i="8" s="1"/>
  <c r="K27" i="8"/>
  <c r="J27" i="8"/>
  <c r="H27" i="8"/>
  <c r="Q26" i="8"/>
  <c r="P26" i="8"/>
  <c r="N26" i="8"/>
  <c r="O26" i="8" s="1"/>
  <c r="K26" i="8"/>
  <c r="J26" i="8"/>
  <c r="H26" i="8"/>
  <c r="M26" i="8" s="1"/>
  <c r="Q25" i="8"/>
  <c r="P25" i="8"/>
  <c r="N25" i="8"/>
  <c r="O25" i="8" s="1"/>
  <c r="K25" i="8"/>
  <c r="J25" i="8"/>
  <c r="H25" i="8"/>
  <c r="L25" i="8" s="1"/>
  <c r="Q24" i="8"/>
  <c r="P24" i="8"/>
  <c r="N24" i="8"/>
  <c r="O24" i="8" s="1"/>
  <c r="M24" i="8"/>
  <c r="L24" i="8"/>
  <c r="K24" i="8"/>
  <c r="J24" i="8"/>
  <c r="H24" i="8"/>
  <c r="Q23" i="8"/>
  <c r="P23" i="8"/>
  <c r="N23" i="8"/>
  <c r="O23" i="8" s="1"/>
  <c r="M23" i="8"/>
  <c r="L23" i="8"/>
  <c r="K23" i="8"/>
  <c r="J23" i="8"/>
  <c r="H23" i="8"/>
  <c r="Q22" i="8"/>
  <c r="P22" i="8"/>
  <c r="N22" i="8"/>
  <c r="O22" i="8" s="1"/>
  <c r="M22" i="8"/>
  <c r="L22" i="8"/>
  <c r="K22" i="8"/>
  <c r="J22" i="8"/>
  <c r="H22" i="8"/>
  <c r="Q21" i="8"/>
  <c r="P21" i="8"/>
  <c r="N21" i="8"/>
  <c r="O21" i="8" s="1"/>
  <c r="M21" i="8"/>
  <c r="L21" i="8"/>
  <c r="K21" i="8"/>
  <c r="J21" i="8"/>
  <c r="H21" i="8"/>
  <c r="Q20" i="8"/>
  <c r="P20" i="8"/>
  <c r="N20" i="8"/>
  <c r="O20" i="8" s="1"/>
  <c r="M20" i="8"/>
  <c r="L20" i="8"/>
  <c r="K20" i="8"/>
  <c r="J20" i="8"/>
  <c r="H20" i="8"/>
  <c r="Q19" i="8"/>
  <c r="P19" i="8"/>
  <c r="N19" i="8"/>
  <c r="O19" i="8" s="1"/>
  <c r="M19" i="8"/>
  <c r="L19" i="8"/>
  <c r="K19" i="8"/>
  <c r="J19" i="8"/>
  <c r="H19" i="8"/>
  <c r="Q18" i="8"/>
  <c r="P18" i="8"/>
  <c r="N18" i="8"/>
  <c r="O18" i="8" s="1"/>
  <c r="M18" i="8"/>
  <c r="L18" i="8"/>
  <c r="K18" i="8"/>
  <c r="J18" i="8"/>
  <c r="H18" i="8"/>
  <c r="Q17" i="8"/>
  <c r="P17" i="8"/>
  <c r="N17" i="8"/>
  <c r="O17" i="8" s="1"/>
  <c r="M17" i="8"/>
  <c r="L17" i="8"/>
  <c r="K17" i="8"/>
  <c r="J17" i="8"/>
  <c r="H17" i="8"/>
  <c r="Q16" i="8"/>
  <c r="P16" i="8"/>
  <c r="N16" i="8"/>
  <c r="O16" i="8" s="1"/>
  <c r="M16" i="8"/>
  <c r="L16" i="8"/>
  <c r="K16" i="8"/>
  <c r="J16" i="8"/>
  <c r="H16" i="8"/>
  <c r="Q15" i="8"/>
  <c r="P15" i="8"/>
  <c r="N15" i="8"/>
  <c r="O15" i="8" s="1"/>
  <c r="M15" i="8"/>
  <c r="L15" i="8"/>
  <c r="K15" i="8"/>
  <c r="J15" i="8"/>
  <c r="H15" i="8"/>
  <c r="Q14" i="8"/>
  <c r="P14" i="8"/>
  <c r="N14" i="8"/>
  <c r="O14" i="8" s="1"/>
  <c r="M14" i="8"/>
  <c r="L14" i="8"/>
  <c r="K14" i="8"/>
  <c r="J14" i="8"/>
  <c r="H14" i="8"/>
  <c r="Q13" i="8"/>
  <c r="P13" i="8"/>
  <c r="N13" i="8"/>
  <c r="O13" i="8" s="1"/>
  <c r="M13" i="8"/>
  <c r="L13" i="8"/>
  <c r="K13" i="8"/>
  <c r="J13" i="8"/>
  <c r="H13" i="8"/>
  <c r="Q12" i="8"/>
  <c r="P12" i="8"/>
  <c r="N12" i="8"/>
  <c r="O12" i="8" s="1"/>
  <c r="K12" i="8"/>
  <c r="J12" i="8"/>
  <c r="H12" i="8"/>
  <c r="Q11" i="8"/>
  <c r="P11" i="8"/>
  <c r="N11" i="8"/>
  <c r="O11" i="8" s="1"/>
  <c r="K11" i="8"/>
  <c r="J11" i="8"/>
  <c r="H11" i="8"/>
  <c r="M11" i="8" s="1"/>
  <c r="Q10" i="8"/>
  <c r="P10" i="8"/>
  <c r="N10" i="8"/>
  <c r="O10" i="8" s="1"/>
  <c r="K10" i="8"/>
  <c r="J10" i="8"/>
  <c r="H10" i="8"/>
  <c r="W9" i="8"/>
  <c r="U9" i="8"/>
  <c r="T9" i="8"/>
  <c r="S9" i="8"/>
  <c r="R9" i="8"/>
  <c r="Q9" i="8"/>
  <c r="P9" i="8"/>
  <c r="N9" i="8"/>
  <c r="O9" i="8" s="1"/>
  <c r="M9" i="8"/>
  <c r="L9" i="8"/>
  <c r="K9" i="8"/>
  <c r="J9" i="8"/>
  <c r="H9" i="8"/>
  <c r="Z8" i="8"/>
  <c r="Y8" i="8"/>
  <c r="W8" i="8"/>
  <c r="Q8" i="8"/>
  <c r="P8" i="8"/>
  <c r="N8" i="8"/>
  <c r="O8" i="8" s="1"/>
  <c r="M8" i="8"/>
  <c r="L8" i="8"/>
  <c r="K8" i="8"/>
  <c r="J8" i="8"/>
  <c r="W7" i="8"/>
  <c r="U7" i="8"/>
  <c r="S7" i="8"/>
  <c r="T7" i="8" s="1"/>
  <c r="R7" i="8"/>
  <c r="Q7" i="8"/>
  <c r="P7" i="8"/>
  <c r="N7" i="8"/>
  <c r="O7" i="8" s="1"/>
  <c r="K7" i="8"/>
  <c r="J7" i="8"/>
  <c r="H7" i="8"/>
  <c r="M7" i="8" s="1"/>
  <c r="Y6" i="8"/>
  <c r="W6" i="8"/>
  <c r="U6" i="8"/>
  <c r="T6" i="8"/>
  <c r="V6" i="8" s="1"/>
  <c r="X6" i="8" s="1"/>
  <c r="S6" i="8"/>
  <c r="R6" i="8"/>
  <c r="Q6" i="8"/>
  <c r="P6" i="8"/>
  <c r="N6" i="8"/>
  <c r="O6" i="8" s="1"/>
  <c r="M6" i="8"/>
  <c r="L6" i="8"/>
  <c r="K6" i="8"/>
  <c r="J6" i="8"/>
  <c r="Z6" i="8" s="1"/>
  <c r="H6" i="8"/>
  <c r="Z5" i="8"/>
  <c r="Y5" i="8"/>
  <c r="W5" i="8"/>
  <c r="R5" i="8"/>
  <c r="Q5" i="8"/>
  <c r="P5" i="8"/>
  <c r="N5" i="8"/>
  <c r="O5" i="8" s="1"/>
  <c r="K5" i="8"/>
  <c r="J5" i="8"/>
  <c r="H5" i="8"/>
  <c r="L5" i="8" s="1"/>
  <c r="Z4" i="8"/>
  <c r="Y4" i="8"/>
  <c r="W4" i="8"/>
  <c r="Q4" i="8"/>
  <c r="P4" i="8"/>
  <c r="N4" i="8"/>
  <c r="O4" i="8" s="1"/>
  <c r="K4" i="8"/>
  <c r="J4" i="8"/>
  <c r="H4" i="8"/>
  <c r="M4" i="8" s="1"/>
  <c r="W3" i="8"/>
  <c r="Q3" i="8"/>
  <c r="P3" i="8"/>
  <c r="N3" i="8"/>
  <c r="O3" i="8" s="1"/>
  <c r="M3" i="8"/>
  <c r="L3" i="8"/>
  <c r="K3" i="8"/>
  <c r="J3" i="8"/>
  <c r="H3" i="8"/>
  <c r="AA2" i="8"/>
  <c r="AA3" i="8" s="1"/>
  <c r="AA4" i="8" s="1"/>
  <c r="AA5" i="8" s="1"/>
  <c r="AA6" i="8" s="1"/>
  <c r="AA7" i="8" s="1"/>
  <c r="AA8" i="8" s="1"/>
  <c r="AA9" i="8" s="1"/>
  <c r="Y2" i="8"/>
  <c r="Z2" i="8" s="1"/>
  <c r="W2" i="8"/>
  <c r="Q2" i="8"/>
  <c r="P2" i="8"/>
  <c r="N2" i="8"/>
  <c r="O2" i="8" s="1"/>
  <c r="K2" i="8"/>
  <c r="J2" i="8"/>
  <c r="H2" i="8"/>
  <c r="P50" i="7"/>
  <c r="O50" i="7"/>
  <c r="M50" i="7"/>
  <c r="N50" i="7" s="1"/>
  <c r="J50" i="7"/>
  <c r="H50" i="7"/>
  <c r="P49" i="7"/>
  <c r="O49" i="7"/>
  <c r="M49" i="7"/>
  <c r="N49" i="7" s="1"/>
  <c r="J49" i="7"/>
  <c r="H49" i="7"/>
  <c r="L49" i="7" s="1"/>
  <c r="P48" i="7"/>
  <c r="O48" i="7"/>
  <c r="M48" i="7"/>
  <c r="N48" i="7" s="1"/>
  <c r="J48" i="7"/>
  <c r="H48" i="7"/>
  <c r="P47" i="7"/>
  <c r="O47" i="7"/>
  <c r="M47" i="7"/>
  <c r="N47" i="7" s="1"/>
  <c r="J47" i="7"/>
  <c r="H47" i="7"/>
  <c r="K47" i="7" s="1"/>
  <c r="P46" i="7"/>
  <c r="O46" i="7"/>
  <c r="M46" i="7"/>
  <c r="N46" i="7" s="1"/>
  <c r="J46" i="7"/>
  <c r="H46" i="7"/>
  <c r="P45" i="7"/>
  <c r="O45" i="7"/>
  <c r="M45" i="7"/>
  <c r="N45" i="7" s="1"/>
  <c r="J45" i="7"/>
  <c r="H45" i="7"/>
  <c r="P44" i="7"/>
  <c r="O44" i="7"/>
  <c r="M44" i="7"/>
  <c r="N44" i="7" s="1"/>
  <c r="J44" i="7"/>
  <c r="H44" i="7"/>
  <c r="P43" i="7"/>
  <c r="O43" i="7"/>
  <c r="M43" i="7"/>
  <c r="N43" i="7" s="1"/>
  <c r="J43" i="7"/>
  <c r="H43" i="7"/>
  <c r="L43" i="7" s="1"/>
  <c r="P42" i="7"/>
  <c r="O42" i="7"/>
  <c r="M42" i="7"/>
  <c r="N42" i="7" s="1"/>
  <c r="L42" i="7"/>
  <c r="K42" i="7"/>
  <c r="J42" i="7"/>
  <c r="H42" i="7"/>
  <c r="P41" i="7"/>
  <c r="O41" i="7"/>
  <c r="M41" i="7"/>
  <c r="N41" i="7" s="1"/>
  <c r="L41" i="7"/>
  <c r="K41" i="7"/>
  <c r="J41" i="7"/>
  <c r="H41" i="7"/>
  <c r="P40" i="7"/>
  <c r="O40" i="7"/>
  <c r="M40" i="7"/>
  <c r="N40" i="7" s="1"/>
  <c r="J40" i="7"/>
  <c r="H40" i="7"/>
  <c r="P39" i="7"/>
  <c r="O39" i="7"/>
  <c r="M39" i="7"/>
  <c r="N39" i="7" s="1"/>
  <c r="J39" i="7"/>
  <c r="H39" i="7"/>
  <c r="L39" i="7" s="1"/>
  <c r="P38" i="7"/>
  <c r="O38" i="7"/>
  <c r="M38" i="7"/>
  <c r="N38" i="7" s="1"/>
  <c r="J38" i="7"/>
  <c r="H38" i="7"/>
  <c r="P37" i="7"/>
  <c r="O37" i="7"/>
  <c r="M37" i="7"/>
  <c r="N37" i="7" s="1"/>
  <c r="J37" i="7"/>
  <c r="H37" i="7"/>
  <c r="L37" i="7" s="1"/>
  <c r="P36" i="7"/>
  <c r="O36" i="7"/>
  <c r="M36" i="7"/>
  <c r="N36" i="7" s="1"/>
  <c r="J36" i="7"/>
  <c r="H36" i="7"/>
  <c r="P35" i="7"/>
  <c r="O35" i="7"/>
  <c r="M35" i="7"/>
  <c r="N35" i="7" s="1"/>
  <c r="J35" i="7"/>
  <c r="H35" i="7"/>
  <c r="P34" i="7"/>
  <c r="O34" i="7"/>
  <c r="M34" i="7"/>
  <c r="N34" i="7" s="1"/>
  <c r="J34" i="7"/>
  <c r="H34" i="7"/>
  <c r="P33" i="7"/>
  <c r="O33" i="7"/>
  <c r="M33" i="7"/>
  <c r="N33" i="7" s="1"/>
  <c r="J33" i="7"/>
  <c r="H33" i="7"/>
  <c r="P32" i="7"/>
  <c r="O32" i="7"/>
  <c r="M32" i="7"/>
  <c r="N32" i="7" s="1"/>
  <c r="J32" i="7"/>
  <c r="H32" i="7"/>
  <c r="P31" i="7"/>
  <c r="O31" i="7"/>
  <c r="M31" i="7"/>
  <c r="N31" i="7" s="1"/>
  <c r="J31" i="7"/>
  <c r="H31" i="7"/>
  <c r="L31" i="7" s="1"/>
  <c r="P30" i="7"/>
  <c r="O30" i="7"/>
  <c r="M30" i="7"/>
  <c r="N30" i="7" s="1"/>
  <c r="L30" i="7"/>
  <c r="K30" i="7"/>
  <c r="J30" i="7"/>
  <c r="H30" i="7"/>
  <c r="P29" i="7"/>
  <c r="O29" i="7"/>
  <c r="M29" i="7"/>
  <c r="N29" i="7" s="1"/>
  <c r="J29" i="7"/>
  <c r="H29" i="7"/>
  <c r="K29" i="7" s="1"/>
  <c r="P28" i="7"/>
  <c r="O28" i="7"/>
  <c r="M28" i="7"/>
  <c r="N28" i="7" s="1"/>
  <c r="J28" i="7"/>
  <c r="H28" i="7"/>
  <c r="P27" i="7"/>
  <c r="O27" i="7"/>
  <c r="M27" i="7"/>
  <c r="N27" i="7" s="1"/>
  <c r="J27" i="7"/>
  <c r="H27" i="7"/>
  <c r="P26" i="7"/>
  <c r="O26" i="7"/>
  <c r="M26" i="7"/>
  <c r="N26" i="7" s="1"/>
  <c r="J26" i="7"/>
  <c r="H26" i="7"/>
  <c r="P25" i="7"/>
  <c r="O25" i="7"/>
  <c r="M25" i="7"/>
  <c r="N25" i="7" s="1"/>
  <c r="J25" i="7"/>
  <c r="H25" i="7"/>
  <c r="L25" i="7" s="1"/>
  <c r="P24" i="7"/>
  <c r="O24" i="7"/>
  <c r="M24" i="7"/>
  <c r="N24" i="7" s="1"/>
  <c r="J24" i="7"/>
  <c r="H24" i="7"/>
  <c r="P23" i="7"/>
  <c r="O23" i="7"/>
  <c r="M23" i="7"/>
  <c r="N23" i="7" s="1"/>
  <c r="J23" i="7"/>
  <c r="H23" i="7"/>
  <c r="K23" i="7" s="1"/>
  <c r="P22" i="7"/>
  <c r="O22" i="7"/>
  <c r="M22" i="7"/>
  <c r="N22" i="7" s="1"/>
  <c r="J22" i="7"/>
  <c r="H22" i="7"/>
  <c r="P21" i="7"/>
  <c r="O21" i="7"/>
  <c r="M21" i="7"/>
  <c r="N21" i="7" s="1"/>
  <c r="J21" i="7"/>
  <c r="H21" i="7"/>
  <c r="P20" i="7"/>
  <c r="O20" i="7"/>
  <c r="M20" i="7"/>
  <c r="N20" i="7" s="1"/>
  <c r="L20" i="7"/>
  <c r="K20" i="7"/>
  <c r="J20" i="7"/>
  <c r="H20" i="7"/>
  <c r="P19" i="7"/>
  <c r="O19" i="7"/>
  <c r="M19" i="7"/>
  <c r="N19" i="7" s="1"/>
  <c r="J19" i="7"/>
  <c r="H19" i="7"/>
  <c r="K19" i="7" s="1"/>
  <c r="P18" i="7"/>
  <c r="O18" i="7"/>
  <c r="M18" i="7"/>
  <c r="N18" i="7" s="1"/>
  <c r="J18" i="7"/>
  <c r="H18" i="7"/>
  <c r="P17" i="7"/>
  <c r="O17" i="7"/>
  <c r="M17" i="7"/>
  <c r="N17" i="7" s="1"/>
  <c r="J17" i="7"/>
  <c r="H17" i="7"/>
  <c r="K17" i="7" s="1"/>
  <c r="P16" i="7"/>
  <c r="O16" i="7"/>
  <c r="M16" i="7"/>
  <c r="N16" i="7" s="1"/>
  <c r="J16" i="7"/>
  <c r="H16" i="7"/>
  <c r="P15" i="7"/>
  <c r="O15" i="7"/>
  <c r="M15" i="7"/>
  <c r="N15" i="7" s="1"/>
  <c r="J15" i="7"/>
  <c r="H15" i="7"/>
  <c r="L15" i="7" s="1"/>
  <c r="P14" i="7"/>
  <c r="O14" i="7"/>
  <c r="M14" i="7"/>
  <c r="N14" i="7" s="1"/>
  <c r="J14" i="7"/>
  <c r="H14" i="7"/>
  <c r="P13" i="7"/>
  <c r="O13" i="7"/>
  <c r="M13" i="7"/>
  <c r="N13" i="7" s="1"/>
  <c r="J13" i="7"/>
  <c r="H13" i="7"/>
  <c r="L13" i="7" s="1"/>
  <c r="P12" i="7"/>
  <c r="O12" i="7"/>
  <c r="M12" i="7"/>
  <c r="N12" i="7" s="1"/>
  <c r="L12" i="7"/>
  <c r="K12" i="7"/>
  <c r="J12" i="7"/>
  <c r="H12" i="7"/>
  <c r="P11" i="7"/>
  <c r="O11" i="7"/>
  <c r="M11" i="7"/>
  <c r="N11" i="7" s="1"/>
  <c r="J11" i="7"/>
  <c r="H11" i="7"/>
  <c r="K11" i="7" s="1"/>
  <c r="P10" i="7"/>
  <c r="O10" i="7"/>
  <c r="M10" i="7"/>
  <c r="N10" i="7" s="1"/>
  <c r="L10" i="7"/>
  <c r="K10" i="7"/>
  <c r="J10" i="7"/>
  <c r="H10" i="7"/>
  <c r="P9" i="7"/>
  <c r="O9" i="7"/>
  <c r="M9" i="7"/>
  <c r="N9" i="7" s="1"/>
  <c r="L9" i="7"/>
  <c r="K9" i="7"/>
  <c r="J9" i="7"/>
  <c r="H9" i="7"/>
  <c r="P8" i="7"/>
  <c r="O8" i="7"/>
  <c r="M8" i="7"/>
  <c r="N8" i="7" s="1"/>
  <c r="J8" i="7"/>
  <c r="H8" i="7"/>
  <c r="P7" i="7"/>
  <c r="O7" i="7"/>
  <c r="M7" i="7"/>
  <c r="N7" i="7" s="1"/>
  <c r="J7" i="7"/>
  <c r="H7" i="7"/>
  <c r="L7" i="7" s="1"/>
  <c r="P6" i="7"/>
  <c r="O6" i="7"/>
  <c r="M6" i="7"/>
  <c r="N6" i="7" s="1"/>
  <c r="L6" i="7"/>
  <c r="K6" i="7"/>
  <c r="J6" i="7"/>
  <c r="H6" i="7"/>
  <c r="P5" i="7"/>
  <c r="O5" i="7"/>
  <c r="M5" i="7"/>
  <c r="N5" i="7" s="1"/>
  <c r="L5" i="7"/>
  <c r="K5" i="7"/>
  <c r="J5" i="7"/>
  <c r="H5" i="7"/>
  <c r="P4" i="7"/>
  <c r="O4" i="7"/>
  <c r="M4" i="7"/>
  <c r="N4" i="7" s="1"/>
  <c r="J4" i="7"/>
  <c r="H4" i="7"/>
  <c r="P3" i="7"/>
  <c r="O3" i="7"/>
  <c r="M3" i="7"/>
  <c r="N3" i="7" s="1"/>
  <c r="J3" i="7"/>
  <c r="H3" i="7"/>
  <c r="L3" i="7" s="1"/>
  <c r="P2" i="7"/>
  <c r="O2" i="7"/>
  <c r="M2" i="7"/>
  <c r="N2" i="7" s="1"/>
  <c r="J2" i="7"/>
  <c r="H2" i="7"/>
  <c r="F17" i="6"/>
  <c r="F16" i="6"/>
  <c r="F18" i="6" s="1"/>
  <c r="P13" i="6"/>
  <c r="O13" i="6"/>
  <c r="M13" i="6"/>
  <c r="N13" i="6" s="1"/>
  <c r="J13" i="6"/>
  <c r="H13" i="6"/>
  <c r="K13" i="6" s="1"/>
  <c r="P12" i="6"/>
  <c r="O12" i="6"/>
  <c r="M12" i="6"/>
  <c r="N12" i="6" s="1"/>
  <c r="J12" i="6"/>
  <c r="H12" i="6"/>
  <c r="L12" i="6" s="1"/>
  <c r="P11" i="6"/>
  <c r="O11" i="6"/>
  <c r="M11" i="6"/>
  <c r="N11" i="6" s="1"/>
  <c r="J11" i="6"/>
  <c r="H11" i="6"/>
  <c r="P10" i="6"/>
  <c r="O10" i="6"/>
  <c r="M10" i="6"/>
  <c r="N10" i="6" s="1"/>
  <c r="J10" i="6"/>
  <c r="H10" i="6"/>
  <c r="L10" i="6" s="1"/>
  <c r="P9" i="6"/>
  <c r="O9" i="6"/>
  <c r="M9" i="6"/>
  <c r="N9" i="6" s="1"/>
  <c r="J9" i="6"/>
  <c r="H9" i="6"/>
  <c r="K9" i="6" s="1"/>
  <c r="P8" i="6"/>
  <c r="O8" i="6"/>
  <c r="M8" i="6"/>
  <c r="N8" i="6" s="1"/>
  <c r="J8" i="6"/>
  <c r="H8" i="6"/>
  <c r="P7" i="6"/>
  <c r="O7" i="6"/>
  <c r="M7" i="6"/>
  <c r="N7" i="6" s="1"/>
  <c r="J7" i="6"/>
  <c r="H7" i="6"/>
  <c r="K7" i="6" s="1"/>
  <c r="P6" i="6"/>
  <c r="O6" i="6"/>
  <c r="M6" i="6"/>
  <c r="N6" i="6" s="1"/>
  <c r="J6" i="6"/>
  <c r="H6" i="6"/>
  <c r="P5" i="6"/>
  <c r="O5" i="6"/>
  <c r="M5" i="6"/>
  <c r="N5" i="6" s="1"/>
  <c r="J5" i="6"/>
  <c r="H5" i="6"/>
  <c r="K5" i="6" s="1"/>
  <c r="P4" i="6"/>
  <c r="O4" i="6"/>
  <c r="M4" i="6"/>
  <c r="N4" i="6" s="1"/>
  <c r="J4" i="6"/>
  <c r="H4" i="6"/>
  <c r="K4" i="6" s="1"/>
  <c r="P3" i="6"/>
  <c r="O3" i="6"/>
  <c r="M3" i="6"/>
  <c r="N3" i="6" s="1"/>
  <c r="J3" i="6"/>
  <c r="H3" i="6"/>
  <c r="K3" i="6" s="1"/>
  <c r="P2" i="6"/>
  <c r="O2" i="6"/>
  <c r="M2" i="6"/>
  <c r="N2" i="6" s="1"/>
  <c r="J2" i="6"/>
  <c r="H2" i="6"/>
  <c r="L2" i="6" s="1"/>
  <c r="G54" i="5"/>
  <c r="E54" i="5"/>
  <c r="P53" i="5"/>
  <c r="O53" i="5"/>
  <c r="M53" i="5"/>
  <c r="N53" i="5" s="1"/>
  <c r="J53" i="5"/>
  <c r="H53" i="5"/>
  <c r="K53" i="5" s="1"/>
  <c r="P52" i="5"/>
  <c r="O52" i="5"/>
  <c r="M52" i="5"/>
  <c r="N52" i="5" s="1"/>
  <c r="J52" i="5"/>
  <c r="H52" i="5"/>
  <c r="K52" i="5" s="1"/>
  <c r="P51" i="5"/>
  <c r="O51" i="5"/>
  <c r="M51" i="5"/>
  <c r="N51" i="5" s="1"/>
  <c r="J51" i="5"/>
  <c r="H51" i="5"/>
  <c r="K51" i="5" s="1"/>
  <c r="P50" i="5"/>
  <c r="O50" i="5"/>
  <c r="M50" i="5"/>
  <c r="N50" i="5" s="1"/>
  <c r="J50" i="5"/>
  <c r="H50" i="5"/>
  <c r="L50" i="5" s="1"/>
  <c r="P49" i="5"/>
  <c r="O49" i="5"/>
  <c r="M49" i="5"/>
  <c r="N49" i="5" s="1"/>
  <c r="J49" i="5"/>
  <c r="H49" i="5"/>
  <c r="L49" i="5" s="1"/>
  <c r="P48" i="5"/>
  <c r="O48" i="5"/>
  <c r="M48" i="5"/>
  <c r="N48" i="5" s="1"/>
  <c r="J48" i="5"/>
  <c r="H48" i="5"/>
  <c r="L48" i="5" s="1"/>
  <c r="P47" i="5"/>
  <c r="O47" i="5"/>
  <c r="M47" i="5"/>
  <c r="N47" i="5" s="1"/>
  <c r="J47" i="5"/>
  <c r="H47" i="5"/>
  <c r="L47" i="5" s="1"/>
  <c r="P46" i="5"/>
  <c r="O46" i="5"/>
  <c r="M46" i="5"/>
  <c r="N46" i="5" s="1"/>
  <c r="J46" i="5"/>
  <c r="H46" i="5"/>
  <c r="L46" i="5" s="1"/>
  <c r="P45" i="5"/>
  <c r="O45" i="5"/>
  <c r="M45" i="5"/>
  <c r="N45" i="5" s="1"/>
  <c r="J45" i="5"/>
  <c r="H45" i="5"/>
  <c r="L45" i="5" s="1"/>
  <c r="P44" i="5"/>
  <c r="O44" i="5"/>
  <c r="M44" i="5"/>
  <c r="N44" i="5" s="1"/>
  <c r="J44" i="5"/>
  <c r="H44" i="5"/>
  <c r="L44" i="5" s="1"/>
  <c r="P43" i="5"/>
  <c r="O43" i="5"/>
  <c r="M43" i="5"/>
  <c r="N43" i="5" s="1"/>
  <c r="J43" i="5"/>
  <c r="H43" i="5"/>
  <c r="K43" i="5" s="1"/>
  <c r="P42" i="5"/>
  <c r="O42" i="5"/>
  <c r="M42" i="5"/>
  <c r="N42" i="5" s="1"/>
  <c r="J42" i="5"/>
  <c r="H42" i="5"/>
  <c r="L42" i="5" s="1"/>
  <c r="P41" i="5"/>
  <c r="O41" i="5"/>
  <c r="M41" i="5"/>
  <c r="N41" i="5" s="1"/>
  <c r="J41" i="5"/>
  <c r="H41" i="5"/>
  <c r="K41" i="5" s="1"/>
  <c r="P40" i="5"/>
  <c r="O40" i="5"/>
  <c r="M40" i="5"/>
  <c r="N40" i="5" s="1"/>
  <c r="J40" i="5"/>
  <c r="H40" i="5"/>
  <c r="L40" i="5" s="1"/>
  <c r="P39" i="5"/>
  <c r="O39" i="5"/>
  <c r="M39" i="5"/>
  <c r="N39" i="5" s="1"/>
  <c r="J39" i="5"/>
  <c r="H39" i="5"/>
  <c r="L39" i="5" s="1"/>
  <c r="P38" i="5"/>
  <c r="O38" i="5"/>
  <c r="M38" i="5"/>
  <c r="N38" i="5" s="1"/>
  <c r="J38" i="5"/>
  <c r="H38" i="5"/>
  <c r="P37" i="5"/>
  <c r="O37" i="5"/>
  <c r="M37" i="5"/>
  <c r="N37" i="5" s="1"/>
  <c r="J37" i="5"/>
  <c r="H37" i="5"/>
  <c r="P36" i="5"/>
  <c r="O36" i="5"/>
  <c r="M36" i="5"/>
  <c r="N36" i="5" s="1"/>
  <c r="J36" i="5"/>
  <c r="H36" i="5"/>
  <c r="L36" i="5" s="1"/>
  <c r="P35" i="5"/>
  <c r="O35" i="5"/>
  <c r="M35" i="5"/>
  <c r="N35" i="5" s="1"/>
  <c r="J35" i="5"/>
  <c r="H35" i="5"/>
  <c r="L35" i="5" s="1"/>
  <c r="P34" i="5"/>
  <c r="O34" i="5"/>
  <c r="M34" i="5"/>
  <c r="N34" i="5" s="1"/>
  <c r="J34" i="5"/>
  <c r="H34" i="5"/>
  <c r="L34" i="5" s="1"/>
  <c r="P33" i="5"/>
  <c r="O33" i="5"/>
  <c r="M33" i="5"/>
  <c r="N33" i="5" s="1"/>
  <c r="J33" i="5"/>
  <c r="H33" i="5"/>
  <c r="L33" i="5" s="1"/>
  <c r="P32" i="5"/>
  <c r="O32" i="5"/>
  <c r="M32" i="5"/>
  <c r="N32" i="5" s="1"/>
  <c r="J32" i="5"/>
  <c r="H32" i="5"/>
  <c r="L32" i="5" s="1"/>
  <c r="P31" i="5"/>
  <c r="O31" i="5"/>
  <c r="M31" i="5"/>
  <c r="N31" i="5" s="1"/>
  <c r="J31" i="5"/>
  <c r="H31" i="5"/>
  <c r="L31" i="5" s="1"/>
  <c r="P30" i="5"/>
  <c r="O30" i="5"/>
  <c r="M30" i="5"/>
  <c r="N30" i="5" s="1"/>
  <c r="J30" i="5"/>
  <c r="H30" i="5"/>
  <c r="L30" i="5" s="1"/>
  <c r="P29" i="5"/>
  <c r="O29" i="5"/>
  <c r="M29" i="5"/>
  <c r="N29" i="5" s="1"/>
  <c r="J29" i="5"/>
  <c r="H29" i="5"/>
  <c r="K29" i="5" s="1"/>
  <c r="P28" i="5"/>
  <c r="O28" i="5"/>
  <c r="M28" i="5"/>
  <c r="N28" i="5" s="1"/>
  <c r="J28" i="5"/>
  <c r="H28" i="5"/>
  <c r="L28" i="5" s="1"/>
  <c r="P27" i="5"/>
  <c r="O27" i="5"/>
  <c r="M27" i="5"/>
  <c r="N27" i="5" s="1"/>
  <c r="L27" i="5"/>
  <c r="K27" i="5"/>
  <c r="J27" i="5"/>
  <c r="H27" i="5"/>
  <c r="P26" i="5"/>
  <c r="O26" i="5"/>
  <c r="M26" i="5"/>
  <c r="N26" i="5" s="1"/>
  <c r="L26" i="5"/>
  <c r="K26" i="5"/>
  <c r="J26" i="5"/>
  <c r="H26" i="5"/>
  <c r="P25" i="5"/>
  <c r="O25" i="5"/>
  <c r="M25" i="5"/>
  <c r="N25" i="5" s="1"/>
  <c r="J25" i="5"/>
  <c r="H25" i="5"/>
  <c r="L25" i="5" s="1"/>
  <c r="P24" i="5"/>
  <c r="O24" i="5"/>
  <c r="M24" i="5"/>
  <c r="N24" i="5" s="1"/>
  <c r="J24" i="5"/>
  <c r="H24" i="5"/>
  <c r="L24" i="5" s="1"/>
  <c r="P23" i="5"/>
  <c r="O23" i="5"/>
  <c r="M23" i="5"/>
  <c r="N23" i="5" s="1"/>
  <c r="J23" i="5"/>
  <c r="H23" i="5"/>
  <c r="L23" i="5" s="1"/>
  <c r="P22" i="5"/>
  <c r="O22" i="5"/>
  <c r="M22" i="5"/>
  <c r="N22" i="5" s="1"/>
  <c r="J22" i="5"/>
  <c r="H22" i="5"/>
  <c r="L22" i="5" s="1"/>
  <c r="P21" i="5"/>
  <c r="O21" i="5"/>
  <c r="M21" i="5"/>
  <c r="N21" i="5" s="1"/>
  <c r="J21" i="5"/>
  <c r="H21" i="5"/>
  <c r="L21" i="5" s="1"/>
  <c r="P20" i="5"/>
  <c r="O20" i="5"/>
  <c r="M20" i="5"/>
  <c r="N20" i="5" s="1"/>
  <c r="J20" i="5"/>
  <c r="H20" i="5"/>
  <c r="P19" i="5"/>
  <c r="O19" i="5"/>
  <c r="M19" i="5"/>
  <c r="N19" i="5" s="1"/>
  <c r="J19" i="5"/>
  <c r="H19" i="5"/>
  <c r="L19" i="5" s="1"/>
  <c r="P18" i="5"/>
  <c r="O18" i="5"/>
  <c r="M18" i="5"/>
  <c r="N18" i="5" s="1"/>
  <c r="J18" i="5"/>
  <c r="H18" i="5"/>
  <c r="L18" i="5" s="1"/>
  <c r="P17" i="5"/>
  <c r="O17" i="5"/>
  <c r="M17" i="5"/>
  <c r="N17" i="5" s="1"/>
  <c r="J17" i="5"/>
  <c r="H17" i="5"/>
  <c r="K17" i="5" s="1"/>
  <c r="P16" i="5"/>
  <c r="O16" i="5"/>
  <c r="M16" i="5"/>
  <c r="N16" i="5" s="1"/>
  <c r="J16" i="5"/>
  <c r="H16" i="5"/>
  <c r="L16" i="5" s="1"/>
  <c r="P15" i="5"/>
  <c r="O15" i="5"/>
  <c r="M15" i="5"/>
  <c r="N15" i="5" s="1"/>
  <c r="J15" i="5"/>
  <c r="H15" i="5"/>
  <c r="L15" i="5" s="1"/>
  <c r="P14" i="5"/>
  <c r="O14" i="5"/>
  <c r="M14" i="5"/>
  <c r="N14" i="5" s="1"/>
  <c r="J14" i="5"/>
  <c r="H14" i="5"/>
  <c r="L14" i="5" s="1"/>
  <c r="P13" i="5"/>
  <c r="O13" i="5"/>
  <c r="M13" i="5"/>
  <c r="N13" i="5" s="1"/>
  <c r="L13" i="5"/>
  <c r="K13" i="5"/>
  <c r="J13" i="5"/>
  <c r="H13" i="5"/>
  <c r="P12" i="5"/>
  <c r="O12" i="5"/>
  <c r="M12" i="5"/>
  <c r="N12" i="5" s="1"/>
  <c r="L12" i="5"/>
  <c r="K12" i="5"/>
  <c r="J12" i="5"/>
  <c r="H12" i="5"/>
  <c r="P11" i="5"/>
  <c r="O11" i="5"/>
  <c r="M11" i="5"/>
  <c r="N11" i="5" s="1"/>
  <c r="L11" i="5"/>
  <c r="K11" i="5"/>
  <c r="J11" i="5"/>
  <c r="H11" i="5"/>
  <c r="P10" i="5"/>
  <c r="O10" i="5"/>
  <c r="M10" i="5"/>
  <c r="N10" i="5" s="1"/>
  <c r="J10" i="5"/>
  <c r="H10" i="5"/>
  <c r="L10" i="5" s="1"/>
  <c r="P9" i="5"/>
  <c r="O9" i="5"/>
  <c r="M9" i="5"/>
  <c r="N9" i="5" s="1"/>
  <c r="J9" i="5"/>
  <c r="H9" i="5"/>
  <c r="L9" i="5" s="1"/>
  <c r="P8" i="5"/>
  <c r="O8" i="5"/>
  <c r="M8" i="5"/>
  <c r="N8" i="5" s="1"/>
  <c r="J8" i="5"/>
  <c r="H8" i="5"/>
  <c r="L8" i="5" s="1"/>
  <c r="P7" i="5"/>
  <c r="O7" i="5"/>
  <c r="M7" i="5"/>
  <c r="N7" i="5" s="1"/>
  <c r="J7" i="5"/>
  <c r="H7" i="5"/>
  <c r="K7" i="5" s="1"/>
  <c r="P6" i="5"/>
  <c r="O6" i="5"/>
  <c r="M6" i="5"/>
  <c r="N6" i="5" s="1"/>
  <c r="J6" i="5"/>
  <c r="H6" i="5"/>
  <c r="L6" i="5" s="1"/>
  <c r="P5" i="5"/>
  <c r="O5" i="5"/>
  <c r="M5" i="5"/>
  <c r="N5" i="5" s="1"/>
  <c r="J5" i="5"/>
  <c r="H5" i="5"/>
  <c r="L5" i="5" s="1"/>
  <c r="P4" i="5"/>
  <c r="O4" i="5"/>
  <c r="M4" i="5"/>
  <c r="N4" i="5" s="1"/>
  <c r="J4" i="5"/>
  <c r="H4" i="5"/>
  <c r="L4" i="5" s="1"/>
  <c r="P3" i="5"/>
  <c r="O3" i="5"/>
  <c r="M3" i="5"/>
  <c r="N3" i="5" s="1"/>
  <c r="J3" i="5"/>
  <c r="J54" i="5" s="1"/>
  <c r="H3" i="5"/>
  <c r="P2" i="5"/>
  <c r="O2" i="5"/>
  <c r="M2" i="5"/>
  <c r="N2" i="5" s="1"/>
  <c r="J2" i="5"/>
  <c r="H2" i="5"/>
  <c r="K2" i="5" s="1"/>
  <c r="Q53" i="4"/>
  <c r="P53" i="4"/>
  <c r="N53" i="4"/>
  <c r="O53" i="4" s="1"/>
  <c r="K53" i="4"/>
  <c r="J53" i="4"/>
  <c r="H53" i="4"/>
  <c r="Q52" i="4"/>
  <c r="P52" i="4"/>
  <c r="N52" i="4"/>
  <c r="O52" i="4" s="1"/>
  <c r="K52" i="4"/>
  <c r="J52" i="4"/>
  <c r="H52" i="4"/>
  <c r="Q51" i="4"/>
  <c r="P51" i="4"/>
  <c r="N51" i="4"/>
  <c r="O51" i="4" s="1"/>
  <c r="K51" i="4"/>
  <c r="J51" i="4"/>
  <c r="H51" i="4"/>
  <c r="Q50" i="4"/>
  <c r="P50" i="4"/>
  <c r="N50" i="4"/>
  <c r="O50" i="4" s="1"/>
  <c r="K50" i="4"/>
  <c r="J50" i="4"/>
  <c r="H50" i="4"/>
  <c r="L50" i="4" s="1"/>
  <c r="Q49" i="4"/>
  <c r="P49" i="4"/>
  <c r="N49" i="4"/>
  <c r="O49" i="4" s="1"/>
  <c r="K49" i="4"/>
  <c r="J49" i="4"/>
  <c r="H49" i="4"/>
  <c r="M49" i="4" s="1"/>
  <c r="Q48" i="4"/>
  <c r="P48" i="4"/>
  <c r="N48" i="4"/>
  <c r="O48" i="4" s="1"/>
  <c r="K48" i="4"/>
  <c r="J48" i="4"/>
  <c r="H48" i="4"/>
  <c r="M48" i="4" s="1"/>
  <c r="Q47" i="4"/>
  <c r="P47" i="4"/>
  <c r="N47" i="4"/>
  <c r="O47" i="4" s="1"/>
  <c r="K47" i="4"/>
  <c r="J47" i="4"/>
  <c r="H47" i="4"/>
  <c r="L47" i="4" s="1"/>
  <c r="Q46" i="4"/>
  <c r="P46" i="4"/>
  <c r="N46" i="4"/>
  <c r="O46" i="4" s="1"/>
  <c r="M46" i="4"/>
  <c r="L46" i="4"/>
  <c r="K46" i="4"/>
  <c r="J46" i="4"/>
  <c r="H46" i="4"/>
  <c r="Q45" i="4"/>
  <c r="P45" i="4"/>
  <c r="N45" i="4"/>
  <c r="O45" i="4" s="1"/>
  <c r="K45" i="4"/>
  <c r="J45" i="4"/>
  <c r="H45" i="4"/>
  <c r="Q44" i="4"/>
  <c r="P44" i="4"/>
  <c r="N44" i="4"/>
  <c r="O44" i="4" s="1"/>
  <c r="M44" i="4"/>
  <c r="L44" i="4"/>
  <c r="K44" i="4"/>
  <c r="J44" i="4"/>
  <c r="H44" i="4"/>
  <c r="Q43" i="4"/>
  <c r="P43" i="4"/>
  <c r="N43" i="4"/>
  <c r="O43" i="4" s="1"/>
  <c r="K43" i="4"/>
  <c r="J43" i="4"/>
  <c r="H43" i="4"/>
  <c r="M43" i="4" s="1"/>
  <c r="Q42" i="4"/>
  <c r="P42" i="4"/>
  <c r="N42" i="4"/>
  <c r="O42" i="4" s="1"/>
  <c r="K42" i="4"/>
  <c r="J42" i="4"/>
  <c r="H42" i="4"/>
  <c r="M42" i="4" s="1"/>
  <c r="Q41" i="4"/>
  <c r="P41" i="4"/>
  <c r="N41" i="4"/>
  <c r="O41" i="4" s="1"/>
  <c r="K41" i="4"/>
  <c r="J41" i="4"/>
  <c r="H41" i="4"/>
  <c r="Q40" i="4"/>
  <c r="P40" i="4"/>
  <c r="N40" i="4"/>
  <c r="O40" i="4" s="1"/>
  <c r="K40" i="4"/>
  <c r="J40" i="4"/>
  <c r="H40" i="4"/>
  <c r="Q39" i="4"/>
  <c r="P39" i="4"/>
  <c r="N39" i="4"/>
  <c r="O39" i="4" s="1"/>
  <c r="K39" i="4"/>
  <c r="J39" i="4"/>
  <c r="H39" i="4"/>
  <c r="M39" i="4" s="1"/>
  <c r="Q38" i="4"/>
  <c r="P38" i="4"/>
  <c r="N38" i="4"/>
  <c r="O38" i="4" s="1"/>
  <c r="K38" i="4"/>
  <c r="J38" i="4"/>
  <c r="H38" i="4"/>
  <c r="Q37" i="4"/>
  <c r="P37" i="4"/>
  <c r="N37" i="4"/>
  <c r="O37" i="4" s="1"/>
  <c r="K37" i="4"/>
  <c r="J37" i="4"/>
  <c r="H37" i="4"/>
  <c r="L37" i="4" s="1"/>
  <c r="Q36" i="4"/>
  <c r="P36" i="4"/>
  <c r="N36" i="4"/>
  <c r="O36" i="4" s="1"/>
  <c r="K36" i="4"/>
  <c r="J36" i="4"/>
  <c r="H36" i="4"/>
  <c r="L36" i="4" s="1"/>
  <c r="Q35" i="4"/>
  <c r="P35" i="4"/>
  <c r="N35" i="4"/>
  <c r="O35" i="4" s="1"/>
  <c r="K35" i="4"/>
  <c r="J35" i="4"/>
  <c r="H35" i="4"/>
  <c r="Q34" i="4"/>
  <c r="P34" i="4"/>
  <c r="N34" i="4"/>
  <c r="O34" i="4" s="1"/>
  <c r="K34" i="4"/>
  <c r="J34" i="4"/>
  <c r="H34" i="4"/>
  <c r="M34" i="4" s="1"/>
  <c r="Q33" i="4"/>
  <c r="P33" i="4"/>
  <c r="N33" i="4"/>
  <c r="O33" i="4" s="1"/>
  <c r="K33" i="4"/>
  <c r="J33" i="4"/>
  <c r="H33" i="4"/>
  <c r="M33" i="4" s="1"/>
  <c r="Q32" i="4"/>
  <c r="P32" i="4"/>
  <c r="N32" i="4"/>
  <c r="O32" i="4" s="1"/>
  <c r="K32" i="4"/>
  <c r="J32" i="4"/>
  <c r="H32" i="4"/>
  <c r="Q31" i="4"/>
  <c r="P31" i="4"/>
  <c r="N31" i="4"/>
  <c r="O31" i="4" s="1"/>
  <c r="K31" i="4"/>
  <c r="J31" i="4"/>
  <c r="H31" i="4"/>
  <c r="L31" i="4" s="1"/>
  <c r="Q30" i="4"/>
  <c r="P30" i="4"/>
  <c r="N30" i="4"/>
  <c r="O30" i="4" s="1"/>
  <c r="K30" i="4"/>
  <c r="J30" i="4"/>
  <c r="H30" i="4"/>
  <c r="Q29" i="4"/>
  <c r="P29" i="4"/>
  <c r="N29" i="4"/>
  <c r="O29" i="4" s="1"/>
  <c r="K29" i="4"/>
  <c r="J29" i="4"/>
  <c r="H29" i="4"/>
  <c r="M29" i="4" s="1"/>
  <c r="Q28" i="4"/>
  <c r="P28" i="4"/>
  <c r="N28" i="4"/>
  <c r="O28" i="4" s="1"/>
  <c r="K28" i="4"/>
  <c r="J28" i="4"/>
  <c r="H28" i="4"/>
  <c r="M28" i="4" s="1"/>
  <c r="Q27" i="4"/>
  <c r="P27" i="4"/>
  <c r="N27" i="4"/>
  <c r="O27" i="4" s="1"/>
  <c r="K27" i="4"/>
  <c r="J27" i="4"/>
  <c r="H27" i="4"/>
  <c r="M27" i="4" s="1"/>
  <c r="Q26" i="4"/>
  <c r="P26" i="4"/>
  <c r="N26" i="4"/>
  <c r="O26" i="4" s="1"/>
  <c r="K26" i="4"/>
  <c r="J26" i="4"/>
  <c r="H26" i="4"/>
  <c r="M26" i="4" s="1"/>
  <c r="Q25" i="4"/>
  <c r="P25" i="4"/>
  <c r="N25" i="4"/>
  <c r="O25" i="4" s="1"/>
  <c r="K25" i="4"/>
  <c r="J25" i="4"/>
  <c r="H25" i="4"/>
  <c r="M25" i="4" s="1"/>
  <c r="Q24" i="4"/>
  <c r="P24" i="4"/>
  <c r="N24" i="4"/>
  <c r="O24" i="4" s="1"/>
  <c r="K24" i="4"/>
  <c r="J24" i="4"/>
  <c r="H24" i="4"/>
  <c r="M24" i="4" s="1"/>
  <c r="Q23" i="4"/>
  <c r="P23" i="4"/>
  <c r="N23" i="4"/>
  <c r="O23" i="4" s="1"/>
  <c r="K23" i="4"/>
  <c r="J23" i="4"/>
  <c r="H23" i="4"/>
  <c r="Q22" i="4"/>
  <c r="P22" i="4"/>
  <c r="N22" i="4"/>
  <c r="O22" i="4" s="1"/>
  <c r="K22" i="4"/>
  <c r="J22" i="4"/>
  <c r="H22" i="4"/>
  <c r="M22" i="4" s="1"/>
  <c r="Q21" i="4"/>
  <c r="P21" i="4"/>
  <c r="N21" i="4"/>
  <c r="O21" i="4" s="1"/>
  <c r="K21" i="4"/>
  <c r="J21" i="4"/>
  <c r="H21" i="4"/>
  <c r="Q20" i="4"/>
  <c r="P20" i="4"/>
  <c r="N20" i="4"/>
  <c r="O20" i="4" s="1"/>
  <c r="K20" i="4"/>
  <c r="J20" i="4"/>
  <c r="H20" i="4"/>
  <c r="M20" i="4" s="1"/>
  <c r="Q19" i="4"/>
  <c r="P19" i="4"/>
  <c r="N19" i="4"/>
  <c r="O19" i="4" s="1"/>
  <c r="K19" i="4"/>
  <c r="J19" i="4"/>
  <c r="H19" i="4"/>
  <c r="Q18" i="4"/>
  <c r="P18" i="4"/>
  <c r="N18" i="4"/>
  <c r="O18" i="4" s="1"/>
  <c r="M18" i="4"/>
  <c r="L18" i="4"/>
  <c r="K18" i="4"/>
  <c r="J18" i="4"/>
  <c r="H18" i="4"/>
  <c r="Q17" i="4"/>
  <c r="P17" i="4"/>
  <c r="N17" i="4"/>
  <c r="O17" i="4" s="1"/>
  <c r="K17" i="4"/>
  <c r="J17" i="4"/>
  <c r="H17" i="4"/>
  <c r="M17" i="4" s="1"/>
  <c r="Q16" i="4"/>
  <c r="P16" i="4"/>
  <c r="N16" i="4"/>
  <c r="O16" i="4" s="1"/>
  <c r="M16" i="4"/>
  <c r="L16" i="4"/>
  <c r="K16" i="4"/>
  <c r="J16" i="4"/>
  <c r="H16" i="4"/>
  <c r="Q15" i="4"/>
  <c r="P15" i="4"/>
  <c r="N15" i="4"/>
  <c r="O15" i="4" s="1"/>
  <c r="K15" i="4"/>
  <c r="J15" i="4"/>
  <c r="H15" i="4"/>
  <c r="L15" i="4" s="1"/>
  <c r="Q14" i="4"/>
  <c r="P14" i="4"/>
  <c r="N14" i="4"/>
  <c r="O14" i="4" s="1"/>
  <c r="K14" i="4"/>
  <c r="J14" i="4"/>
  <c r="H14" i="4"/>
  <c r="M14" i="4" s="1"/>
  <c r="Q13" i="4"/>
  <c r="P13" i="4"/>
  <c r="N13" i="4"/>
  <c r="O13" i="4" s="1"/>
  <c r="K13" i="4"/>
  <c r="J13" i="4"/>
  <c r="H13" i="4"/>
  <c r="M13" i="4" s="1"/>
  <c r="Q12" i="4"/>
  <c r="P12" i="4"/>
  <c r="N12" i="4"/>
  <c r="O12" i="4" s="1"/>
  <c r="K12" i="4"/>
  <c r="J12" i="4"/>
  <c r="H12" i="4"/>
  <c r="Q11" i="4"/>
  <c r="P11" i="4"/>
  <c r="N11" i="4"/>
  <c r="O11" i="4" s="1"/>
  <c r="K11" i="4"/>
  <c r="J11" i="4"/>
  <c r="H11" i="4"/>
  <c r="M11" i="4" s="1"/>
  <c r="Q10" i="4"/>
  <c r="P10" i="4"/>
  <c r="N10" i="4"/>
  <c r="O10" i="4" s="1"/>
  <c r="K10" i="4"/>
  <c r="J10" i="4"/>
  <c r="H10" i="4"/>
  <c r="M10" i="4" s="1"/>
  <c r="Y9" i="4"/>
  <c r="Z9" i="4" s="1"/>
  <c r="W9" i="4"/>
  <c r="U9" i="4"/>
  <c r="S9" i="4"/>
  <c r="T9" i="4" s="1"/>
  <c r="R9" i="4"/>
  <c r="Q9" i="4"/>
  <c r="P9" i="4"/>
  <c r="N9" i="4"/>
  <c r="O9" i="4" s="1"/>
  <c r="K9" i="4"/>
  <c r="J9" i="4"/>
  <c r="H9" i="4"/>
  <c r="L9" i="4" s="1"/>
  <c r="Z8" i="4"/>
  <c r="Y8" i="4"/>
  <c r="W8" i="4"/>
  <c r="U8" i="4"/>
  <c r="S8" i="4"/>
  <c r="T8" i="4" s="1"/>
  <c r="V8" i="4" s="1"/>
  <c r="X8" i="4" s="1"/>
  <c r="R8" i="4"/>
  <c r="Q8" i="4"/>
  <c r="P8" i="4"/>
  <c r="N8" i="4"/>
  <c r="O8" i="4" s="1"/>
  <c r="K8" i="4"/>
  <c r="J8" i="4"/>
  <c r="H8" i="4"/>
  <c r="Y7" i="4"/>
  <c r="Z7" i="4" s="1"/>
  <c r="W7" i="4"/>
  <c r="U7" i="4"/>
  <c r="T7" i="4"/>
  <c r="S7" i="4"/>
  <c r="V7" i="4" s="1"/>
  <c r="X7" i="4" s="1"/>
  <c r="R7" i="4"/>
  <c r="Q7" i="4"/>
  <c r="P7" i="4"/>
  <c r="N7" i="4"/>
  <c r="O7" i="4" s="1"/>
  <c r="K7" i="4"/>
  <c r="J7" i="4"/>
  <c r="H7" i="4"/>
  <c r="L7" i="4" s="1"/>
  <c r="Y6" i="4"/>
  <c r="W6" i="4"/>
  <c r="Q6" i="4"/>
  <c r="P6" i="4"/>
  <c r="N6" i="4"/>
  <c r="O6" i="4" s="1"/>
  <c r="K6" i="4"/>
  <c r="J6" i="4"/>
  <c r="Z6" i="4" s="1"/>
  <c r="H6" i="4"/>
  <c r="Y5" i="4"/>
  <c r="W5" i="4"/>
  <c r="U5" i="4"/>
  <c r="T5" i="4"/>
  <c r="S5" i="4"/>
  <c r="R5" i="4"/>
  <c r="V5" i="4" s="1"/>
  <c r="X5" i="4" s="1"/>
  <c r="Q5" i="4"/>
  <c r="P5" i="4"/>
  <c r="N5" i="4"/>
  <c r="O5" i="4" s="1"/>
  <c r="K5" i="4"/>
  <c r="J5" i="4"/>
  <c r="Z5" i="4" s="1"/>
  <c r="H5" i="4"/>
  <c r="M5" i="4" s="1"/>
  <c r="Y4" i="4"/>
  <c r="Z4" i="4" s="1"/>
  <c r="W4" i="4"/>
  <c r="U4" i="4"/>
  <c r="T4" i="4"/>
  <c r="S4" i="4"/>
  <c r="R4" i="4"/>
  <c r="V4" i="4" s="1"/>
  <c r="X4" i="4" s="1"/>
  <c r="Q4" i="4"/>
  <c r="P4" i="4"/>
  <c r="N4" i="4"/>
  <c r="O4" i="4" s="1"/>
  <c r="K4" i="4"/>
  <c r="J4" i="4"/>
  <c r="H4" i="4"/>
  <c r="Y3" i="4"/>
  <c r="Z3" i="4" s="1"/>
  <c r="W3" i="4"/>
  <c r="U3" i="4"/>
  <c r="Q3" i="4"/>
  <c r="P3" i="4"/>
  <c r="N3" i="4"/>
  <c r="O3" i="4" s="1"/>
  <c r="K3" i="4"/>
  <c r="J3" i="4"/>
  <c r="H3" i="4"/>
  <c r="M3" i="4" s="1"/>
  <c r="AA2" i="4"/>
  <c r="AA3" i="4" s="1"/>
  <c r="AA4" i="4" s="1"/>
  <c r="AA5" i="4" s="1"/>
  <c r="AA6" i="4" s="1"/>
  <c r="AA7" i="4" s="1"/>
  <c r="AA8" i="4" s="1"/>
  <c r="AA9" i="4" s="1"/>
  <c r="Z2" i="4"/>
  <c r="Y2" i="4"/>
  <c r="W2" i="4"/>
  <c r="Q2" i="4"/>
  <c r="P2" i="4"/>
  <c r="AE4" i="4" s="1"/>
  <c r="N2" i="4"/>
  <c r="O2" i="4" s="1"/>
  <c r="K2" i="4"/>
  <c r="J2" i="4"/>
  <c r="H2" i="4"/>
  <c r="Q53" i="3"/>
  <c r="P53" i="3"/>
  <c r="N53" i="3"/>
  <c r="O53" i="3" s="1"/>
  <c r="K53" i="3"/>
  <c r="J53" i="3"/>
  <c r="H53" i="3"/>
  <c r="Q52" i="3"/>
  <c r="P52" i="3"/>
  <c r="N52" i="3"/>
  <c r="O52" i="3" s="1"/>
  <c r="K52" i="3"/>
  <c r="J52" i="3"/>
  <c r="H52" i="3"/>
  <c r="Q51" i="3"/>
  <c r="P51" i="3"/>
  <c r="N51" i="3"/>
  <c r="O51" i="3" s="1"/>
  <c r="K51" i="3"/>
  <c r="J51" i="3"/>
  <c r="H51" i="3"/>
  <c r="Q50" i="3"/>
  <c r="P50" i="3"/>
  <c r="N50" i="3"/>
  <c r="O50" i="3" s="1"/>
  <c r="K50" i="3"/>
  <c r="J50" i="3"/>
  <c r="H50" i="3"/>
  <c r="M50" i="3" s="1"/>
  <c r="Q49" i="3"/>
  <c r="P49" i="3"/>
  <c r="N49" i="3"/>
  <c r="O49" i="3" s="1"/>
  <c r="K49" i="3"/>
  <c r="J49" i="3"/>
  <c r="H49" i="3"/>
  <c r="M49" i="3" s="1"/>
  <c r="Q48" i="3"/>
  <c r="P48" i="3"/>
  <c r="N48" i="3"/>
  <c r="O48" i="3" s="1"/>
  <c r="K48" i="3"/>
  <c r="J48" i="3"/>
  <c r="H48" i="3"/>
  <c r="Q47" i="3"/>
  <c r="P47" i="3"/>
  <c r="N47" i="3"/>
  <c r="O47" i="3" s="1"/>
  <c r="K47" i="3"/>
  <c r="J47" i="3"/>
  <c r="H47" i="3"/>
  <c r="L47" i="3" s="1"/>
  <c r="Q46" i="3"/>
  <c r="P46" i="3"/>
  <c r="N46" i="3"/>
  <c r="O46" i="3" s="1"/>
  <c r="K46" i="3"/>
  <c r="J46" i="3"/>
  <c r="H46" i="3"/>
  <c r="L46" i="3" s="1"/>
  <c r="Q45" i="3"/>
  <c r="P45" i="3"/>
  <c r="N45" i="3"/>
  <c r="O45" i="3" s="1"/>
  <c r="K45" i="3"/>
  <c r="J45" i="3"/>
  <c r="H45" i="3"/>
  <c r="M45" i="3" s="1"/>
  <c r="Q44" i="3"/>
  <c r="P44" i="3"/>
  <c r="N44" i="3"/>
  <c r="O44" i="3" s="1"/>
  <c r="K44" i="3"/>
  <c r="J44" i="3"/>
  <c r="H44" i="3"/>
  <c r="L44" i="3" s="1"/>
  <c r="Q43" i="3"/>
  <c r="P43" i="3"/>
  <c r="N43" i="3"/>
  <c r="O43" i="3" s="1"/>
  <c r="K43" i="3"/>
  <c r="J43" i="3"/>
  <c r="H43" i="3"/>
  <c r="M43" i="3" s="1"/>
  <c r="Q42" i="3"/>
  <c r="P42" i="3"/>
  <c r="N42" i="3"/>
  <c r="O42" i="3" s="1"/>
  <c r="K42" i="3"/>
  <c r="J42" i="3"/>
  <c r="H42" i="3"/>
  <c r="L42" i="3" s="1"/>
  <c r="Q41" i="3"/>
  <c r="P41" i="3"/>
  <c r="N41" i="3"/>
  <c r="O41" i="3" s="1"/>
  <c r="K41" i="3"/>
  <c r="J41" i="3"/>
  <c r="H41" i="3"/>
  <c r="M41" i="3" s="1"/>
  <c r="Q40" i="3"/>
  <c r="P40" i="3"/>
  <c r="N40" i="3"/>
  <c r="O40" i="3" s="1"/>
  <c r="K40" i="3"/>
  <c r="J40" i="3"/>
  <c r="H40" i="3"/>
  <c r="M40" i="3" s="1"/>
  <c r="Q39" i="3"/>
  <c r="P39" i="3"/>
  <c r="N39" i="3"/>
  <c r="O39" i="3" s="1"/>
  <c r="K39" i="3"/>
  <c r="J39" i="3"/>
  <c r="H39" i="3"/>
  <c r="M39" i="3" s="1"/>
  <c r="Q38" i="3"/>
  <c r="P38" i="3"/>
  <c r="N38" i="3"/>
  <c r="O38" i="3" s="1"/>
  <c r="K38" i="3"/>
  <c r="J38" i="3"/>
  <c r="H38" i="3"/>
  <c r="M38" i="3" s="1"/>
  <c r="Q37" i="3"/>
  <c r="P37" i="3"/>
  <c r="N37" i="3"/>
  <c r="O37" i="3" s="1"/>
  <c r="K37" i="3"/>
  <c r="J37" i="3"/>
  <c r="H37" i="3"/>
  <c r="Q36" i="3"/>
  <c r="P36" i="3"/>
  <c r="N36" i="3"/>
  <c r="O36" i="3" s="1"/>
  <c r="K36" i="3"/>
  <c r="J36" i="3"/>
  <c r="H36" i="3"/>
  <c r="M36" i="3" s="1"/>
  <c r="Q35" i="3"/>
  <c r="P35" i="3"/>
  <c r="N35" i="3"/>
  <c r="O35" i="3" s="1"/>
  <c r="K35" i="3"/>
  <c r="J35" i="3"/>
  <c r="H35" i="3"/>
  <c r="Q34" i="3"/>
  <c r="P34" i="3"/>
  <c r="N34" i="3"/>
  <c r="O34" i="3" s="1"/>
  <c r="K34" i="3"/>
  <c r="J34" i="3"/>
  <c r="H34" i="3"/>
  <c r="M34" i="3" s="1"/>
  <c r="Q33" i="3"/>
  <c r="P33" i="3"/>
  <c r="N33" i="3"/>
  <c r="O33" i="3" s="1"/>
  <c r="K33" i="3"/>
  <c r="J33" i="3"/>
  <c r="H33" i="3"/>
  <c r="M33" i="3" s="1"/>
  <c r="Q32" i="3"/>
  <c r="P32" i="3"/>
  <c r="N32" i="3"/>
  <c r="O32" i="3" s="1"/>
  <c r="K32" i="3"/>
  <c r="J32" i="3"/>
  <c r="H32" i="3"/>
  <c r="Q31" i="3"/>
  <c r="P31" i="3"/>
  <c r="N31" i="3"/>
  <c r="O31" i="3" s="1"/>
  <c r="K31" i="3"/>
  <c r="J31" i="3"/>
  <c r="H31" i="3"/>
  <c r="L31" i="3" s="1"/>
  <c r="Q30" i="3"/>
  <c r="P30" i="3"/>
  <c r="N30" i="3"/>
  <c r="O30" i="3" s="1"/>
  <c r="K30" i="3"/>
  <c r="J30" i="3"/>
  <c r="H30" i="3"/>
  <c r="Q29" i="3"/>
  <c r="P29" i="3"/>
  <c r="N29" i="3"/>
  <c r="O29" i="3" s="1"/>
  <c r="K29" i="3"/>
  <c r="J29" i="3"/>
  <c r="H29" i="3"/>
  <c r="M29" i="3" s="1"/>
  <c r="Q28" i="3"/>
  <c r="P28" i="3"/>
  <c r="N28" i="3"/>
  <c r="O28" i="3" s="1"/>
  <c r="K28" i="3"/>
  <c r="J28" i="3"/>
  <c r="H28" i="3"/>
  <c r="L28" i="3" s="1"/>
  <c r="Q27" i="3"/>
  <c r="P27" i="3"/>
  <c r="N27" i="3"/>
  <c r="O27" i="3" s="1"/>
  <c r="M27" i="3"/>
  <c r="L27" i="3"/>
  <c r="K27" i="3"/>
  <c r="J27" i="3"/>
  <c r="H27" i="3"/>
  <c r="Q26" i="3"/>
  <c r="P26" i="3"/>
  <c r="N26" i="3"/>
  <c r="O26" i="3" s="1"/>
  <c r="K26" i="3"/>
  <c r="J26" i="3"/>
  <c r="H26" i="3"/>
  <c r="L26" i="3" s="1"/>
  <c r="Q25" i="3"/>
  <c r="P25" i="3"/>
  <c r="N25" i="3"/>
  <c r="O25" i="3" s="1"/>
  <c r="K25" i="3"/>
  <c r="J25" i="3"/>
  <c r="H25" i="3"/>
  <c r="L25" i="3" s="1"/>
  <c r="Q24" i="3"/>
  <c r="P24" i="3"/>
  <c r="N24" i="3"/>
  <c r="O24" i="3" s="1"/>
  <c r="K24" i="3"/>
  <c r="J24" i="3"/>
  <c r="H24" i="3"/>
  <c r="M24" i="3" s="1"/>
  <c r="Q23" i="3"/>
  <c r="P23" i="3"/>
  <c r="N23" i="3"/>
  <c r="O23" i="3" s="1"/>
  <c r="K23" i="3"/>
  <c r="J23" i="3"/>
  <c r="H23" i="3"/>
  <c r="M23" i="3" s="1"/>
  <c r="Q22" i="3"/>
  <c r="P22" i="3"/>
  <c r="N22" i="3"/>
  <c r="O22" i="3" s="1"/>
  <c r="K22" i="3"/>
  <c r="J22" i="3"/>
  <c r="H22" i="3"/>
  <c r="L22" i="3" s="1"/>
  <c r="Q21" i="3"/>
  <c r="P21" i="3"/>
  <c r="N21" i="3"/>
  <c r="O21" i="3" s="1"/>
  <c r="K21" i="3"/>
  <c r="J21" i="3"/>
  <c r="H21" i="3"/>
  <c r="M21" i="3" s="1"/>
  <c r="Q20" i="3"/>
  <c r="P20" i="3"/>
  <c r="N20" i="3"/>
  <c r="O20" i="3" s="1"/>
  <c r="K20" i="3"/>
  <c r="J20" i="3"/>
  <c r="H20" i="3"/>
  <c r="M20" i="3" s="1"/>
  <c r="Q19" i="3"/>
  <c r="P19" i="3"/>
  <c r="N19" i="3"/>
  <c r="O19" i="3" s="1"/>
  <c r="K19" i="3"/>
  <c r="J19" i="3"/>
  <c r="H19" i="3"/>
  <c r="L19" i="3" s="1"/>
  <c r="Q18" i="3"/>
  <c r="P18" i="3"/>
  <c r="N18" i="3"/>
  <c r="O18" i="3" s="1"/>
  <c r="K18" i="3"/>
  <c r="J18" i="3"/>
  <c r="H18" i="3"/>
  <c r="Q17" i="3"/>
  <c r="P17" i="3"/>
  <c r="N17" i="3"/>
  <c r="O17" i="3" s="1"/>
  <c r="K17" i="3"/>
  <c r="J17" i="3"/>
  <c r="H17" i="3"/>
  <c r="L17" i="3" s="1"/>
  <c r="Q16" i="3"/>
  <c r="P16" i="3"/>
  <c r="N16" i="3"/>
  <c r="O16" i="3" s="1"/>
  <c r="K16" i="3"/>
  <c r="J16" i="3"/>
  <c r="H16" i="3"/>
  <c r="M16" i="3" s="1"/>
  <c r="Q15" i="3"/>
  <c r="P15" i="3"/>
  <c r="N15" i="3"/>
  <c r="O15" i="3" s="1"/>
  <c r="K15" i="3"/>
  <c r="J15" i="3"/>
  <c r="H15" i="3"/>
  <c r="M15" i="3" s="1"/>
  <c r="Q14" i="3"/>
  <c r="P14" i="3"/>
  <c r="N14" i="3"/>
  <c r="O14" i="3" s="1"/>
  <c r="M14" i="3"/>
  <c r="K14" i="3"/>
  <c r="J14" i="3"/>
  <c r="H14" i="3"/>
  <c r="L14" i="3" s="1"/>
  <c r="Q13" i="3"/>
  <c r="P13" i="3"/>
  <c r="N13" i="3"/>
  <c r="O13" i="3" s="1"/>
  <c r="K13" i="3"/>
  <c r="J13" i="3"/>
  <c r="H13" i="3"/>
  <c r="M13" i="3" s="1"/>
  <c r="Q12" i="3"/>
  <c r="P12" i="3"/>
  <c r="N12" i="3"/>
  <c r="O12" i="3" s="1"/>
  <c r="K12" i="3"/>
  <c r="J12" i="3"/>
  <c r="H12" i="3"/>
  <c r="M12" i="3" s="1"/>
  <c r="Q11" i="3"/>
  <c r="P11" i="3"/>
  <c r="N11" i="3"/>
  <c r="O11" i="3" s="1"/>
  <c r="K11" i="3"/>
  <c r="J11" i="3"/>
  <c r="H11" i="3"/>
  <c r="M11" i="3" s="1"/>
  <c r="Q10" i="3"/>
  <c r="P10" i="3"/>
  <c r="N10" i="3"/>
  <c r="O10" i="3" s="1"/>
  <c r="K10" i="3"/>
  <c r="J10" i="3"/>
  <c r="H10" i="3"/>
  <c r="M10" i="3" s="1"/>
  <c r="Y9" i="3"/>
  <c r="Z9" i="3" s="1"/>
  <c r="W9" i="3"/>
  <c r="U9" i="3"/>
  <c r="S9" i="3"/>
  <c r="T9" i="3" s="1"/>
  <c r="R9" i="3"/>
  <c r="V9" i="3" s="1"/>
  <c r="X9" i="3" s="1"/>
  <c r="Q9" i="3"/>
  <c r="P9" i="3"/>
  <c r="N9" i="3"/>
  <c r="O9" i="3" s="1"/>
  <c r="K9" i="3"/>
  <c r="J9" i="3"/>
  <c r="H9" i="3"/>
  <c r="M9" i="3" s="1"/>
  <c r="Z8" i="3"/>
  <c r="Y8" i="3"/>
  <c r="W8" i="3"/>
  <c r="U8" i="3"/>
  <c r="T8" i="3"/>
  <c r="S8" i="3"/>
  <c r="R8" i="3"/>
  <c r="Q8" i="3"/>
  <c r="P8" i="3"/>
  <c r="N8" i="3"/>
  <c r="O8" i="3" s="1"/>
  <c r="K8" i="3"/>
  <c r="J8" i="3"/>
  <c r="H8" i="3"/>
  <c r="M8" i="3" s="1"/>
  <c r="Y7" i="3"/>
  <c r="Z7" i="3" s="1"/>
  <c r="W7" i="3"/>
  <c r="V7" i="3"/>
  <c r="X7" i="3" s="1"/>
  <c r="U7" i="3"/>
  <c r="S7" i="3"/>
  <c r="T7" i="3" s="1"/>
  <c r="R7" i="3"/>
  <c r="Q7" i="3"/>
  <c r="P7" i="3"/>
  <c r="N7" i="3"/>
  <c r="O7" i="3" s="1"/>
  <c r="K7" i="3"/>
  <c r="J7" i="3"/>
  <c r="H7" i="3"/>
  <c r="M7" i="3" s="1"/>
  <c r="Y6" i="3"/>
  <c r="Z6" i="3" s="1"/>
  <c r="W6" i="3"/>
  <c r="R6" i="3"/>
  <c r="Q6" i="3"/>
  <c r="P6" i="3"/>
  <c r="N6" i="3"/>
  <c r="O6" i="3" s="1"/>
  <c r="K6" i="3"/>
  <c r="U6" i="3" s="1"/>
  <c r="J6" i="3"/>
  <c r="H6" i="3"/>
  <c r="M6" i="3" s="1"/>
  <c r="Z5" i="3"/>
  <c r="Y5" i="3"/>
  <c r="W5" i="3"/>
  <c r="U5" i="3"/>
  <c r="S5" i="3"/>
  <c r="T5" i="3" s="1"/>
  <c r="R5" i="3"/>
  <c r="V5" i="3" s="1"/>
  <c r="X5" i="3" s="1"/>
  <c r="Q5" i="3"/>
  <c r="P5" i="3"/>
  <c r="N5" i="3"/>
  <c r="O5" i="3" s="1"/>
  <c r="K5" i="3"/>
  <c r="J5" i="3"/>
  <c r="H5" i="3"/>
  <c r="Y4" i="3"/>
  <c r="W4" i="3"/>
  <c r="Q4" i="3"/>
  <c r="P4" i="3"/>
  <c r="N4" i="3"/>
  <c r="O4" i="3" s="1"/>
  <c r="K4" i="3"/>
  <c r="J4" i="3"/>
  <c r="H4" i="3"/>
  <c r="L4" i="3" s="1"/>
  <c r="Y3" i="3"/>
  <c r="Z3" i="3" s="1"/>
  <c r="W3" i="3"/>
  <c r="U3" i="3"/>
  <c r="T3" i="3"/>
  <c r="R3" i="3"/>
  <c r="V3" i="3" s="1"/>
  <c r="X3" i="3" s="1"/>
  <c r="Q3" i="3"/>
  <c r="P3" i="3"/>
  <c r="N3" i="3"/>
  <c r="O3" i="3" s="1"/>
  <c r="K3" i="3"/>
  <c r="S3" i="3" s="1"/>
  <c r="J3" i="3"/>
  <c r="H3" i="3"/>
  <c r="L3" i="3" s="1"/>
  <c r="Y2" i="3"/>
  <c r="Z2" i="3" s="1"/>
  <c r="W2" i="3"/>
  <c r="U2" i="3"/>
  <c r="T2" i="3"/>
  <c r="R2" i="3"/>
  <c r="Q2" i="3"/>
  <c r="P2" i="3"/>
  <c r="N2" i="3"/>
  <c r="O2" i="3" s="1"/>
  <c r="K2" i="3"/>
  <c r="S2" i="3" s="1"/>
  <c r="J2" i="3"/>
  <c r="H2" i="3"/>
  <c r="M2" i="3" s="1"/>
  <c r="Q53" i="2"/>
  <c r="P53" i="2"/>
  <c r="N53" i="2"/>
  <c r="O53" i="2" s="1"/>
  <c r="K53" i="2"/>
  <c r="J53" i="2"/>
  <c r="H53" i="2"/>
  <c r="L53" i="2" s="1"/>
  <c r="Q52" i="2"/>
  <c r="P52" i="2"/>
  <c r="N52" i="2"/>
  <c r="O52" i="2" s="1"/>
  <c r="K52" i="2"/>
  <c r="J52" i="2"/>
  <c r="H52" i="2"/>
  <c r="M52" i="2" s="1"/>
  <c r="Q51" i="2"/>
  <c r="P51" i="2"/>
  <c r="N51" i="2"/>
  <c r="O51" i="2" s="1"/>
  <c r="K51" i="2"/>
  <c r="J51" i="2"/>
  <c r="H51" i="2"/>
  <c r="M51" i="2" s="1"/>
  <c r="Q50" i="2"/>
  <c r="P50" i="2"/>
  <c r="N50" i="2"/>
  <c r="O50" i="2" s="1"/>
  <c r="K50" i="2"/>
  <c r="J50" i="2"/>
  <c r="H50" i="2"/>
  <c r="M50" i="2" s="1"/>
  <c r="Q49" i="2"/>
  <c r="P49" i="2"/>
  <c r="N49" i="2"/>
  <c r="O49" i="2" s="1"/>
  <c r="K49" i="2"/>
  <c r="J49" i="2"/>
  <c r="H49" i="2"/>
  <c r="Q48" i="2"/>
  <c r="P48" i="2"/>
  <c r="N48" i="2"/>
  <c r="O48" i="2" s="1"/>
  <c r="K48" i="2"/>
  <c r="J48" i="2"/>
  <c r="H48" i="2"/>
  <c r="L48" i="2" s="1"/>
  <c r="Q47" i="2"/>
  <c r="P47" i="2"/>
  <c r="N47" i="2"/>
  <c r="O47" i="2" s="1"/>
  <c r="K47" i="2"/>
  <c r="J47" i="2"/>
  <c r="H47" i="2"/>
  <c r="M47" i="2" s="1"/>
  <c r="Q46" i="2"/>
  <c r="P46" i="2"/>
  <c r="N46" i="2"/>
  <c r="O46" i="2" s="1"/>
  <c r="K46" i="2"/>
  <c r="J46" i="2"/>
  <c r="H46" i="2"/>
  <c r="L46" i="2" s="1"/>
  <c r="Q45" i="2"/>
  <c r="P45" i="2"/>
  <c r="N45" i="2"/>
  <c r="O45" i="2" s="1"/>
  <c r="K45" i="2"/>
  <c r="J45" i="2"/>
  <c r="H45" i="2"/>
  <c r="M45" i="2" s="1"/>
  <c r="Q44" i="2"/>
  <c r="P44" i="2"/>
  <c r="N44" i="2"/>
  <c r="O44" i="2" s="1"/>
  <c r="K44" i="2"/>
  <c r="J44" i="2"/>
  <c r="H44" i="2"/>
  <c r="M44" i="2" s="1"/>
  <c r="Q43" i="2"/>
  <c r="P43" i="2"/>
  <c r="N43" i="2"/>
  <c r="O43" i="2" s="1"/>
  <c r="K43" i="2"/>
  <c r="J43" i="2"/>
  <c r="H43" i="2"/>
  <c r="M43" i="2" s="1"/>
  <c r="Q42" i="2"/>
  <c r="P42" i="2"/>
  <c r="N42" i="2"/>
  <c r="O42" i="2" s="1"/>
  <c r="K42" i="2"/>
  <c r="J42" i="2"/>
  <c r="H42" i="2"/>
  <c r="M42" i="2" s="1"/>
  <c r="Q41" i="2"/>
  <c r="P41" i="2"/>
  <c r="N41" i="2"/>
  <c r="O41" i="2" s="1"/>
  <c r="K41" i="2"/>
  <c r="J41" i="2"/>
  <c r="H41" i="2"/>
  <c r="M41" i="2" s="1"/>
  <c r="Q40" i="2"/>
  <c r="P40" i="2"/>
  <c r="N40" i="2"/>
  <c r="O40" i="2" s="1"/>
  <c r="K40" i="2"/>
  <c r="J40" i="2"/>
  <c r="H40" i="2"/>
  <c r="M40" i="2" s="1"/>
  <c r="Q39" i="2"/>
  <c r="P39" i="2"/>
  <c r="N39" i="2"/>
  <c r="O39" i="2" s="1"/>
  <c r="K39" i="2"/>
  <c r="J39" i="2"/>
  <c r="H39" i="2"/>
  <c r="M39" i="2" s="1"/>
  <c r="Q38" i="2"/>
  <c r="P38" i="2"/>
  <c r="N38" i="2"/>
  <c r="O38" i="2" s="1"/>
  <c r="K38" i="2"/>
  <c r="J38" i="2"/>
  <c r="H38" i="2"/>
  <c r="Q37" i="2"/>
  <c r="P37" i="2"/>
  <c r="N37" i="2"/>
  <c r="O37" i="2" s="1"/>
  <c r="K37" i="2"/>
  <c r="J37" i="2"/>
  <c r="H37" i="2"/>
  <c r="L37" i="2" s="1"/>
  <c r="Q36" i="2"/>
  <c r="P36" i="2"/>
  <c r="N36" i="2"/>
  <c r="O36" i="2" s="1"/>
  <c r="K36" i="2"/>
  <c r="J36" i="2"/>
  <c r="H36" i="2"/>
  <c r="Q35" i="2"/>
  <c r="P35" i="2"/>
  <c r="N35" i="2"/>
  <c r="O35" i="2" s="1"/>
  <c r="K35" i="2"/>
  <c r="J35" i="2"/>
  <c r="H35" i="2"/>
  <c r="M35" i="2" s="1"/>
  <c r="Q34" i="2"/>
  <c r="P34" i="2"/>
  <c r="N34" i="2"/>
  <c r="O34" i="2" s="1"/>
  <c r="L34" i="2"/>
  <c r="K34" i="2"/>
  <c r="J34" i="2"/>
  <c r="H34" i="2"/>
  <c r="M34" i="2" s="1"/>
  <c r="Q33" i="2"/>
  <c r="P33" i="2"/>
  <c r="N33" i="2"/>
  <c r="O33" i="2" s="1"/>
  <c r="K33" i="2"/>
  <c r="J33" i="2"/>
  <c r="H33" i="2"/>
  <c r="M33" i="2" s="1"/>
  <c r="Q32" i="2"/>
  <c r="P32" i="2"/>
  <c r="N32" i="2"/>
  <c r="O32" i="2" s="1"/>
  <c r="K32" i="2"/>
  <c r="J32" i="2"/>
  <c r="H32" i="2"/>
  <c r="L32" i="2" s="1"/>
  <c r="Q31" i="2"/>
  <c r="P31" i="2"/>
  <c r="N31" i="2"/>
  <c r="O31" i="2" s="1"/>
  <c r="K31" i="2"/>
  <c r="J31" i="2"/>
  <c r="H31" i="2"/>
  <c r="L31" i="2" s="1"/>
  <c r="Q30" i="2"/>
  <c r="P30" i="2"/>
  <c r="N30" i="2"/>
  <c r="O30" i="2" s="1"/>
  <c r="K30" i="2"/>
  <c r="J30" i="2"/>
  <c r="H30" i="2"/>
  <c r="Q29" i="2"/>
  <c r="P29" i="2"/>
  <c r="N29" i="2"/>
  <c r="O29" i="2" s="1"/>
  <c r="K29" i="2"/>
  <c r="J29" i="2"/>
  <c r="H29" i="2"/>
  <c r="M29" i="2" s="1"/>
  <c r="Q28" i="2"/>
  <c r="P28" i="2"/>
  <c r="N28" i="2"/>
  <c r="O28" i="2" s="1"/>
  <c r="K28" i="2"/>
  <c r="J28" i="2"/>
  <c r="H28" i="2"/>
  <c r="M28" i="2" s="1"/>
  <c r="Q27" i="2"/>
  <c r="P27" i="2"/>
  <c r="N27" i="2"/>
  <c r="O27" i="2" s="1"/>
  <c r="K27" i="2"/>
  <c r="J27" i="2"/>
  <c r="H27" i="2"/>
  <c r="L27" i="2" s="1"/>
  <c r="Q26" i="2"/>
  <c r="P26" i="2"/>
  <c r="N26" i="2"/>
  <c r="O26" i="2" s="1"/>
  <c r="K26" i="2"/>
  <c r="J26" i="2"/>
  <c r="H26" i="2"/>
  <c r="M26" i="2" s="1"/>
  <c r="Q25" i="2"/>
  <c r="P25" i="2"/>
  <c r="N25" i="2"/>
  <c r="O25" i="2" s="1"/>
  <c r="K25" i="2"/>
  <c r="J25" i="2"/>
  <c r="H25" i="2"/>
  <c r="Q24" i="2"/>
  <c r="P24" i="2"/>
  <c r="N24" i="2"/>
  <c r="O24" i="2" s="1"/>
  <c r="K24" i="2"/>
  <c r="J24" i="2"/>
  <c r="H24" i="2"/>
  <c r="M24" i="2" s="1"/>
  <c r="Q23" i="2"/>
  <c r="P23" i="2"/>
  <c r="N23" i="2"/>
  <c r="O23" i="2" s="1"/>
  <c r="K23" i="2"/>
  <c r="J23" i="2"/>
  <c r="H23" i="2"/>
  <c r="Q22" i="2"/>
  <c r="P22" i="2"/>
  <c r="N22" i="2"/>
  <c r="O22" i="2" s="1"/>
  <c r="K22" i="2"/>
  <c r="J22" i="2"/>
  <c r="H22" i="2"/>
  <c r="M22" i="2" s="1"/>
  <c r="Q21" i="2"/>
  <c r="P21" i="2"/>
  <c r="N21" i="2"/>
  <c r="O21" i="2" s="1"/>
  <c r="K21" i="2"/>
  <c r="J21" i="2"/>
  <c r="H21" i="2"/>
  <c r="Q20" i="2"/>
  <c r="P20" i="2"/>
  <c r="N20" i="2"/>
  <c r="O20" i="2" s="1"/>
  <c r="K20" i="2"/>
  <c r="J20" i="2"/>
  <c r="H20" i="2"/>
  <c r="M20" i="2" s="1"/>
  <c r="Q19" i="2"/>
  <c r="P19" i="2"/>
  <c r="N19" i="2"/>
  <c r="O19" i="2" s="1"/>
  <c r="K19" i="2"/>
  <c r="J19" i="2"/>
  <c r="H19" i="2"/>
  <c r="Q18" i="2"/>
  <c r="P18" i="2"/>
  <c r="N18" i="2"/>
  <c r="O18" i="2" s="1"/>
  <c r="K18" i="2"/>
  <c r="J18" i="2"/>
  <c r="H18" i="2"/>
  <c r="L18" i="2" s="1"/>
  <c r="Q17" i="2"/>
  <c r="P17" i="2"/>
  <c r="N17" i="2"/>
  <c r="O17" i="2" s="1"/>
  <c r="K17" i="2"/>
  <c r="J17" i="2"/>
  <c r="H17" i="2"/>
  <c r="L17" i="2" s="1"/>
  <c r="Q16" i="2"/>
  <c r="P16" i="2"/>
  <c r="N16" i="2"/>
  <c r="O16" i="2" s="1"/>
  <c r="K16" i="2"/>
  <c r="J16" i="2"/>
  <c r="H16" i="2"/>
  <c r="L16" i="2" s="1"/>
  <c r="Q15" i="2"/>
  <c r="P15" i="2"/>
  <c r="N15" i="2"/>
  <c r="O15" i="2" s="1"/>
  <c r="K15" i="2"/>
  <c r="J15" i="2"/>
  <c r="H15" i="2"/>
  <c r="M15" i="2" s="1"/>
  <c r="Q14" i="2"/>
  <c r="P14" i="2"/>
  <c r="N14" i="2"/>
  <c r="O14" i="2" s="1"/>
  <c r="K14" i="2"/>
  <c r="J14" i="2"/>
  <c r="H14" i="2"/>
  <c r="L14" i="2" s="1"/>
  <c r="Q13" i="2"/>
  <c r="P13" i="2"/>
  <c r="N13" i="2"/>
  <c r="O13" i="2" s="1"/>
  <c r="M13" i="2"/>
  <c r="L13" i="2"/>
  <c r="K13" i="2"/>
  <c r="J13" i="2"/>
  <c r="H13" i="2"/>
  <c r="Q12" i="2"/>
  <c r="P12" i="2"/>
  <c r="N12" i="2"/>
  <c r="O12" i="2" s="1"/>
  <c r="K12" i="2"/>
  <c r="J12" i="2"/>
  <c r="H12" i="2"/>
  <c r="Q11" i="2"/>
  <c r="P11" i="2"/>
  <c r="N11" i="2"/>
  <c r="O11" i="2" s="1"/>
  <c r="M11" i="2"/>
  <c r="L11" i="2"/>
  <c r="K11" i="2"/>
  <c r="J11" i="2"/>
  <c r="H11" i="2"/>
  <c r="Q10" i="2"/>
  <c r="P10" i="2"/>
  <c r="N10" i="2"/>
  <c r="O10" i="2" s="1"/>
  <c r="M10" i="2"/>
  <c r="L10" i="2"/>
  <c r="K10" i="2"/>
  <c r="J10" i="2"/>
  <c r="H10" i="2"/>
  <c r="Y9" i="2"/>
  <c r="Z9" i="2" s="1"/>
  <c r="W9" i="2"/>
  <c r="U9" i="2"/>
  <c r="S9" i="2"/>
  <c r="T9" i="2" s="1"/>
  <c r="V9" i="2" s="1"/>
  <c r="X9" i="2" s="1"/>
  <c r="R9" i="2"/>
  <c r="Q9" i="2"/>
  <c r="P9" i="2"/>
  <c r="N9" i="2"/>
  <c r="O9" i="2" s="1"/>
  <c r="M9" i="2"/>
  <c r="L9" i="2"/>
  <c r="K9" i="2"/>
  <c r="J9" i="2"/>
  <c r="H9" i="2"/>
  <c r="Y8" i="2"/>
  <c r="Z8" i="2" s="1"/>
  <c r="W8" i="2"/>
  <c r="U8" i="2"/>
  <c r="S8" i="2"/>
  <c r="T8" i="2" s="1"/>
  <c r="R8" i="2"/>
  <c r="V8" i="2" s="1"/>
  <c r="X8" i="2" s="1"/>
  <c r="Q8" i="2"/>
  <c r="P8" i="2"/>
  <c r="N8" i="2"/>
  <c r="O8" i="2" s="1"/>
  <c r="M8" i="2"/>
  <c r="L8" i="2"/>
  <c r="K8" i="2"/>
  <c r="J8" i="2"/>
  <c r="H8" i="2"/>
  <c r="Y7" i="2"/>
  <c r="Z7" i="2" s="1"/>
  <c r="W7" i="2"/>
  <c r="U7" i="2"/>
  <c r="T7" i="2"/>
  <c r="S7" i="2"/>
  <c r="R7" i="2"/>
  <c r="V7" i="2" s="1"/>
  <c r="X7" i="2" s="1"/>
  <c r="Q7" i="2"/>
  <c r="P7" i="2"/>
  <c r="N7" i="2"/>
  <c r="O7" i="2" s="1"/>
  <c r="M7" i="2"/>
  <c r="L7" i="2"/>
  <c r="K7" i="2"/>
  <c r="J7" i="2"/>
  <c r="H7" i="2"/>
  <c r="W6" i="2"/>
  <c r="U6" i="2"/>
  <c r="T6" i="2"/>
  <c r="S6" i="2"/>
  <c r="R6" i="2"/>
  <c r="V6" i="2" s="1"/>
  <c r="X6" i="2" s="1"/>
  <c r="Y6" i="2" s="1"/>
  <c r="Z6" i="2" s="1"/>
  <c r="Q6" i="2"/>
  <c r="P6" i="2"/>
  <c r="N6" i="2"/>
  <c r="O6" i="2" s="1"/>
  <c r="K6" i="2"/>
  <c r="J6" i="2"/>
  <c r="H6" i="2"/>
  <c r="M6" i="2" s="1"/>
  <c r="Z5" i="2"/>
  <c r="Y5" i="2"/>
  <c r="W5" i="2"/>
  <c r="U5" i="2"/>
  <c r="Q5" i="2"/>
  <c r="P5" i="2"/>
  <c r="N5" i="2"/>
  <c r="O5" i="2" s="1"/>
  <c r="M5" i="2"/>
  <c r="L5" i="2"/>
  <c r="K5" i="2"/>
  <c r="R5" i="2" s="1"/>
  <c r="J5" i="2"/>
  <c r="H5" i="2"/>
  <c r="Z4" i="2"/>
  <c r="Y4" i="2"/>
  <c r="W4" i="2"/>
  <c r="Q4" i="2"/>
  <c r="P4" i="2"/>
  <c r="N4" i="2"/>
  <c r="O4" i="2" s="1"/>
  <c r="K4" i="2"/>
  <c r="S4" i="2" s="1"/>
  <c r="T4" i="2" s="1"/>
  <c r="J4" i="2"/>
  <c r="H4" i="2"/>
  <c r="M4" i="2" s="1"/>
  <c r="Y3" i="2"/>
  <c r="Z3" i="2" s="1"/>
  <c r="W3" i="2"/>
  <c r="Q3" i="2"/>
  <c r="P3" i="2"/>
  <c r="N3" i="2"/>
  <c r="O3" i="2" s="1"/>
  <c r="K3" i="2"/>
  <c r="U3" i="2" s="1"/>
  <c r="J3" i="2"/>
  <c r="H3" i="2"/>
  <c r="AA2" i="2"/>
  <c r="Y2" i="2"/>
  <c r="W2" i="2"/>
  <c r="Q2" i="2"/>
  <c r="P2" i="2"/>
  <c r="N2" i="2"/>
  <c r="O2" i="2" s="1"/>
  <c r="K2" i="2"/>
  <c r="J2" i="2"/>
  <c r="Z2" i="2" s="1"/>
  <c r="H2" i="2"/>
  <c r="P54" i="13" a="1"/>
  <c r="R54" i="11" a="1"/>
  <c r="U28" i="12" a="1"/>
  <c r="M15" i="14" a="1"/>
  <c r="K54" i="13" a="1"/>
  <c r="I15" i="14" a="1"/>
  <c r="S54" i="11" a="1"/>
  <c r="P54" i="11" a="1"/>
  <c r="Y54" i="11" a="1"/>
  <c r="K54" i="11" a="1"/>
  <c r="T15" i="14" a="1"/>
  <c r="N28" i="12" a="1"/>
  <c r="J54" i="11" a="1"/>
  <c r="K28" i="12" a="1"/>
  <c r="J15" i="14" a="1"/>
  <c r="N54" i="13" a="1"/>
  <c r="O54" i="13" a="1"/>
  <c r="L11" i="7" l="1"/>
  <c r="L7" i="14"/>
  <c r="L7" i="8"/>
  <c r="L45" i="2"/>
  <c r="M25" i="8"/>
  <c r="L43" i="2"/>
  <c r="M16" i="2"/>
  <c r="M27" i="2"/>
  <c r="L49" i="3"/>
  <c r="M37" i="4"/>
  <c r="L20" i="2"/>
  <c r="K24" i="5"/>
  <c r="M3" i="3"/>
  <c r="L47" i="7"/>
  <c r="L16" i="3"/>
  <c r="L33" i="4"/>
  <c r="L53" i="5"/>
  <c r="L42" i="4"/>
  <c r="M82" i="8"/>
  <c r="L48" i="10"/>
  <c r="M7" i="4"/>
  <c r="L45" i="3"/>
  <c r="L14" i="4"/>
  <c r="L12" i="3"/>
  <c r="L29" i="3"/>
  <c r="M47" i="3"/>
  <c r="M31" i="4"/>
  <c r="L48" i="4"/>
  <c r="M50" i="4"/>
  <c r="L56" i="8"/>
  <c r="M39" i="10"/>
  <c r="M73" i="8"/>
  <c r="K13" i="7"/>
  <c r="M25" i="3"/>
  <c r="L29" i="5"/>
  <c r="L50" i="10"/>
  <c r="L84" i="8"/>
  <c r="M18" i="2"/>
  <c r="L20" i="4"/>
  <c r="K19" i="5"/>
  <c r="M24" i="10"/>
  <c r="L36" i="3"/>
  <c r="K22" i="5"/>
  <c r="L23" i="7"/>
  <c r="L29" i="7"/>
  <c r="M99" i="8"/>
  <c r="M52" i="3"/>
  <c r="L52" i="3"/>
  <c r="K5" i="5"/>
  <c r="L38" i="5"/>
  <c r="K38" i="5"/>
  <c r="M38" i="4"/>
  <c r="L38" i="4"/>
  <c r="L6" i="6"/>
  <c r="K6" i="6"/>
  <c r="K27" i="7"/>
  <c r="L27" i="7"/>
  <c r="L54" i="8"/>
  <c r="M2" i="12"/>
  <c r="L2" i="12"/>
  <c r="M32" i="8"/>
  <c r="L32" i="8"/>
  <c r="L14" i="14"/>
  <c r="K14" i="14"/>
  <c r="L3" i="5"/>
  <c r="K3" i="5"/>
  <c r="L52" i="8"/>
  <c r="M69" i="8"/>
  <c r="L69" i="8"/>
  <c r="M71" i="8"/>
  <c r="L93" i="8"/>
  <c r="M93" i="8"/>
  <c r="M40" i="4"/>
  <c r="L40" i="4"/>
  <c r="L19" i="2"/>
  <c r="M19" i="2"/>
  <c r="L28" i="8"/>
  <c r="M28" i="8"/>
  <c r="L6" i="4"/>
  <c r="M6" i="4"/>
  <c r="L29" i="4"/>
  <c r="L41" i="3"/>
  <c r="K42" i="5"/>
  <c r="L12" i="8"/>
  <c r="M12" i="8"/>
  <c r="M32" i="2"/>
  <c r="L27" i="4"/>
  <c r="M65" i="8"/>
  <c r="L65" i="8"/>
  <c r="K2" i="14"/>
  <c r="L34" i="8"/>
  <c r="M34" i="8"/>
  <c r="L48" i="3"/>
  <c r="M48" i="3"/>
  <c r="L30" i="2"/>
  <c r="M30" i="2"/>
  <c r="L47" i="2"/>
  <c r="M42" i="8"/>
  <c r="L42" i="8"/>
  <c r="L47" i="13"/>
  <c r="M47" i="13"/>
  <c r="M11" i="13"/>
  <c r="L11" i="13"/>
  <c r="M95" i="8"/>
  <c r="L95" i="8"/>
  <c r="L30" i="3"/>
  <c r="M30" i="3"/>
  <c r="M2" i="8"/>
  <c r="L2" i="8"/>
  <c r="L50" i="8"/>
  <c r="M50" i="8"/>
  <c r="L53" i="4"/>
  <c r="M53" i="4"/>
  <c r="L31" i="10"/>
  <c r="M31" i="10"/>
  <c r="M2" i="2"/>
  <c r="L2" i="2"/>
  <c r="L34" i="3"/>
  <c r="L39" i="3"/>
  <c r="M2" i="4"/>
  <c r="L2" i="4"/>
  <c r="L25" i="4"/>
  <c r="M32" i="3"/>
  <c r="L32" i="3"/>
  <c r="L7" i="5"/>
  <c r="K40" i="5"/>
  <c r="L36" i="8"/>
  <c r="M36" i="8"/>
  <c r="K35" i="7"/>
  <c r="L35" i="7"/>
  <c r="M44" i="10"/>
  <c r="L44" i="10"/>
  <c r="L85" i="8"/>
  <c r="K21" i="5"/>
  <c r="L7" i="6"/>
  <c r="L4" i="8"/>
  <c r="L53" i="8"/>
  <c r="M55" i="8"/>
  <c r="M81" i="8"/>
  <c r="M98" i="8"/>
  <c r="M47" i="10"/>
  <c r="L49" i="10"/>
  <c r="L50" i="3"/>
  <c r="L10" i="4"/>
  <c r="M63" i="8"/>
  <c r="M89" i="8"/>
  <c r="L9" i="14"/>
  <c r="M17" i="2"/>
  <c r="L5" i="4"/>
  <c r="L34" i="4"/>
  <c r="M40" i="10"/>
  <c r="L10" i="12"/>
  <c r="L24" i="3"/>
  <c r="L17" i="4"/>
  <c r="L13" i="14"/>
  <c r="L33" i="2"/>
  <c r="M46" i="2"/>
  <c r="M22" i="3"/>
  <c r="L24" i="4"/>
  <c r="L26" i="4"/>
  <c r="L28" i="4"/>
  <c r="K6" i="5"/>
  <c r="L41" i="5"/>
  <c r="K2" i="6"/>
  <c r="M45" i="10"/>
  <c r="M6" i="11"/>
  <c r="L8" i="3"/>
  <c r="M36" i="4"/>
  <c r="M26" i="3"/>
  <c r="M47" i="4"/>
  <c r="M87" i="8"/>
  <c r="M44" i="3"/>
  <c r="L12" i="10"/>
  <c r="L22" i="2"/>
  <c r="M31" i="2"/>
  <c r="L35" i="2"/>
  <c r="L42" i="2"/>
  <c r="M48" i="2"/>
  <c r="M4" i="3"/>
  <c r="L33" i="3"/>
  <c r="K4" i="5"/>
  <c r="K39" i="5"/>
  <c r="K15" i="7"/>
  <c r="K39" i="7"/>
  <c r="L11" i="8"/>
  <c r="L49" i="8"/>
  <c r="L66" i="8"/>
  <c r="L68" i="8"/>
  <c r="L32" i="10"/>
  <c r="L34" i="10"/>
  <c r="L50" i="13"/>
  <c r="M102" i="8"/>
  <c r="L25" i="10"/>
  <c r="L91" i="8"/>
  <c r="M28" i="3"/>
  <c r="K12" i="6"/>
  <c r="L74" i="8"/>
  <c r="M57" i="8"/>
  <c r="L24" i="2"/>
  <c r="L7" i="3"/>
  <c r="M15" i="4"/>
  <c r="L6" i="2"/>
  <c r="M53" i="2"/>
  <c r="M31" i="3"/>
  <c r="L39" i="4"/>
  <c r="L22" i="10"/>
  <c r="L42" i="10"/>
  <c r="L4" i="2"/>
  <c r="L26" i="8"/>
  <c r="L15" i="3"/>
  <c r="M46" i="3"/>
  <c r="K23" i="5"/>
  <c r="L4" i="6"/>
  <c r="L49" i="4"/>
  <c r="L43" i="5"/>
  <c r="L17" i="7"/>
  <c r="L61" i="8"/>
  <c r="L11" i="3"/>
  <c r="M17" i="3"/>
  <c r="L29" i="8"/>
  <c r="M41" i="8"/>
  <c r="O54" i="13"/>
  <c r="N54" i="13"/>
  <c r="J15" i="14"/>
  <c r="K28" i="12"/>
  <c r="J54" i="11"/>
  <c r="N28" i="12"/>
  <c r="O28" i="12" s="1"/>
  <c r="T15" i="14"/>
  <c r="K54" i="11"/>
  <c r="Y54" i="11"/>
  <c r="Z54" i="11" s="1"/>
  <c r="P54" i="11"/>
  <c r="S54" i="11"/>
  <c r="I15" i="14"/>
  <c r="K54" i="13"/>
  <c r="M15" i="14"/>
  <c r="N15" i="14" s="1"/>
  <c r="U28" i="12"/>
  <c r="R54" i="11"/>
  <c r="P54" i="13"/>
  <c r="L14" i="7"/>
  <c r="K14" i="7"/>
  <c r="M37" i="3"/>
  <c r="L37" i="3"/>
  <c r="L35" i="3"/>
  <c r="M35" i="3"/>
  <c r="Y3" i="12"/>
  <c r="X3" i="12"/>
  <c r="U6" i="4"/>
  <c r="S6" i="4"/>
  <c r="T6" i="4" s="1"/>
  <c r="R6" i="4"/>
  <c r="U4" i="3"/>
  <c r="S4" i="3"/>
  <c r="T4" i="3" s="1"/>
  <c r="R4" i="3"/>
  <c r="L20" i="5"/>
  <c r="K20" i="5"/>
  <c r="M25" i="2"/>
  <c r="L25" i="2"/>
  <c r="R4" i="8"/>
  <c r="U4" i="8"/>
  <c r="S4" i="8"/>
  <c r="T4" i="8" s="1"/>
  <c r="M12" i="2"/>
  <c r="L12" i="2"/>
  <c r="M23" i="2"/>
  <c r="L23" i="2"/>
  <c r="L49" i="2"/>
  <c r="M49" i="2"/>
  <c r="M36" i="2"/>
  <c r="L36" i="2"/>
  <c r="V8" i="3"/>
  <c r="X8" i="3" s="1"/>
  <c r="L18" i="3"/>
  <c r="M18" i="3"/>
  <c r="L45" i="7"/>
  <c r="K45" i="7"/>
  <c r="AE5" i="4"/>
  <c r="AE3" i="4"/>
  <c r="L51" i="4"/>
  <c r="M51" i="4"/>
  <c r="M19" i="4"/>
  <c r="L19" i="4"/>
  <c r="M8" i="4"/>
  <c r="L8" i="4"/>
  <c r="L5" i="3"/>
  <c r="M5" i="3"/>
  <c r="L37" i="5"/>
  <c r="K37" i="5"/>
  <c r="L33" i="7"/>
  <c r="K33" i="7"/>
  <c r="Z4" i="3"/>
  <c r="L35" i="4"/>
  <c r="M35" i="4"/>
  <c r="U2" i="2"/>
  <c r="S2" i="2"/>
  <c r="T2" i="2" s="1"/>
  <c r="R2" i="2"/>
  <c r="M38" i="2"/>
  <c r="L38" i="2"/>
  <c r="AE4" i="2"/>
  <c r="L21" i="2"/>
  <c r="M21" i="2"/>
  <c r="AA3" i="2"/>
  <c r="AA4" i="2" s="1"/>
  <c r="AA5" i="2" s="1"/>
  <c r="AA6" i="2" s="1"/>
  <c r="AA7" i="2" s="1"/>
  <c r="AA8" i="2" s="1"/>
  <c r="AA9" i="2" s="1"/>
  <c r="M3" i="2"/>
  <c r="L3" i="2"/>
  <c r="K11" i="6"/>
  <c r="L11" i="6"/>
  <c r="L21" i="7"/>
  <c r="K21" i="7"/>
  <c r="AE4" i="3"/>
  <c r="M54" i="5"/>
  <c r="L8" i="7"/>
  <c r="K8" i="7"/>
  <c r="Y4" i="10"/>
  <c r="Z4" i="10" s="1"/>
  <c r="T6" i="13"/>
  <c r="W13" i="13"/>
  <c r="X13" i="13" s="1"/>
  <c r="M21" i="11"/>
  <c r="L21" i="11"/>
  <c r="K18" i="5"/>
  <c r="K35" i="5"/>
  <c r="S4" i="11"/>
  <c r="T4" i="11" s="1"/>
  <c r="U4" i="11"/>
  <c r="V2" i="3"/>
  <c r="X2" i="3" s="1"/>
  <c r="M12" i="4"/>
  <c r="L12" i="4"/>
  <c r="K16" i="5"/>
  <c r="K33" i="5"/>
  <c r="K50" i="5"/>
  <c r="L4" i="7"/>
  <c r="K4" i="7"/>
  <c r="L19" i="7"/>
  <c r="L24" i="7"/>
  <c r="K24" i="7"/>
  <c r="L36" i="7"/>
  <c r="K36" i="7"/>
  <c r="L48" i="7"/>
  <c r="K48" i="7"/>
  <c r="U3" i="8"/>
  <c r="R3" i="8"/>
  <c r="V3" i="8" s="1"/>
  <c r="X3" i="8" s="1"/>
  <c r="Y3" i="8" s="1"/>
  <c r="Z3" i="8" s="1"/>
  <c r="S3" i="8"/>
  <c r="T3" i="8" s="1"/>
  <c r="V7" i="8"/>
  <c r="X7" i="8" s="1"/>
  <c r="Y7" i="8" s="1"/>
  <c r="Z7" i="8" s="1"/>
  <c r="V4" i="10"/>
  <c r="X4" i="10" s="1"/>
  <c r="L53" i="10"/>
  <c r="M53" i="10"/>
  <c r="V5" i="11"/>
  <c r="X5" i="11" s="1"/>
  <c r="Y5" i="11" s="1"/>
  <c r="Z5" i="11" s="1"/>
  <c r="L51" i="2"/>
  <c r="O54" i="5"/>
  <c r="K31" i="5"/>
  <c r="K48" i="5"/>
  <c r="K31" i="7"/>
  <c r="K43" i="7"/>
  <c r="L52" i="5"/>
  <c r="L40" i="2"/>
  <c r="L6" i="3"/>
  <c r="L20" i="3"/>
  <c r="M9" i="4"/>
  <c r="K14" i="5"/>
  <c r="M14" i="2"/>
  <c r="L29" i="2"/>
  <c r="L43" i="3"/>
  <c r="M53" i="3"/>
  <c r="L53" i="3"/>
  <c r="K10" i="5"/>
  <c r="K46" i="5"/>
  <c r="L9" i="6"/>
  <c r="L2" i="7"/>
  <c r="K2" i="7"/>
  <c r="M51" i="8"/>
  <c r="L51" i="8"/>
  <c r="L26" i="7"/>
  <c r="K26" i="7"/>
  <c r="Y3" i="10"/>
  <c r="Z3" i="10" s="1"/>
  <c r="AE4" i="10"/>
  <c r="M51" i="3"/>
  <c r="L51" i="3"/>
  <c r="M32" i="4"/>
  <c r="L32" i="4"/>
  <c r="K8" i="5"/>
  <c r="K25" i="5"/>
  <c r="K44" i="5"/>
  <c r="L22" i="7"/>
  <c r="K22" i="7"/>
  <c r="L34" i="7"/>
  <c r="K34" i="7"/>
  <c r="L46" i="7"/>
  <c r="K46" i="7"/>
  <c r="M27" i="8"/>
  <c r="L27" i="8"/>
  <c r="M43" i="10"/>
  <c r="L43" i="10"/>
  <c r="W51" i="13"/>
  <c r="X51" i="13" s="1"/>
  <c r="W53" i="13"/>
  <c r="X53" i="13" s="1"/>
  <c r="L38" i="7"/>
  <c r="K38" i="7"/>
  <c r="L44" i="2"/>
  <c r="L13" i="3"/>
  <c r="L22" i="4"/>
  <c r="M30" i="4"/>
  <c r="L30" i="4"/>
  <c r="H54" i="5"/>
  <c r="L2" i="5"/>
  <c r="M51" i="10"/>
  <c r="R4" i="11"/>
  <c r="T48" i="13"/>
  <c r="V48" i="13" s="1"/>
  <c r="W48" i="13" s="1"/>
  <c r="X48" i="13" s="1"/>
  <c r="L52" i="4"/>
  <c r="M52" i="4"/>
  <c r="U2" i="8"/>
  <c r="S2" i="8"/>
  <c r="T2" i="8" s="1"/>
  <c r="R2" i="8"/>
  <c r="V2" i="8" s="1"/>
  <c r="X2" i="8" s="1"/>
  <c r="M10" i="8"/>
  <c r="L10" i="8"/>
  <c r="M79" i="8"/>
  <c r="L79" i="8"/>
  <c r="S9" i="12"/>
  <c r="Q9" i="12"/>
  <c r="R9" i="12" s="1"/>
  <c r="P9" i="12"/>
  <c r="L32" i="7"/>
  <c r="K32" i="7"/>
  <c r="L44" i="7"/>
  <c r="K44" i="7"/>
  <c r="Z2" i="10"/>
  <c r="AA2" i="10"/>
  <c r="AA3" i="10" s="1"/>
  <c r="AA4" i="10" s="1"/>
  <c r="AA5" i="10" s="1"/>
  <c r="AA6" i="10" s="1"/>
  <c r="AA7" i="10" s="1"/>
  <c r="AA8" i="10" s="1"/>
  <c r="AA9" i="10" s="1"/>
  <c r="T40" i="13"/>
  <c r="V40" i="13" s="1"/>
  <c r="W40" i="13" s="1"/>
  <c r="X40" i="13" s="1"/>
  <c r="T46" i="13"/>
  <c r="V46" i="13" s="1"/>
  <c r="W46" i="13" s="1"/>
  <c r="X46" i="13" s="1"/>
  <c r="R3" i="2"/>
  <c r="V3" i="2" s="1"/>
  <c r="X3" i="2" s="1"/>
  <c r="S3" i="2"/>
  <c r="T3" i="2" s="1"/>
  <c r="S8" i="8"/>
  <c r="T8" i="8" s="1"/>
  <c r="U8" i="8"/>
  <c r="R8" i="8"/>
  <c r="V8" i="8" s="1"/>
  <c r="X8" i="8" s="1"/>
  <c r="S34" i="13"/>
  <c r="Q34" i="13"/>
  <c r="R34" i="13" s="1"/>
  <c r="P34" i="13"/>
  <c r="T34" i="13" s="1"/>
  <c r="V34" i="13" s="1"/>
  <c r="L38" i="3"/>
  <c r="N54" i="5"/>
  <c r="K15" i="5"/>
  <c r="K49" i="5"/>
  <c r="L51" i="5"/>
  <c r="K7" i="7"/>
  <c r="K25" i="7"/>
  <c r="K37" i="7"/>
  <c r="K49" i="7"/>
  <c r="M47" i="8"/>
  <c r="L37" i="10"/>
  <c r="M37" i="10"/>
  <c r="L41" i="10"/>
  <c r="W39" i="13"/>
  <c r="X39" i="13" s="1"/>
  <c r="S52" i="13"/>
  <c r="Q52" i="13"/>
  <c r="R52" i="13" s="1"/>
  <c r="P52" i="13"/>
  <c r="T52" i="13" s="1"/>
  <c r="V52" i="13" s="1"/>
  <c r="W52" i="13" s="1"/>
  <c r="X52" i="13" s="1"/>
  <c r="AA2" i="3"/>
  <c r="AA3" i="3" s="1"/>
  <c r="AA4" i="3" s="1"/>
  <c r="AA5" i="3" s="1"/>
  <c r="AA6" i="3" s="1"/>
  <c r="AA7" i="3" s="1"/>
  <c r="AA8" i="3" s="1"/>
  <c r="AA9" i="3" s="1"/>
  <c r="K36" i="5"/>
  <c r="L5" i="6"/>
  <c r="L18" i="7"/>
  <c r="K18" i="7"/>
  <c r="L50" i="2"/>
  <c r="L9" i="3"/>
  <c r="L39" i="2"/>
  <c r="M19" i="3"/>
  <c r="L40" i="3"/>
  <c r="S3" i="4"/>
  <c r="T3" i="4" s="1"/>
  <c r="R3" i="4"/>
  <c r="V3" i="4" s="1"/>
  <c r="X3" i="4" s="1"/>
  <c r="M4" i="4"/>
  <c r="L4" i="4"/>
  <c r="V9" i="4"/>
  <c r="X9" i="4" s="1"/>
  <c r="M23" i="4"/>
  <c r="L23" i="4"/>
  <c r="K32" i="5"/>
  <c r="K47" i="5"/>
  <c r="L3" i="6"/>
  <c r="U5" i="8"/>
  <c r="S5" i="8"/>
  <c r="T5" i="8" s="1"/>
  <c r="R26" i="12"/>
  <c r="T26" i="12" s="1"/>
  <c r="V26" i="12" s="1"/>
  <c r="W26" i="12" s="1"/>
  <c r="X26" i="12" s="1"/>
  <c r="M41" i="4"/>
  <c r="L41" i="4"/>
  <c r="S6" i="3"/>
  <c r="T6" i="3" s="1"/>
  <c r="L17" i="5"/>
  <c r="K34" i="5"/>
  <c r="R4" i="2"/>
  <c r="V4" i="2" s="1"/>
  <c r="X4" i="2" s="1"/>
  <c r="L26" i="2"/>
  <c r="M37" i="2"/>
  <c r="S5" i="2"/>
  <c r="L15" i="2"/>
  <c r="L28" i="2"/>
  <c r="L41" i="2"/>
  <c r="L52" i="2"/>
  <c r="L2" i="3"/>
  <c r="L10" i="3"/>
  <c r="L21" i="3"/>
  <c r="L23" i="3"/>
  <c r="M42" i="3"/>
  <c r="L3" i="4"/>
  <c r="L11" i="4"/>
  <c r="L13" i="4"/>
  <c r="M21" i="4"/>
  <c r="L21" i="4"/>
  <c r="K9" i="5"/>
  <c r="K30" i="5"/>
  <c r="K45" i="5"/>
  <c r="L8" i="6"/>
  <c r="K8" i="6"/>
  <c r="K3" i="7"/>
  <c r="L16" i="7"/>
  <c r="K16" i="7"/>
  <c r="L28" i="7"/>
  <c r="K28" i="7"/>
  <c r="L40" i="7"/>
  <c r="K40" i="7"/>
  <c r="M5" i="8"/>
  <c r="L75" i="8"/>
  <c r="L77" i="8"/>
  <c r="L96" i="8"/>
  <c r="M19" i="10"/>
  <c r="L19" i="10"/>
  <c r="M35" i="10"/>
  <c r="L35" i="10"/>
  <c r="W34" i="13"/>
  <c r="X34" i="13" s="1"/>
  <c r="X36" i="13"/>
  <c r="L50" i="7"/>
  <c r="K50" i="7"/>
  <c r="L4" i="15"/>
  <c r="J15" i="15"/>
  <c r="U4" i="2"/>
  <c r="U2" i="4"/>
  <c r="S2" i="4"/>
  <c r="T2" i="4" s="1"/>
  <c r="R2" i="4"/>
  <c r="V2" i="4" s="1"/>
  <c r="X2" i="4" s="1"/>
  <c r="M45" i="4"/>
  <c r="L45" i="4"/>
  <c r="K28" i="5"/>
  <c r="L13" i="6"/>
  <c r="O54" i="11"/>
  <c r="W16" i="12"/>
  <c r="X16" i="12" s="1"/>
  <c r="T14" i="13"/>
  <c r="V14" i="13" s="1"/>
  <c r="W14" i="13" s="1"/>
  <c r="X14" i="13" s="1"/>
  <c r="T17" i="13"/>
  <c r="V17" i="13" s="1"/>
  <c r="W17" i="13" s="1"/>
  <c r="X17" i="13" s="1"/>
  <c r="W29" i="13"/>
  <c r="X29" i="13" s="1"/>
  <c r="M94" i="8"/>
  <c r="L94" i="8"/>
  <c r="T7" i="13"/>
  <c r="V7" i="13" s="1"/>
  <c r="W7" i="13" s="1"/>
  <c r="X7" i="13" s="1"/>
  <c r="T42" i="13"/>
  <c r="V42" i="13" s="1"/>
  <c r="W42" i="13" s="1"/>
  <c r="X42" i="13" s="1"/>
  <c r="P12" i="13"/>
  <c r="S12" i="13"/>
  <c r="Q12" i="13"/>
  <c r="R12" i="13" s="1"/>
  <c r="Q38" i="13"/>
  <c r="R38" i="13" s="1"/>
  <c r="S38" i="13"/>
  <c r="P38" i="13"/>
  <c r="T38" i="13" s="1"/>
  <c r="V38" i="13" s="1"/>
  <c r="T18" i="12"/>
  <c r="V18" i="12" s="1"/>
  <c r="W18" i="12" s="1"/>
  <c r="X18" i="12" s="1"/>
  <c r="M46" i="10"/>
  <c r="L46" i="10"/>
  <c r="S11" i="12"/>
  <c r="Q11" i="12"/>
  <c r="R11" i="12" s="1"/>
  <c r="P11" i="12"/>
  <c r="T15" i="13"/>
  <c r="V15" i="13" s="1"/>
  <c r="W15" i="13" s="1"/>
  <c r="X15" i="13" s="1"/>
  <c r="X25" i="13"/>
  <c r="S35" i="13"/>
  <c r="Q35" i="13"/>
  <c r="R35" i="13" s="1"/>
  <c r="P35" i="13"/>
  <c r="T35" i="13" s="1"/>
  <c r="V35" i="13" s="1"/>
  <c r="W35" i="13" s="1"/>
  <c r="X35" i="13" s="1"/>
  <c r="S5" i="14"/>
  <c r="U5" i="14" s="1"/>
  <c r="Y6" i="10"/>
  <c r="Z6" i="10" s="1"/>
  <c r="M30" i="10"/>
  <c r="L30" i="10"/>
  <c r="T4" i="12"/>
  <c r="T9" i="13"/>
  <c r="V9" i="13" s="1"/>
  <c r="W38" i="13"/>
  <c r="X38" i="13" s="1"/>
  <c r="K10" i="6"/>
  <c r="L48" i="8"/>
  <c r="L64" i="8"/>
  <c r="W17" i="12"/>
  <c r="X17" i="12" s="1"/>
  <c r="T43" i="13"/>
  <c r="V43" i="13" s="1"/>
  <c r="W43" i="13" s="1"/>
  <c r="X43" i="13" s="1"/>
  <c r="L43" i="4"/>
  <c r="L33" i="8"/>
  <c r="L70" i="8"/>
  <c r="M72" i="8"/>
  <c r="M76" i="8"/>
  <c r="Y5" i="10"/>
  <c r="Z5" i="10" s="1"/>
  <c r="L26" i="10"/>
  <c r="T3" i="11"/>
  <c r="V3" i="11" s="1"/>
  <c r="X3" i="11" s="1"/>
  <c r="Y3" i="11" s="1"/>
  <c r="Z3" i="11" s="1"/>
  <c r="M22" i="13"/>
  <c r="L22" i="13"/>
  <c r="S51" i="13"/>
  <c r="Q51" i="13"/>
  <c r="R51" i="13" s="1"/>
  <c r="P51" i="13"/>
  <c r="T51" i="13" s="1"/>
  <c r="V51" i="13" s="1"/>
  <c r="V9" i="8"/>
  <c r="X9" i="8" s="1"/>
  <c r="Y9" i="8" s="1"/>
  <c r="Z9" i="8" s="1"/>
  <c r="M101" i="8"/>
  <c r="V6" i="10"/>
  <c r="X6" i="10" s="1"/>
  <c r="T6" i="10"/>
  <c r="M36" i="10"/>
  <c r="L36" i="10"/>
  <c r="T24" i="12"/>
  <c r="V24" i="12" s="1"/>
  <c r="W24" i="12" s="1"/>
  <c r="X24" i="12" s="1"/>
  <c r="T27" i="12"/>
  <c r="V27" i="12" s="1"/>
  <c r="W27" i="12" s="1"/>
  <c r="X27" i="12" s="1"/>
  <c r="L97" i="8"/>
  <c r="V5" i="10"/>
  <c r="X5" i="10" s="1"/>
  <c r="S24" i="13"/>
  <c r="Q24" i="13"/>
  <c r="R24" i="13" s="1"/>
  <c r="P24" i="13"/>
  <c r="T24" i="13" s="1"/>
  <c r="V24" i="13" s="1"/>
  <c r="W24" i="13" s="1"/>
  <c r="X24" i="13" s="1"/>
  <c r="T27" i="13"/>
  <c r="V27" i="13" s="1"/>
  <c r="W27" i="13" s="1"/>
  <c r="X27" i="13" s="1"/>
  <c r="W15" i="12"/>
  <c r="X15" i="12" s="1"/>
  <c r="T16" i="12"/>
  <c r="V16" i="12" s="1"/>
  <c r="W23" i="12"/>
  <c r="X23" i="12" s="1"/>
  <c r="T13" i="13"/>
  <c r="V13" i="13" s="1"/>
  <c r="S12" i="14"/>
  <c r="U12" i="14" s="1"/>
  <c r="R40" i="13"/>
  <c r="S3" i="14"/>
  <c r="W23" i="13"/>
  <c r="X23" i="13" s="1"/>
  <c r="O11" i="14"/>
  <c r="V6" i="11"/>
  <c r="X6" i="11" s="1"/>
  <c r="M20" i="13"/>
  <c r="R50" i="13"/>
  <c r="T50" i="13" s="1"/>
  <c r="V50" i="13" s="1"/>
  <c r="K10" i="14"/>
  <c r="P11" i="14"/>
  <c r="Q11" i="14" s="1"/>
  <c r="W13" i="12"/>
  <c r="X13" i="12" s="1"/>
  <c r="T14" i="12"/>
  <c r="V14" i="12" s="1"/>
  <c r="W14" i="12" s="1"/>
  <c r="X14" i="12" s="1"/>
  <c r="W21" i="12"/>
  <c r="X21" i="12" s="1"/>
  <c r="T22" i="12"/>
  <c r="V22" i="12" s="1"/>
  <c r="W22" i="12" s="1"/>
  <c r="X22" i="12" s="1"/>
  <c r="P23" i="13"/>
  <c r="T23" i="13" s="1"/>
  <c r="V23" i="13" s="1"/>
  <c r="Q33" i="13"/>
  <c r="R33" i="13" s="1"/>
  <c r="P49" i="13"/>
  <c r="T49" i="13" s="1"/>
  <c r="V49" i="13" s="1"/>
  <c r="W49" i="13" s="1"/>
  <c r="X49" i="13" s="1"/>
  <c r="P10" i="13"/>
  <c r="Q22" i="13"/>
  <c r="R22" i="13" s="1"/>
  <c r="Q23" i="13"/>
  <c r="R23" i="13" s="1"/>
  <c r="S47" i="13"/>
  <c r="Q47" i="13"/>
  <c r="R47" i="13" s="1"/>
  <c r="K8" i="14"/>
  <c r="P14" i="14"/>
  <c r="Q14" i="14" s="1"/>
  <c r="O14" i="14"/>
  <c r="P12" i="12"/>
  <c r="T12" i="12" s="1"/>
  <c r="V12" i="12" s="1"/>
  <c r="W12" i="12" s="1"/>
  <c r="X12" i="12" s="1"/>
  <c r="W20" i="12"/>
  <c r="X20" i="12" s="1"/>
  <c r="S8" i="13"/>
  <c r="Q8" i="13"/>
  <c r="W9" i="13"/>
  <c r="X9" i="13" s="1"/>
  <c r="P20" i="13"/>
  <c r="T20" i="13" s="1"/>
  <c r="V20" i="13" s="1"/>
  <c r="P32" i="13"/>
  <c r="S33" i="13"/>
  <c r="S49" i="13"/>
  <c r="O10" i="14"/>
  <c r="L83" i="8"/>
  <c r="L92" i="8"/>
  <c r="L38" i="10"/>
  <c r="AA2" i="11"/>
  <c r="Z2" i="11"/>
  <c r="Q12" i="12"/>
  <c r="R12" i="12" s="1"/>
  <c r="S10" i="13"/>
  <c r="S20" i="13"/>
  <c r="S22" i="13"/>
  <c r="S30" i="13"/>
  <c r="Q30" i="13"/>
  <c r="R30" i="13" s="1"/>
  <c r="Q48" i="13"/>
  <c r="R48" i="13" s="1"/>
  <c r="X2" i="14"/>
  <c r="W2" i="14"/>
  <c r="P10" i="14"/>
  <c r="Q10" i="14" s="1"/>
  <c r="L15" i="15"/>
  <c r="T20" i="12"/>
  <c r="V20" i="12" s="1"/>
  <c r="Q9" i="13"/>
  <c r="R9" i="13" s="1"/>
  <c r="S32" i="13"/>
  <c r="S48" i="13"/>
  <c r="O9" i="14"/>
  <c r="M15" i="15"/>
  <c r="P10" i="12"/>
  <c r="T10" i="12" s="1"/>
  <c r="V10" i="12" s="1"/>
  <c r="M26" i="13"/>
  <c r="L26" i="13"/>
  <c r="K4" i="14"/>
  <c r="L5" i="14"/>
  <c r="L62" i="8"/>
  <c r="L78" i="8"/>
  <c r="U4" i="10"/>
  <c r="S4" i="10"/>
  <c r="T4" i="10" s="1"/>
  <c r="M52" i="10"/>
  <c r="L52" i="10"/>
  <c r="M22" i="11"/>
  <c r="T19" i="12"/>
  <c r="V19" i="12" s="1"/>
  <c r="W19" i="12" s="1"/>
  <c r="X19" i="12" s="1"/>
  <c r="W4" i="13"/>
  <c r="X4" i="13" s="1"/>
  <c r="W5" i="13"/>
  <c r="X5" i="13" s="1"/>
  <c r="S19" i="13"/>
  <c r="T19" i="13" s="1"/>
  <c r="V19" i="13" s="1"/>
  <c r="W19" i="13" s="1"/>
  <c r="X19" i="13" s="1"/>
  <c r="S31" i="13"/>
  <c r="T31" i="13" s="1"/>
  <c r="V31" i="13" s="1"/>
  <c r="W31" i="13" s="1"/>
  <c r="X31" i="13" s="1"/>
  <c r="P47" i="13"/>
  <c r="T47" i="13" s="1"/>
  <c r="V47" i="13" s="1"/>
  <c r="R14" i="14"/>
  <c r="M5" i="12"/>
  <c r="P8" i="13"/>
  <c r="P18" i="13"/>
  <c r="T18" i="13" s="1"/>
  <c r="V18" i="13" s="1"/>
  <c r="W18" i="13" s="1"/>
  <c r="X18" i="13" s="1"/>
  <c r="R8" i="14"/>
  <c r="S8" i="14" s="1"/>
  <c r="U8" i="14" s="1"/>
  <c r="W10" i="14"/>
  <c r="M100" i="8"/>
  <c r="M4" i="11"/>
  <c r="Q6" i="12"/>
  <c r="S2" i="13"/>
  <c r="T2" i="13" s="1"/>
  <c r="V2" i="13" s="1"/>
  <c r="Q16" i="13"/>
  <c r="R16" i="13" s="1"/>
  <c r="W41" i="13"/>
  <c r="X41" i="13" s="1"/>
  <c r="T44" i="13"/>
  <c r="V44" i="13" s="1"/>
  <c r="W44" i="13" s="1"/>
  <c r="X44" i="13" s="1"/>
  <c r="R2" i="14"/>
  <c r="P2" i="14"/>
  <c r="Q2" i="14" s="1"/>
  <c r="P4" i="14"/>
  <c r="P5" i="14"/>
  <c r="Q5" i="14" s="1"/>
  <c r="R6" i="14"/>
  <c r="L11" i="14"/>
  <c r="K11" i="14"/>
  <c r="L12" i="14"/>
  <c r="N3" i="15"/>
  <c r="M3" i="15"/>
  <c r="K15" i="15"/>
  <c r="P13" i="14"/>
  <c r="S2" i="11"/>
  <c r="L28" i="12" a="1"/>
  <c r="L54" i="11" a="1"/>
  <c r="L54" i="13" a="1"/>
  <c r="P15" i="14" a="1"/>
  <c r="Q54" i="13" a="1"/>
  <c r="S28" i="12" a="1"/>
  <c r="Q28" i="12" a="1"/>
  <c r="R15" i="14" a="1"/>
  <c r="K15" i="14" a="1"/>
  <c r="T54" i="13" a="1"/>
  <c r="W54" i="11" a="1"/>
  <c r="P28" i="12" a="1"/>
  <c r="O15" i="14" a="1"/>
  <c r="U54" i="11" a="1"/>
  <c r="R54" i="13" a="1"/>
  <c r="T54" i="11" a="1"/>
  <c r="L28" i="12" l="1"/>
  <c r="M28" i="12" s="1"/>
  <c r="K54" i="5"/>
  <c r="T54" i="11"/>
  <c r="R54" i="13"/>
  <c r="U54" i="11"/>
  <c r="O15" i="14"/>
  <c r="P28" i="12"/>
  <c r="W54" i="11"/>
  <c r="T54" i="13"/>
  <c r="K15" i="14"/>
  <c r="L15" i="14" s="1"/>
  <c r="R15" i="14"/>
  <c r="Q28" i="12"/>
  <c r="S28" i="12"/>
  <c r="Q54" i="13"/>
  <c r="P15" i="14"/>
  <c r="L54" i="13"/>
  <c r="L54" i="11"/>
  <c r="M54" i="11" s="1"/>
  <c r="W2" i="13"/>
  <c r="V6" i="13"/>
  <c r="V6" i="4"/>
  <c r="X6" i="4" s="1"/>
  <c r="T30" i="13"/>
  <c r="V30" i="13" s="1"/>
  <c r="W30" i="13" s="1"/>
  <c r="X30" i="13" s="1"/>
  <c r="T5" i="2"/>
  <c r="V5" i="2"/>
  <c r="X5" i="2" s="1"/>
  <c r="Q13" i="14"/>
  <c r="S13" i="14"/>
  <c r="U13" i="14" s="1"/>
  <c r="S14" i="14"/>
  <c r="U14" i="14" s="1"/>
  <c r="V4" i="11"/>
  <c r="X4" i="11" s="1"/>
  <c r="V2" i="2"/>
  <c r="X2" i="2" s="1"/>
  <c r="Q54" i="11"/>
  <c r="AE3" i="11"/>
  <c r="AE4" i="11" s="1"/>
  <c r="AE5" i="11" s="1"/>
  <c r="R8" i="13"/>
  <c r="T2" i="11"/>
  <c r="T16" i="13"/>
  <c r="V16" i="13" s="1"/>
  <c r="W16" i="13" s="1"/>
  <c r="X16" i="13" s="1"/>
  <c r="V4" i="12"/>
  <c r="AE5" i="10"/>
  <c r="AE3" i="10"/>
  <c r="S9" i="14"/>
  <c r="U9" i="14" s="1"/>
  <c r="T9" i="12"/>
  <c r="V9" i="12" s="1"/>
  <c r="V4" i="8"/>
  <c r="X4" i="8" s="1"/>
  <c r="U3" i="14"/>
  <c r="V3" i="14" s="1"/>
  <c r="AE3" i="2"/>
  <c r="AE5" i="2"/>
  <c r="T12" i="13"/>
  <c r="V12" i="13" s="1"/>
  <c r="W12" i="13" s="1"/>
  <c r="X12" i="13" s="1"/>
  <c r="AE3" i="3"/>
  <c r="AE5" i="3"/>
  <c r="S2" i="14"/>
  <c r="U2" i="14" s="1"/>
  <c r="T33" i="13"/>
  <c r="V33" i="13" s="1"/>
  <c r="W33" i="13" s="1"/>
  <c r="X33" i="13" s="1"/>
  <c r="V5" i="8"/>
  <c r="X5" i="8" s="1"/>
  <c r="S6" i="14"/>
  <c r="U6" i="14" s="1"/>
  <c r="V6" i="14" s="1"/>
  <c r="T11" i="12"/>
  <c r="V11" i="12" s="1"/>
  <c r="W11" i="12" s="1"/>
  <c r="X11" i="12" s="1"/>
  <c r="V6" i="3"/>
  <c r="X6" i="3" s="1"/>
  <c r="R6" i="12"/>
  <c r="X3" i="14"/>
  <c r="X4" i="14" s="1"/>
  <c r="T10" i="13"/>
  <c r="V10" i="13" s="1"/>
  <c r="W10" i="13" s="1"/>
  <c r="X10" i="13" s="1"/>
  <c r="S11" i="14"/>
  <c r="U11" i="14" s="1"/>
  <c r="T22" i="13"/>
  <c r="V22" i="13" s="1"/>
  <c r="AA3" i="11"/>
  <c r="AA4" i="11" s="1"/>
  <c r="AA5" i="11" s="1"/>
  <c r="AA6" i="11" s="1"/>
  <c r="AA7" i="11" s="1"/>
  <c r="AA8" i="11" s="1"/>
  <c r="AA9" i="11" s="1"/>
  <c r="S10" i="14"/>
  <c r="U10" i="14" s="1"/>
  <c r="Q4" i="14"/>
  <c r="T32" i="13"/>
  <c r="V32" i="13" s="1"/>
  <c r="W32" i="13" s="1"/>
  <c r="X32" i="13" s="1"/>
  <c r="V4" i="3"/>
  <c r="X4" i="3" s="1"/>
  <c r="V15" i="14" a="1"/>
  <c r="R28" i="12" a="1"/>
  <c r="S54" i="13" a="1"/>
  <c r="Q15" i="14" a="1"/>
  <c r="V54" i="11" a="1"/>
  <c r="V54" i="11" l="1"/>
  <c r="Q15" i="14"/>
  <c r="S54" i="13"/>
  <c r="R28" i="12"/>
  <c r="V15" i="14"/>
  <c r="Y2" i="13"/>
  <c r="Y3" i="13" s="1"/>
  <c r="Y4" i="13" s="1"/>
  <c r="Y5" i="13" s="1"/>
  <c r="X2" i="13"/>
  <c r="V2" i="11"/>
  <c r="T6" i="12"/>
  <c r="W4" i="12"/>
  <c r="W6" i="14"/>
  <c r="X6" i="14"/>
  <c r="X7" i="14" s="1"/>
  <c r="S4" i="14"/>
  <c r="W3" i="14"/>
  <c r="T8" i="13"/>
  <c r="W6" i="13"/>
  <c r="X54" i="11" a="1"/>
  <c r="T28" i="12" a="1"/>
  <c r="U54" i="13" a="1"/>
  <c r="S15" i="14" a="1"/>
  <c r="S15" i="14" l="1"/>
  <c r="U54" i="13"/>
  <c r="T28" i="12"/>
  <c r="X54" i="11"/>
  <c r="U4" i="14"/>
  <c r="X6" i="13"/>
  <c r="V8" i="13"/>
  <c r="V6" i="12"/>
  <c r="X9" i="14"/>
  <c r="X10" i="14" s="1"/>
  <c r="X11" i="14" s="1"/>
  <c r="X12" i="14" s="1"/>
  <c r="X13" i="14" s="1"/>
  <c r="X14" i="14" s="1"/>
  <c r="X8" i="14"/>
  <c r="X4" i="12"/>
  <c r="Y4" i="12"/>
  <c r="Y5" i="12" s="1"/>
  <c r="X2" i="11"/>
  <c r="Y6" i="13"/>
  <c r="Y7" i="13" s="1"/>
  <c r="W15" i="14"/>
  <c r="AA3" i="14"/>
  <c r="AA4" i="14" s="1"/>
  <c r="AA5" i="14" s="1"/>
  <c r="AA54" i="11" a="1"/>
  <c r="U15" i="14" a="1"/>
  <c r="V54" i="13" a="1"/>
  <c r="V28" i="12" a="1"/>
  <c r="V28" i="12" l="1"/>
  <c r="V54" i="13"/>
  <c r="U15" i="14"/>
  <c r="AA54" i="11"/>
  <c r="Y7" i="12"/>
  <c r="Y8" i="12" s="1"/>
  <c r="Y9" i="12" s="1"/>
  <c r="Y10" i="12" s="1"/>
  <c r="Y11" i="12" s="1"/>
  <c r="Y12" i="12" s="1"/>
  <c r="Y13" i="12" s="1"/>
  <c r="Y14" i="12" s="1"/>
  <c r="Y15" i="12" s="1"/>
  <c r="Y16" i="12" s="1"/>
  <c r="Y17" i="12" s="1"/>
  <c r="Y18" i="12" s="1"/>
  <c r="Y19" i="12" s="1"/>
  <c r="Y20" i="12" s="1"/>
  <c r="Y21" i="12" s="1"/>
  <c r="Y22" i="12" s="1"/>
  <c r="Y23" i="12" s="1"/>
  <c r="Y24" i="12" s="1"/>
  <c r="Y25" i="12" s="1"/>
  <c r="Y26" i="12" s="1"/>
  <c r="Y27" i="12" s="1"/>
  <c r="W6" i="12"/>
  <c r="W8" i="13"/>
  <c r="W28" i="12" a="1"/>
  <c r="W54" i="13" a="1"/>
  <c r="W54" i="13" l="1"/>
  <c r="W28" i="12"/>
  <c r="X8" i="13"/>
  <c r="X6" i="12"/>
  <c r="Y6" i="12"/>
  <c r="Y8" i="13"/>
  <c r="Y9" i="13" s="1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Y32" i="13" s="1"/>
  <c r="Y33" i="13" s="1"/>
  <c r="Y34" i="13" s="1"/>
  <c r="Y35" i="13" s="1"/>
  <c r="Y36" i="13" s="1"/>
  <c r="Y37" i="13" s="1"/>
  <c r="Y38" i="13" s="1"/>
  <c r="Y39" i="13" s="1"/>
  <c r="Y40" i="13" s="1"/>
  <c r="Y41" i="13" s="1"/>
  <c r="Y42" i="13" s="1"/>
  <c r="Y43" i="13" s="1"/>
  <c r="Y44" i="13" s="1"/>
  <c r="Y45" i="13" s="1"/>
  <c r="Y46" i="13" s="1"/>
  <c r="Y47" i="13" s="1"/>
  <c r="Y48" i="13" s="1"/>
  <c r="Y28" i="12" a="1"/>
  <c r="Y28" i="12" l="1"/>
  <c r="Y49" i="13"/>
  <c r="Y51" i="13"/>
  <c r="AB3" i="12"/>
  <c r="AB4" i="12" s="1"/>
  <c r="AB5" i="12" s="1"/>
  <c r="X28" i="12"/>
  <c r="X54" i="13"/>
  <c r="AB3" i="13"/>
  <c r="AB4" i="13" s="1"/>
  <c r="AB5" i="13" s="1"/>
  <c r="Y50" i="13" l="1"/>
  <c r="Y53" i="13" s="1"/>
  <c r="Y5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400-000003000000}">
      <text>
        <r>
          <rPr>
            <sz val="10"/>
            <color rgb="FF000000"/>
            <rFont val="Arial"/>
            <scheme val="minor"/>
          </rPr>
          <t>1:1 Bonus on 26-Aug-25
	-Kamalkishor Prajapati</t>
        </r>
      </text>
    </comment>
    <comment ref="B24" authorId="0" shapeId="0" xr:uid="{00000000-0006-0000-0400-000004000000}">
      <text>
        <r>
          <rPr>
            <sz val="10"/>
            <color rgb="FF000000"/>
            <rFont val="Arial"/>
            <scheme val="minor"/>
          </rPr>
          <t>Bonus 1:1
	-Kamalkishor Prajapati</t>
        </r>
      </text>
    </comment>
    <comment ref="B32" authorId="0" shapeId="0" xr:uid="{00000000-0006-0000-0400-000001000000}">
      <text>
        <r>
          <rPr>
            <sz val="10"/>
            <color rgb="FF000000"/>
            <rFont val="Arial"/>
            <scheme val="minor"/>
          </rPr>
          <t>1:1 Bonus on 26-Aug-25
	-Kamalkishor Prajapati</t>
        </r>
      </text>
    </comment>
    <comment ref="B33" authorId="0" shapeId="0" xr:uid="{00000000-0006-0000-0400-000002000000}">
      <text>
        <r>
          <rPr>
            <sz val="10"/>
            <color rgb="FF000000"/>
            <rFont val="Arial"/>
            <scheme val="minor"/>
          </rPr>
          <t>1:1 Bonus on 26-Aug-25
	-Kamalkishor Prajapati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500-000002000000}">
      <text>
        <r>
          <rPr>
            <sz val="10"/>
            <color rgb="FF000000"/>
            <rFont val="Arial"/>
            <scheme val="minor"/>
          </rPr>
          <t>1:1 Bonus
	-Kamalkishor Prajapati</t>
        </r>
      </text>
    </comment>
    <comment ref="B13" authorId="0" shapeId="0" xr:uid="{00000000-0006-0000-0500-000001000000}">
      <text>
        <r>
          <rPr>
            <sz val="10"/>
            <color rgb="FF000000"/>
            <rFont val="Arial"/>
            <scheme val="minor"/>
          </rPr>
          <t>TATAMOTORS Demerger, TMPV=68.85%
	-Kamalkishor Prajapati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7" authorId="0" shapeId="0" xr:uid="{00000000-0006-0000-0700-000001000000}">
      <text>
        <r>
          <rPr>
            <sz val="10"/>
            <color rgb="FF000000"/>
            <rFont val="Arial"/>
            <scheme val="minor"/>
          </rPr>
          <t>IPO
	-Kamalkishor Prajapati</t>
        </r>
      </text>
    </comment>
    <comment ref="B38" authorId="0" shapeId="0" xr:uid="{00000000-0006-0000-0700-000002000000}">
      <text>
        <r>
          <rPr>
            <sz val="10"/>
            <color rgb="FF000000"/>
            <rFont val="Arial"/>
            <scheme val="minor"/>
          </rPr>
          <t>IPO
	-Kamalkishor Prajapati</t>
        </r>
      </text>
    </comment>
    <comment ref="B39" authorId="0" shapeId="0" xr:uid="{00000000-0006-0000-0700-000004000000}">
      <text>
        <r>
          <rPr>
            <sz val="10"/>
            <color rgb="FF000000"/>
            <rFont val="Arial"/>
            <scheme val="minor"/>
          </rPr>
          <t>IPO
	-Kamalkishor Prajapati</t>
        </r>
      </text>
    </comment>
    <comment ref="B40" authorId="0" shapeId="0" xr:uid="{00000000-0006-0000-0700-000003000000}">
      <text>
        <r>
          <rPr>
            <sz val="10"/>
            <color rgb="FF000000"/>
            <rFont val="Arial"/>
            <scheme val="minor"/>
          </rPr>
          <t>IPO
	-Kamalkishor Prajapati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00000000-0006-0000-0C00-000003000000}">
      <text>
        <r>
          <rPr>
            <sz val="10"/>
            <color rgb="FF000000"/>
            <rFont val="Arial"/>
            <scheme val="minor"/>
          </rPr>
          <t>0.1% on buy &amp; sell
	-Kamalkishor Prajapati</t>
        </r>
      </text>
    </comment>
    <comment ref="Q1" authorId="0" shapeId="0" xr:uid="{00000000-0006-0000-0C00-000001000000}">
      <text>
        <r>
          <rPr>
            <sz val="10"/>
            <color rgb="FF000000"/>
            <rFont val="Arial"/>
            <scheme val="minor"/>
          </rPr>
          <t>NSE: 0.00325% : BSE: 0.003%
	-Kamalkishor Prajapati</t>
        </r>
      </text>
    </comment>
    <comment ref="R1" authorId="0" shapeId="0" xr:uid="{00000000-0006-0000-0C00-000002000000}">
      <text>
        <r>
          <rPr>
            <sz val="10"/>
            <color rgb="FF000000"/>
            <rFont val="Arial"/>
            <scheme val="minor"/>
          </rPr>
          <t>18% on (brokerage + transaction charges)
	-Kamalkishor Prajapati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D00-000001000000}">
      <text>
        <r>
          <rPr>
            <sz val="10"/>
            <color rgb="FF000000"/>
            <rFont val="Arial"/>
            <scheme val="minor"/>
          </rPr>
          <t>Dividend Amount
	-Kamalkishor Prajapati</t>
        </r>
      </text>
    </comment>
  </commentList>
</comments>
</file>

<file path=xl/sharedStrings.xml><?xml version="1.0" encoding="utf-8"?>
<sst xmlns="http://schemas.openxmlformats.org/spreadsheetml/2006/main" count="2074" uniqueCount="279">
  <si>
    <t>Trading 2025</t>
  </si>
  <si>
    <t>Sudadevi</t>
  </si>
  <si>
    <t>Rashmi</t>
  </si>
  <si>
    <t>Aishwarya</t>
  </si>
  <si>
    <t>SYMBOL</t>
  </si>
  <si>
    <t>Realised P/L</t>
  </si>
  <si>
    <t>Unrealised P/L</t>
  </si>
  <si>
    <t>Change Today</t>
  </si>
  <si>
    <t>SUM of Realised P/L</t>
  </si>
  <si>
    <t>SUM of Unrealised P/L</t>
  </si>
  <si>
    <t>SUM of Change</t>
  </si>
  <si>
    <t>ALPHAETF</t>
  </si>
  <si>
    <t>ALPHA</t>
  </si>
  <si>
    <t>ANGELONE</t>
  </si>
  <si>
    <t>ASIANPAINT</t>
  </si>
  <si>
    <t>GOLDCASE</t>
  </si>
  <si>
    <t>CROMPTON</t>
  </si>
  <si>
    <t>ASHOKLEY</t>
  </si>
  <si>
    <t>BAJAJHFL</t>
  </si>
  <si>
    <t>GPPL</t>
  </si>
  <si>
    <t>GODREJPROP</t>
  </si>
  <si>
    <t>AXISBANK</t>
  </si>
  <si>
    <t>BPCL</t>
  </si>
  <si>
    <t>HDFCBANK</t>
  </si>
  <si>
    <t>HINDZINC</t>
  </si>
  <si>
    <t>AZAD</t>
  </si>
  <si>
    <t>CPSEETF</t>
  </si>
  <si>
    <t>ICICIB22</t>
  </si>
  <si>
    <t>INDGN</t>
  </si>
  <si>
    <t>BAJAJFINSV</t>
  </si>
  <si>
    <t>HAL</t>
  </si>
  <si>
    <t>IDFCFIRSTB</t>
  </si>
  <si>
    <t>IREDA</t>
  </si>
  <si>
    <t>BHARATFORG</t>
  </si>
  <si>
    <t>HCLTECH</t>
  </si>
  <si>
    <t>IRCTC</t>
  </si>
  <si>
    <t>JIOFIN</t>
  </si>
  <si>
    <t>JSWENERGY</t>
  </si>
  <si>
    <t>COALINDIA</t>
  </si>
  <si>
    <t>RELIANCE</t>
  </si>
  <si>
    <t>PPLPHARMA</t>
  </si>
  <si>
    <t>ICICIBANK</t>
  </si>
  <si>
    <t>TMCV</t>
  </si>
  <si>
    <t>TITAGARH</t>
  </si>
  <si>
    <t>DALBHARAT</t>
  </si>
  <si>
    <t>TMPV</t>
  </si>
  <si>
    <t>EICHERMOT</t>
  </si>
  <si>
    <t>ITC</t>
  </si>
  <si>
    <t>Grand Total</t>
  </si>
  <si>
    <t>VOLTAS</t>
  </si>
  <si>
    <t>ETERNAL</t>
  </si>
  <si>
    <t>WIPRO</t>
  </si>
  <si>
    <t>MAFANG</t>
  </si>
  <si>
    <t>HINDALCO</t>
  </si>
  <si>
    <t>MOTHERSON</t>
  </si>
  <si>
    <t>RAILTEL</t>
  </si>
  <si>
    <t>TATACHEM</t>
  </si>
  <si>
    <t>UPL</t>
  </si>
  <si>
    <t>ITCHOTELS</t>
  </si>
  <si>
    <t>LT</t>
  </si>
  <si>
    <t>MIDCAPETF</t>
  </si>
  <si>
    <t>MOVALUE</t>
  </si>
  <si>
    <t>NMDC</t>
  </si>
  <si>
    <t>NORTHARC</t>
  </si>
  <si>
    <t>POLYCAB</t>
  </si>
  <si>
    <t>SAIL</t>
  </si>
  <si>
    <t>SBIN</t>
  </si>
  <si>
    <t>SETFGOLD</t>
  </si>
  <si>
    <t>TATAPOWER</t>
  </si>
  <si>
    <t>TATASTEEL</t>
  </si>
  <si>
    <t>TATATECH</t>
  </si>
  <si>
    <t>TVSMOTOR</t>
  </si>
  <si>
    <t>Column 1</t>
  </si>
  <si>
    <t>Holder</t>
  </si>
  <si>
    <t>Buy Date</t>
  </si>
  <si>
    <t>Buy</t>
  </si>
  <si>
    <t>Sell Date</t>
  </si>
  <si>
    <t>Sell</t>
  </si>
  <si>
    <t>LTP</t>
  </si>
  <si>
    <t>QTY</t>
  </si>
  <si>
    <t>Invested</t>
  </si>
  <si>
    <t>Turnover</t>
  </si>
  <si>
    <t>U P/L %</t>
  </si>
  <si>
    <t>Day_Change</t>
  </si>
  <si>
    <t>Change</t>
  </si>
  <si>
    <t>R P/L %</t>
  </si>
  <si>
    <t>STT</t>
  </si>
  <si>
    <t>Ex Txn Chg</t>
  </si>
  <si>
    <t>GST</t>
  </si>
  <si>
    <t>SEBI charges</t>
  </si>
  <si>
    <t>Total tax and charges</t>
  </si>
  <si>
    <t>DP Charges</t>
  </si>
  <si>
    <t>Total Charges</t>
  </si>
  <si>
    <t>Net P/L</t>
  </si>
  <si>
    <t>Net P/L %</t>
  </si>
  <si>
    <t>Balance</t>
  </si>
  <si>
    <t>Comment</t>
  </si>
  <si>
    <t>DHAN</t>
  </si>
  <si>
    <t>Initial Balance</t>
  </si>
  <si>
    <t>Current Balance</t>
  </si>
  <si>
    <t>Net P&amp;L</t>
  </si>
  <si>
    <t>MACD RSI</t>
  </si>
  <si>
    <t>SL</t>
  </si>
  <si>
    <t>Net % P&amp;L</t>
  </si>
  <si>
    <t>RAM</t>
  </si>
  <si>
    <t>TSL</t>
  </si>
  <si>
    <t>RSI 50</t>
  </si>
  <si>
    <t>Manual</t>
  </si>
  <si>
    <t>GTT</t>
  </si>
  <si>
    <t>Dashrathlal</t>
  </si>
  <si>
    <t>HDFCLIFE</t>
  </si>
  <si>
    <t>HDFCMOMENT</t>
  </si>
  <si>
    <t>HDFCSILVER</t>
  </si>
  <si>
    <t>INDIGOPNTS</t>
  </si>
  <si>
    <t>ITETF</t>
  </si>
  <si>
    <t>RCOM</t>
  </si>
  <si>
    <t>TATACONSUM</t>
  </si>
  <si>
    <t>IDEA</t>
  </si>
  <si>
    <t>SILVERETF</t>
  </si>
  <si>
    <t>YESBANK</t>
  </si>
  <si>
    <t>Sr.#</t>
  </si>
  <si>
    <t>SUM of QTY</t>
  </si>
  <si>
    <t>IPO</t>
  </si>
  <si>
    <t>Diwali 24 Buy</t>
  </si>
  <si>
    <t>Diwali 25 Buy</t>
  </si>
  <si>
    <t>AS OF 22-Jun-25</t>
  </si>
  <si>
    <t>Column 1 2</t>
  </si>
  <si>
    <t>Column 2</t>
  </si>
  <si>
    <t>Target</t>
  </si>
  <si>
    <t>h</t>
  </si>
  <si>
    <t>Change 2</t>
  </si>
  <si>
    <t>ESPRESSO</t>
  </si>
  <si>
    <t>1:1 Bonus on 28-OCT-24</t>
  </si>
  <si>
    <t>GRASIM</t>
  </si>
  <si>
    <t>ADANIGREEN</t>
  </si>
  <si>
    <t>ADANIPORTS</t>
  </si>
  <si>
    <t>Kamal</t>
  </si>
  <si>
    <t>DIVOPPBEES</t>
  </si>
  <si>
    <t>Savitri</t>
  </si>
  <si>
    <t>Paytm</t>
  </si>
  <si>
    <t>Ramkishor</t>
  </si>
  <si>
    <t>ICICIBANKN</t>
  </si>
  <si>
    <t>Savitri Total</t>
  </si>
  <si>
    <t>DOMS</t>
  </si>
  <si>
    <t>EXIDEIND</t>
  </si>
  <si>
    <t>ICICIBank</t>
  </si>
  <si>
    <t>HAPPYFORGE</t>
  </si>
  <si>
    <t>TATAMOTORS</t>
  </si>
  <si>
    <t>NAUKRI</t>
  </si>
  <si>
    <t>SBICARD</t>
  </si>
  <si>
    <t>TRANSFERED TO DHAN ON 5-FEB-25</t>
  </si>
  <si>
    <t>ZOMATO</t>
  </si>
  <si>
    <t>ULIP</t>
  </si>
  <si>
    <t xml:space="preserve">RSIEMA CROSS ON MONTHLY </t>
  </si>
  <si>
    <t>GOLD ETD</t>
  </si>
  <si>
    <t>Date</t>
  </si>
  <si>
    <t>Payment_Date</t>
  </si>
  <si>
    <t>Symbol</t>
  </si>
  <si>
    <t>Amount</t>
  </si>
  <si>
    <t>SUM of Amount</t>
  </si>
  <si>
    <t>DASHRATHLAL</t>
  </si>
  <si>
    <t>KAMAL</t>
  </si>
  <si>
    <t>RASHMI</t>
  </si>
  <si>
    <t>CAMS</t>
  </si>
  <si>
    <t>BOB</t>
  </si>
  <si>
    <t>CHOLAMANDALAM INV</t>
  </si>
  <si>
    <t>CIPLA</t>
  </si>
  <si>
    <t>EICHER MOTORS</t>
  </si>
  <si>
    <t>EXIDE</t>
  </si>
  <si>
    <t>INFO EDGE</t>
  </si>
  <si>
    <t>JSWSTEEL</t>
  </si>
  <si>
    <t>LAURUS LABS</t>
  </si>
  <si>
    <t>SBI</t>
  </si>
  <si>
    <t>TCS</t>
  </si>
  <si>
    <t>Breakout</t>
  </si>
  <si>
    <t>CHAMBLFERT</t>
  </si>
  <si>
    <t>GFS, before Breakout</t>
  </si>
  <si>
    <t>GFS, before Breakout, sL</t>
  </si>
  <si>
    <t>AARTIIND</t>
  </si>
  <si>
    <t>GFS, before Breakout, Target</t>
  </si>
  <si>
    <t>ANGELONE Total</t>
  </si>
  <si>
    <t>PreBreakout</t>
  </si>
  <si>
    <t>CHOLAFIN</t>
  </si>
  <si>
    <t>GLENMARK</t>
  </si>
  <si>
    <t>GFS</t>
  </si>
  <si>
    <t>IGIL</t>
  </si>
  <si>
    <t>OIL</t>
  </si>
  <si>
    <t>VMM</t>
  </si>
  <si>
    <t>RAM Total</t>
  </si>
  <si>
    <t>FYERS</t>
  </si>
  <si>
    <t>LICHSGFIN</t>
  </si>
  <si>
    <t xml:space="preserve">52WK </t>
  </si>
  <si>
    <t>LAURUSLABS</t>
  </si>
  <si>
    <t>52WK</t>
  </si>
  <si>
    <t>ZYDUSLIFE</t>
  </si>
  <si>
    <t>Trend scan</t>
  </si>
  <si>
    <t>Vijay Thakkar</t>
  </si>
  <si>
    <t xml:space="preserve"> </t>
  </si>
  <si>
    <t>AJMERA</t>
  </si>
  <si>
    <t>CONCOR</t>
  </si>
  <si>
    <t>SWING - SL hit</t>
  </si>
  <si>
    <t>BANKBARODA</t>
  </si>
  <si>
    <t>JINDALSTEL</t>
  </si>
  <si>
    <t>Daily Breakout with Vol. Target</t>
  </si>
  <si>
    <t>INDIACEM</t>
  </si>
  <si>
    <t>FYERA</t>
  </si>
  <si>
    <t>RSI EMA CROSS, SL HIT</t>
  </si>
  <si>
    <t>On Breakout, but without Volumn</t>
  </si>
  <si>
    <t>DIVISLAB</t>
  </si>
  <si>
    <t>GFS Running</t>
  </si>
  <si>
    <t>DIXON</t>
  </si>
  <si>
    <t xml:space="preserve">Weekly breakout </t>
  </si>
  <si>
    <t>Breakout with Volumn</t>
  </si>
  <si>
    <t>Strong Weekly &amp; Montly Candle and RSI 14 above 21 EMA RSI 14</t>
  </si>
  <si>
    <t>Weekly RSI about to cross 60, Daily Above 60, But RSI Divergence, Candle above Last Week high</t>
  </si>
  <si>
    <t>Timeout</t>
  </si>
  <si>
    <t>Took support on 50 EMA and price above 21 EMA</t>
  </si>
  <si>
    <t>Daily RSI near 59.4 and Price took support on 50 EMA, On Weekly price trading above 50 EMA and RSI at 58.29, Expexting a upside run</t>
  </si>
  <si>
    <t>EMA 21 &amp; 50 Crossover on Weekly TF, Weekly RSI @59.52 , aily RSI @ 60.36 and price above 21 &amp; 50 EMA</t>
  </si>
  <si>
    <t>TITAN</t>
  </si>
  <si>
    <t>EMA Support, W Pattern</t>
  </si>
  <si>
    <t>RBLBANK</t>
  </si>
  <si>
    <t>RIL Demerger</t>
  </si>
  <si>
    <t>Momentum</t>
  </si>
  <si>
    <t>Force Close</t>
  </si>
  <si>
    <t>GFS + Breakout</t>
  </si>
  <si>
    <t>Total</t>
  </si>
  <si>
    <t>Sudhadevi</t>
  </si>
  <si>
    <t>HDFC</t>
  </si>
  <si>
    <t>SUM of Net P/L</t>
  </si>
  <si>
    <t>MINDTREE</t>
  </si>
  <si>
    <t>AWL</t>
  </si>
  <si>
    <t>HINDUNILVR</t>
  </si>
  <si>
    <t>DEEPAKNTR</t>
  </si>
  <si>
    <t>SBILIFE</t>
  </si>
  <si>
    <t>MGL</t>
  </si>
  <si>
    <t>QUITY</t>
  </si>
  <si>
    <t>CUPID</t>
  </si>
  <si>
    <t>AUROPHARMA</t>
  </si>
  <si>
    <t>ZEEL</t>
  </si>
  <si>
    <t>VIPIND</t>
  </si>
  <si>
    <t>FEDERALBNK</t>
  </si>
  <si>
    <t>L&amp;TFH</t>
  </si>
  <si>
    <t>GHCL</t>
  </si>
  <si>
    <t>IBULHSGFIN</t>
  </si>
  <si>
    <t>RECLTD</t>
  </si>
  <si>
    <t>BANDHANBNK</t>
  </si>
  <si>
    <t>IEX</t>
  </si>
  <si>
    <t>MTARTECH</t>
  </si>
  <si>
    <t>ADANIPOWER</t>
  </si>
  <si>
    <t>ONGC</t>
  </si>
  <si>
    <t>DABUR</t>
  </si>
  <si>
    <t>SUNPHARMA</t>
  </si>
  <si>
    <t>LUPIN</t>
  </si>
  <si>
    <t>DWARKESH</t>
  </si>
  <si>
    <t>KPRMILL</t>
  </si>
  <si>
    <t>Sr. #</t>
  </si>
  <si>
    <t>MAESGETF</t>
  </si>
  <si>
    <t>Qty</t>
  </si>
  <si>
    <t>Curr Value</t>
  </si>
  <si>
    <t>Sell Value</t>
  </si>
  <si>
    <t>Curr P&amp;L</t>
  </si>
  <si>
    <t>Realised P&amp;L</t>
  </si>
  <si>
    <t>Realised P&amp;L %</t>
  </si>
  <si>
    <t>AXISBank</t>
  </si>
  <si>
    <t>STT total</t>
  </si>
  <si>
    <t>0.1% on buy &amp; sell</t>
  </si>
  <si>
    <t>Exchange txn charge</t>
  </si>
  <si>
    <t>NSE: 0.00325% : BSE: 0.003%</t>
  </si>
  <si>
    <t>Clearing charge</t>
  </si>
  <si>
    <t>18% on (brokerage + transaction charges)</t>
  </si>
  <si>
    <t>₹5 / crore</t>
  </si>
  <si>
    <t>Gross P&amp;L</t>
  </si>
  <si>
    <t>Vicky</t>
  </si>
  <si>
    <t>Nilesh</t>
  </si>
  <si>
    <t/>
  </si>
  <si>
    <t>(blank)</t>
  </si>
  <si>
    <t>(blank) Total</t>
  </si>
  <si>
    <t>SILVERIETF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</si>
</sst>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₹]#,##0.00"/>
    <numFmt numFmtId="165" formatCode="d&quot;-&quot;mmm&quot;-&quot;yyyy"/>
    <numFmt numFmtId="167" formatCode="m\-d\-yyyy"/>
    <numFmt numFmtId="168" formatCode="d\-mmm\-yyyy"/>
    <numFmt numFmtId="169" formatCode="m\-d\-yy"/>
    <numFmt numFmtId="170" formatCode="dd\-mmm\-yyyy"/>
  </numFmts>
  <fonts count="1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Roboto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314C59"/>
      <name val="Arial"/>
    </font>
    <font>
      <sz val="11"/>
      <color rgb="FF000000"/>
      <name val="Inconsolata"/>
    </font>
    <font>
      <b/>
      <sz val="10"/>
      <color theme="1"/>
      <name val="Arial"/>
    </font>
    <font>
      <sz val="10"/>
      <color rgb="FF4A4A4A"/>
      <name val="Roboto"/>
    </font>
    <font>
      <sz val="10"/>
      <name val="Arial"/>
    </font>
    <font>
      <sz val="10"/>
      <color rgb="FF222222"/>
      <name val="Inter"/>
    </font>
    <font>
      <sz val="10"/>
      <color rgb="FFFF0000"/>
      <name val="Arial"/>
      <scheme val="minor"/>
    </font>
    <font>
      <sz val="10"/>
      <color rgb="FF424242"/>
      <name val="Inter"/>
    </font>
    <font>
      <sz val="10"/>
      <color rgb="FF222222"/>
      <name val="Arial"/>
    </font>
    <font>
      <sz val="10"/>
      <color rgb="FF424242"/>
      <name val="Arial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rgb="FF10B983"/>
      <name val="Arial"/>
    </font>
    <font>
      <b/>
      <sz val="12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FAFAFB"/>
        <bgColor rgb="FFFAFAFB"/>
      </patternFill>
    </fill>
    <fill>
      <patternFill patternType="solid">
        <fgColor rgb="FF999999"/>
        <bgColor rgb="FF999999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  <xf numFmtId="164" fontId="1" fillId="0" borderId="0" xfId="0" applyNumberFormat="1" applyFont="1"/>
    <xf numFmtId="164" fontId="3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3" xfId="0" applyFont="1" applyBorder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0" fontId="1" fillId="0" borderId="1" xfId="0" applyNumberFormat="1" applyFont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7" fillId="0" borderId="0" xfId="0" applyFont="1"/>
    <xf numFmtId="0" fontId="7" fillId="0" borderId="1" xfId="0" applyFont="1" applyBorder="1"/>
    <xf numFmtId="10" fontId="3" fillId="0" borderId="1" xfId="0" applyNumberFormat="1" applyFont="1" applyBorder="1"/>
    <xf numFmtId="164" fontId="1" fillId="6" borderId="1" xfId="0" applyNumberFormat="1" applyFont="1" applyFill="1" applyBorder="1" applyAlignment="1">
      <alignment vertical="center"/>
    </xf>
    <xf numFmtId="10" fontId="3" fillId="0" borderId="0" xfId="0" applyNumberFormat="1" applyFont="1"/>
    <xf numFmtId="0" fontId="1" fillId="0" borderId="0" xfId="0" applyFont="1" applyAlignment="1">
      <alignment vertical="center"/>
    </xf>
    <xf numFmtId="164" fontId="8" fillId="6" borderId="1" xfId="0" applyNumberFormat="1" applyFont="1" applyFill="1" applyBorder="1" applyAlignment="1">
      <alignment horizontal="left" vertical="center"/>
    </xf>
    <xf numFmtId="167" fontId="1" fillId="0" borderId="1" xfId="0" applyNumberFormat="1" applyFont="1" applyBorder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1" fillId="0" borderId="2" xfId="0" applyNumberFormat="1" applyFont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0" fontId="1" fillId="0" borderId="2" xfId="0" applyNumberFormat="1" applyFont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0" fontId="5" fillId="6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0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164" fontId="4" fillId="0" borderId="3" xfId="0" applyNumberFormat="1" applyFont="1" applyBorder="1"/>
    <xf numFmtId="165" fontId="4" fillId="0" borderId="3" xfId="0" applyNumberFormat="1" applyFont="1" applyBorder="1"/>
    <xf numFmtId="10" fontId="1" fillId="0" borderId="0" xfId="0" applyNumberFormat="1" applyFont="1" applyAlignment="1">
      <alignment vertical="center"/>
    </xf>
    <xf numFmtId="0" fontId="4" fillId="6" borderId="3" xfId="0" applyFont="1" applyFill="1" applyBorder="1"/>
    <xf numFmtId="0" fontId="4" fillId="0" borderId="3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5" fontId="1" fillId="0" borderId="0" xfId="0" applyNumberFormat="1" applyFont="1" applyAlignment="1">
      <alignment vertical="center"/>
    </xf>
    <xf numFmtId="0" fontId="1" fillId="7" borderId="1" xfId="0" applyFont="1" applyFill="1" applyBorder="1"/>
    <xf numFmtId="0" fontId="1" fillId="7" borderId="4" xfId="0" applyFont="1" applyFill="1" applyBorder="1"/>
    <xf numFmtId="0" fontId="5" fillId="6" borderId="1" xfId="0" applyFont="1" applyFill="1" applyBorder="1" applyAlignment="1">
      <alignment horizontal="left"/>
    </xf>
    <xf numFmtId="165" fontId="1" fillId="0" borderId="1" xfId="0" applyNumberFormat="1" applyFont="1" applyBorder="1"/>
    <xf numFmtId="10" fontId="1" fillId="0" borderId="1" xfId="0" applyNumberFormat="1" applyFont="1" applyBorder="1"/>
    <xf numFmtId="164" fontId="6" fillId="6" borderId="1" xfId="0" applyNumberFormat="1" applyFont="1" applyFill="1" applyBorder="1"/>
    <xf numFmtId="164" fontId="1" fillId="0" borderId="4" xfId="0" applyNumberFormat="1" applyFont="1" applyBorder="1"/>
    <xf numFmtId="164" fontId="1" fillId="6" borderId="1" xfId="0" applyNumberFormat="1" applyFont="1" applyFill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164" fontId="8" fillId="6" borderId="1" xfId="0" applyNumberFormat="1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10" fontId="1" fillId="0" borderId="2" xfId="0" applyNumberFormat="1" applyFont="1" applyBorder="1"/>
    <xf numFmtId="0" fontId="1" fillId="0" borderId="5" xfId="0" applyFont="1" applyBorder="1"/>
    <xf numFmtId="164" fontId="3" fillId="0" borderId="5" xfId="0" applyNumberFormat="1" applyFont="1" applyBorder="1"/>
    <xf numFmtId="10" fontId="3" fillId="0" borderId="5" xfId="0" applyNumberFormat="1" applyFont="1" applyBorder="1"/>
    <xf numFmtId="0" fontId="3" fillId="0" borderId="5" xfId="0" applyFont="1" applyBorder="1"/>
    <xf numFmtId="0" fontId="3" fillId="8" borderId="5" xfId="0" applyFont="1" applyFill="1" applyBorder="1"/>
    <xf numFmtId="164" fontId="1" fillId="9" borderId="1" xfId="0" applyNumberFormat="1" applyFont="1" applyFill="1" applyBorder="1"/>
    <xf numFmtId="0" fontId="1" fillId="9" borderId="1" xfId="0" applyFont="1" applyFill="1" applyBorder="1"/>
    <xf numFmtId="0" fontId="5" fillId="9" borderId="1" xfId="0" applyFont="1" applyFill="1" applyBorder="1" applyAlignment="1">
      <alignment horizontal="left"/>
    </xf>
    <xf numFmtId="164" fontId="3" fillId="8" borderId="5" xfId="0" applyNumberFormat="1" applyFont="1" applyFill="1" applyBorder="1"/>
    <xf numFmtId="169" fontId="1" fillId="0" borderId="1" xfId="0" applyNumberFormat="1" applyFont="1" applyBorder="1"/>
    <xf numFmtId="0" fontId="3" fillId="0" borderId="1" xfId="0" applyFont="1" applyBorder="1"/>
    <xf numFmtId="0" fontId="1" fillId="0" borderId="9" xfId="0" applyFont="1" applyBorder="1"/>
    <xf numFmtId="164" fontId="3" fillId="0" borderId="9" xfId="0" applyNumberFormat="1" applyFont="1" applyBorder="1"/>
    <xf numFmtId="10" fontId="3" fillId="0" borderId="9" xfId="0" applyNumberFormat="1" applyFont="1" applyBorder="1"/>
    <xf numFmtId="164" fontId="3" fillId="8" borderId="9" xfId="0" applyNumberFormat="1" applyFont="1" applyFill="1" applyBorder="1"/>
    <xf numFmtId="0" fontId="3" fillId="0" borderId="9" xfId="0" applyFont="1" applyBorder="1"/>
    <xf numFmtId="0" fontId="1" fillId="7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1" xfId="0" applyFont="1" applyFill="1" applyBorder="1"/>
    <xf numFmtId="168" fontId="1" fillId="10" borderId="1" xfId="0" applyNumberFormat="1" applyFont="1" applyFill="1" applyBorder="1"/>
    <xf numFmtId="164" fontId="1" fillId="10" borderId="1" xfId="0" applyNumberFormat="1" applyFont="1" applyFill="1" applyBorder="1"/>
    <xf numFmtId="165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5" fontId="1" fillId="10" borderId="1" xfId="0" applyNumberFormat="1" applyFont="1" applyFill="1" applyBorder="1"/>
    <xf numFmtId="0" fontId="10" fillId="6" borderId="0" xfId="0" applyFont="1" applyFill="1" applyAlignment="1">
      <alignment horizontal="left"/>
    </xf>
    <xf numFmtId="164" fontId="11" fillId="0" borderId="0" xfId="0" applyNumberFormat="1" applyFont="1"/>
    <xf numFmtId="0" fontId="12" fillId="11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4" fontId="15" fillId="0" borderId="0" xfId="0" applyNumberFormat="1" applyFont="1"/>
    <xf numFmtId="0" fontId="16" fillId="0" borderId="0" xfId="0" applyFont="1" applyAlignment="1">
      <alignment horizontal="right"/>
    </xf>
    <xf numFmtId="164" fontId="17" fillId="6" borderId="0" xfId="0" applyNumberFormat="1" applyFont="1" applyFill="1" applyAlignment="1">
      <alignment horizontal="right"/>
    </xf>
    <xf numFmtId="0" fontId="1" fillId="12" borderId="1" xfId="0" applyFont="1" applyFill="1" applyBorder="1"/>
    <xf numFmtId="164" fontId="1" fillId="12" borderId="1" xfId="0" applyNumberFormat="1" applyFont="1" applyFill="1" applyBorder="1"/>
    <xf numFmtId="164" fontId="18" fillId="12" borderId="1" xfId="0" applyNumberFormat="1" applyFont="1" applyFill="1" applyBorder="1"/>
    <xf numFmtId="10" fontId="18" fillId="12" borderId="1" xfId="0" applyNumberFormat="1" applyFont="1" applyFill="1" applyBorder="1"/>
    <xf numFmtId="10" fontId="18" fillId="12" borderId="0" xfId="0" applyNumberFormat="1" applyFont="1" applyFill="1"/>
    <xf numFmtId="170" fontId="1" fillId="0" borderId="1" xfId="0" applyNumberFormat="1" applyFont="1" applyBorder="1"/>
    <xf numFmtId="0" fontId="3" fillId="0" borderId="6" xfId="0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/>
    <xf numFmtId="0" fontId="3" fillId="0" borderId="10" xfId="0" applyFont="1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/>
    <xf numFmtId="164" fontId="1" fillId="0" borderId="2" xfId="0" applyNumberFormat="1" applyFont="1" applyBorder="1" applyAlignment="1">
      <alignment horizontal="center"/>
    </xf>
    <xf numFmtId="0" fontId="9" fillId="0" borderId="13" xfId="0" applyFont="1" applyBorder="1"/>
    <xf numFmtId="0" fontId="9" fillId="0" borderId="14" xfId="0" applyFont="1" applyBorder="1"/>
    <xf numFmtId="0" fontId="0" fillId="0" borderId="15" xfId="0" applyBorder="1"/>
    <xf numFmtId="0" fontId="0" fillId="0" borderId="15" xfId="0" pivotButton="1" applyBorder="1"/>
    <xf numFmtId="0" fontId="0" fillId="0" borderId="16" xfId="0" applyBorder="1"/>
    <xf numFmtId="0" fontId="0" fillId="0" borderId="17" xfId="0" applyBorder="1"/>
    <xf numFmtId="0" fontId="0" fillId="0" borderId="15" xfId="0" applyNumberFormat="1" applyBorder="1"/>
    <xf numFmtId="0" fontId="0" fillId="0" borderId="17" xfId="0" applyNumberFormat="1" applyBorder="1"/>
    <xf numFmtId="0" fontId="0" fillId="0" borderId="18" xfId="0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Border="1"/>
    <xf numFmtId="165" fontId="0" fillId="0" borderId="15" xfId="0" applyNumberFormat="1" applyBorder="1"/>
    <xf numFmtId="0" fontId="0" fillId="0" borderId="22" xfId="0" applyNumberFormat="1" applyBorder="1"/>
    <xf numFmtId="165" fontId="0" fillId="0" borderId="18" xfId="0" applyNumberFormat="1" applyBorder="1"/>
    <xf numFmtId="0" fontId="0" fillId="0" borderId="23" xfId="0" applyNumberFormat="1" applyBorder="1"/>
    <xf numFmtId="165" fontId="0" fillId="0" borderId="20" xfId="0" applyNumberFormat="1" applyBorder="1"/>
    <xf numFmtId="0" fontId="0" fillId="0" borderId="24" xfId="0" applyNumberFormat="1" applyBorder="1"/>
    <xf numFmtId="14" fontId="0" fillId="0" borderId="15" xfId="0" applyNumberFormat="1" applyBorder="1"/>
    <xf numFmtId="14" fontId="0" fillId="0" borderId="18" xfId="0" applyNumberFormat="1" applyBorder="1"/>
    <xf numFmtId="0" fontId="0" fillId="0" borderId="25" xfId="0" applyBorder="1"/>
    <xf numFmtId="0" fontId="0" fillId="0" borderId="26" xfId="0" applyBorder="1"/>
    <xf numFmtId="164" fontId="0" fillId="0" borderId="15" xfId="0" applyNumberFormat="1" applyBorder="1"/>
    <xf numFmtId="0" fontId="0" fillId="0" borderId="26" xfId="0" applyNumberFormat="1" applyBorder="1"/>
    <xf numFmtId="164" fontId="0" fillId="0" borderId="18" xfId="0" applyNumberFormat="1" applyBorder="1"/>
    <xf numFmtId="0" fontId="0" fillId="0" borderId="0" xfId="0" applyNumberFormat="1"/>
    <xf numFmtId="164" fontId="0" fillId="0" borderId="20" xfId="0" applyNumberFormat="1" applyBorder="1"/>
    <xf numFmtId="0" fontId="0" fillId="0" borderId="27" xfId="0" applyNumberFormat="1" applyBorder="1"/>
    <xf numFmtId="0" fontId="0" fillId="0" borderId="28" xfId="0" applyBorder="1"/>
    <xf numFmtId="0" fontId="0" fillId="0" borderId="29" xfId="0" applyBorder="1"/>
  </cellXfs>
  <cellStyles count="1">
    <cellStyle name="Normal" xfId="0" builtinId="0"/>
  </cellStyles>
  <dxfs count="69"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5959C"/>
          <bgColor rgb="FFF5959C"/>
        </patternFill>
      </fill>
    </dxf>
    <dxf>
      <font>
        <color rgb="FF000000"/>
      </font>
      <fill>
        <patternFill patternType="solid">
          <fgColor theme="9"/>
          <bgColor theme="9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none"/>
      </fill>
    </dxf>
    <dxf>
      <font>
        <color rgb="FF356854"/>
      </font>
      <fill>
        <patternFill patternType="none"/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D2D5E3"/>
          <bgColor rgb="FFD2D5E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1"/>
          <bgColor theme="1"/>
        </patternFill>
      </fill>
    </dxf>
  </dxfs>
  <tableStyles count="9">
    <tableStyle name="Equity_Trade-2025-style" pivot="0" count="4" xr9:uid="{00000000-0011-0000-FFFF-FFFF00000000}">
      <tableStyleElement type="wholeTable" size="0" dxfId="65"/>
      <tableStyleElement type="headerRow" dxfId="68"/>
      <tableStyleElement type="firstRowStripe" dxfId="67"/>
      <tableStyleElement type="secondRowStripe" dxfId="66"/>
    </tableStyle>
    <tableStyle name="Dashrathlal-style" pivot="0" count="4" xr9:uid="{00000000-0011-0000-FFFF-FFFF01000000}">
      <tableStyleElement type="wholeTable" size="0" dxfId="61"/>
      <tableStyleElement type="headerRow" dxfId="64"/>
      <tableStyleElement type="firstRowStripe" dxfId="63"/>
      <tableStyleElement type="secondRowStripe" dxfId="62"/>
    </tableStyle>
    <tableStyle name="Ramkishor-style" pivot="0" count="4" xr9:uid="{00000000-0011-0000-FFFF-FFFF02000000}">
      <tableStyleElement type="wholeTable" size="0" dxfId="57"/>
      <tableStyleElement type="headerRow" dxfId="60"/>
      <tableStyleElement type="firstRowStripe" dxfId="59"/>
      <tableStyleElement type="secondRowStripe" dxfId="58"/>
    </tableStyle>
    <tableStyle name="Rashmi-style" pivot="0" count="5" xr9:uid="{00000000-0011-0000-FFFF-FFFF03000000}">
      <tableStyleElement type="wholeTable" size="0" dxfId="52"/>
      <tableStyleElement type="headerRow" dxfId="56"/>
      <tableStyleElement type="totalRow" dxfId="53"/>
      <tableStyleElement type="firstRowStripe" dxfId="55"/>
      <tableStyleElement type="secondRowStripe" dxfId="54"/>
    </tableStyle>
    <tableStyle name="Aishwarya-style" pivot="0" count="4" xr9:uid="{00000000-0011-0000-FFFF-FFFF04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Sudhadevi-style" pivot="0" count="4" xr9:uid="{00000000-0011-0000-FFFF-FFFF05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Long Term Holiding-style" pivot="0" count="4" xr9:uid="{00000000-0011-0000-FFFF-FFFF06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Dividend-style" pivot="0" count="4" xr9:uid="{00000000-0011-0000-FFFF-FFFF07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Equity_Trade-2024-style" pivot="0" count="4" xr9:uid="{00000000-0011-0000-FFFF-FFFF08000000}">
      <tableStyleElement type="wholeTable" size="0" dxfId="32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ivotCacheDefinition" Target="pivotCache/pivotCacheDefinition11.xml"/><Relationship Id="rId39" Type="http://schemas.openxmlformats.org/officeDocument/2006/relationships/pivotCacheDefinition" Target="pivotCache/pivotCacheDefinition24.xml"/><Relationship Id="rId21" Type="http://schemas.openxmlformats.org/officeDocument/2006/relationships/pivotCacheDefinition" Target="pivotCache/pivotCacheDefinition6.xml"/><Relationship Id="rId34" Type="http://schemas.openxmlformats.org/officeDocument/2006/relationships/pivotCacheDefinition" Target="pivotCache/pivotCacheDefinition19.xml"/><Relationship Id="rId42" Type="http://schemas.openxmlformats.org/officeDocument/2006/relationships/pivotCacheDefinition" Target="pivotCache/pivotCacheDefinition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9" Type="http://schemas.openxmlformats.org/officeDocument/2006/relationships/pivotCacheDefinition" Target="pivotCache/pivotCacheDefiniti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9.xml"/><Relationship Id="rId32" Type="http://schemas.openxmlformats.org/officeDocument/2006/relationships/pivotCacheDefinition" Target="pivotCache/pivotCacheDefinition17.xml"/><Relationship Id="rId37" Type="http://schemas.openxmlformats.org/officeDocument/2006/relationships/pivotCacheDefinition" Target="pivotCache/pivotCacheDefinition22.xml"/><Relationship Id="rId40" Type="http://schemas.openxmlformats.org/officeDocument/2006/relationships/pivotCacheDefinition" Target="pivotCache/pivotCacheDefinition25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28" Type="http://schemas.openxmlformats.org/officeDocument/2006/relationships/pivotCacheDefinition" Target="pivotCache/pivotCacheDefinition13.xml"/><Relationship Id="rId36" Type="http://schemas.openxmlformats.org/officeDocument/2006/relationships/pivotCacheDefinition" Target="pivotCache/pivotCacheDefinition2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pivotCacheDefinition" Target="pivotCache/pivotCacheDefinition16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12.xml"/><Relationship Id="rId30" Type="http://schemas.openxmlformats.org/officeDocument/2006/relationships/pivotCacheDefinition" Target="pivotCache/pivotCacheDefinition15.xml"/><Relationship Id="rId35" Type="http://schemas.openxmlformats.org/officeDocument/2006/relationships/pivotCacheDefinition" Target="pivotCache/pivotCacheDefinition20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0.xml"/><Relationship Id="rId33" Type="http://schemas.openxmlformats.org/officeDocument/2006/relationships/pivotCacheDefinition" Target="pivotCache/pivotCacheDefinition18.xml"/><Relationship Id="rId38" Type="http://schemas.openxmlformats.org/officeDocument/2006/relationships/pivotCacheDefinition" Target="pivotCache/pivotCacheDefinition23.xml"/><Relationship Id="rId46" Type="http://schemas.openxmlformats.org/officeDocument/2006/relationships/calcChain" Target="calcChain.xml"/><Relationship Id="rId20" Type="http://schemas.openxmlformats.org/officeDocument/2006/relationships/pivotCacheDefinition" Target="pivotCache/pivotCacheDefinition5.xml"/><Relationship Id="rId41" Type="http://schemas.openxmlformats.org/officeDocument/2006/relationships/pivotCacheDefinition" Target="pivotCache/pivotCacheDefinition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Equity_Trade_2021!$D$2:$D$53</c:f>
              <c:numCache>
                <c:formatCode>d"-"mmm"-"yyyy</c:formatCode>
                <c:ptCount val="52"/>
                <c:pt idx="0">
                  <c:v>44232</c:v>
                </c:pt>
                <c:pt idx="1">
                  <c:v>44200</c:v>
                </c:pt>
                <c:pt idx="2">
                  <c:v>44196</c:v>
                </c:pt>
                <c:pt idx="3">
                  <c:v>44230</c:v>
                </c:pt>
                <c:pt idx="4">
                  <c:v>44230</c:v>
                </c:pt>
                <c:pt idx="5">
                  <c:v>44236</c:v>
                </c:pt>
                <c:pt idx="6">
                  <c:v>44235</c:v>
                </c:pt>
                <c:pt idx="7">
                  <c:v>44235</c:v>
                </c:pt>
                <c:pt idx="8">
                  <c:v>44235</c:v>
                </c:pt>
                <c:pt idx="9">
                  <c:v>44236</c:v>
                </c:pt>
                <c:pt idx="10">
                  <c:v>44238</c:v>
                </c:pt>
                <c:pt idx="11">
                  <c:v>44242</c:v>
                </c:pt>
                <c:pt idx="12">
                  <c:v>44242</c:v>
                </c:pt>
                <c:pt idx="13">
                  <c:v>44242</c:v>
                </c:pt>
                <c:pt idx="14">
                  <c:v>44245</c:v>
                </c:pt>
                <c:pt idx="15">
                  <c:v>44252</c:v>
                </c:pt>
                <c:pt idx="16">
                  <c:v>44252</c:v>
                </c:pt>
                <c:pt idx="17">
                  <c:v>44252</c:v>
                </c:pt>
                <c:pt idx="18">
                  <c:v>44253</c:v>
                </c:pt>
                <c:pt idx="19">
                  <c:v>44251</c:v>
                </c:pt>
                <c:pt idx="20">
                  <c:v>44257</c:v>
                </c:pt>
                <c:pt idx="21">
                  <c:v>44258</c:v>
                </c:pt>
                <c:pt idx="22">
                  <c:v>44258</c:v>
                </c:pt>
                <c:pt idx="23">
                  <c:v>44259</c:v>
                </c:pt>
                <c:pt idx="24">
                  <c:v>44260</c:v>
                </c:pt>
                <c:pt idx="25">
                  <c:v>44267</c:v>
                </c:pt>
                <c:pt idx="26">
                  <c:v>44260</c:v>
                </c:pt>
                <c:pt idx="27">
                  <c:v>44277</c:v>
                </c:pt>
                <c:pt idx="28">
                  <c:v>44278</c:v>
                </c:pt>
                <c:pt idx="29">
                  <c:v>44291</c:v>
                </c:pt>
                <c:pt idx="30">
                  <c:v>44292</c:v>
                </c:pt>
                <c:pt idx="31">
                  <c:v>44302</c:v>
                </c:pt>
                <c:pt idx="32">
                  <c:v>44302</c:v>
                </c:pt>
                <c:pt idx="33">
                  <c:v>44314</c:v>
                </c:pt>
                <c:pt idx="34">
                  <c:v>44315</c:v>
                </c:pt>
                <c:pt idx="35">
                  <c:v>44320</c:v>
                </c:pt>
                <c:pt idx="36">
                  <c:v>44323</c:v>
                </c:pt>
                <c:pt idx="37">
                  <c:v>44324</c:v>
                </c:pt>
                <c:pt idx="38">
                  <c:v>44334</c:v>
                </c:pt>
                <c:pt idx="39">
                  <c:v>44347</c:v>
                </c:pt>
                <c:pt idx="40">
                  <c:v>44354</c:v>
                </c:pt>
                <c:pt idx="41">
                  <c:v>44375</c:v>
                </c:pt>
                <c:pt idx="42">
                  <c:v>44376</c:v>
                </c:pt>
                <c:pt idx="43">
                  <c:v>44393</c:v>
                </c:pt>
                <c:pt idx="44">
                  <c:v>44400</c:v>
                </c:pt>
                <c:pt idx="45">
                  <c:v>44400</c:v>
                </c:pt>
                <c:pt idx="46">
                  <c:v>44421</c:v>
                </c:pt>
                <c:pt idx="47">
                  <c:v>44434</c:v>
                </c:pt>
                <c:pt idx="48">
                  <c:v>44466</c:v>
                </c:pt>
                <c:pt idx="49">
                  <c:v>44474</c:v>
                </c:pt>
                <c:pt idx="50">
                  <c:v>44516</c:v>
                </c:pt>
                <c:pt idx="51">
                  <c:v>44504</c:v>
                </c:pt>
              </c:numCache>
            </c:numRef>
          </c:cat>
          <c:val>
            <c:numRef>
              <c:f>Equity_Trade_2021!$Y$1:$Y$47</c:f>
              <c:numCache>
                <c:formatCode>[$₹]#,##0.00</c:formatCode>
                <c:ptCount val="47"/>
                <c:pt idx="0" formatCode="General">
                  <c:v>0</c:v>
                </c:pt>
                <c:pt idx="1">
                  <c:v>90566.662080800001</c:v>
                </c:pt>
                <c:pt idx="2">
                  <c:v>97032.322533469007</c:v>
                </c:pt>
                <c:pt idx="3">
                  <c:v>96403.856333469012</c:v>
                </c:pt>
                <c:pt idx="4">
                  <c:v>95787.545847989008</c:v>
                </c:pt>
                <c:pt idx="5">
                  <c:v>95810.082594749008</c:v>
                </c:pt>
                <c:pt idx="6">
                  <c:v>95987.675027749006</c:v>
                </c:pt>
                <c:pt idx="7">
                  <c:v>96031.39132932901</c:v>
                </c:pt>
                <c:pt idx="8">
                  <c:v>96473.023055669008</c:v>
                </c:pt>
                <c:pt idx="9">
                  <c:v>97467.360359069004</c:v>
                </c:pt>
                <c:pt idx="10">
                  <c:v>97467.360359069004</c:v>
                </c:pt>
                <c:pt idx="11">
                  <c:v>98147.883603164009</c:v>
                </c:pt>
                <c:pt idx="12">
                  <c:v>98687.051101664008</c:v>
                </c:pt>
                <c:pt idx="13">
                  <c:v>98974.362992839015</c:v>
                </c:pt>
                <c:pt idx="14">
                  <c:v>99566.993848339014</c:v>
                </c:pt>
                <c:pt idx="15">
                  <c:v>99713.421681901513</c:v>
                </c:pt>
                <c:pt idx="16">
                  <c:v>100368.60810840152</c:v>
                </c:pt>
                <c:pt idx="17">
                  <c:v>100404.90593550152</c:v>
                </c:pt>
                <c:pt idx="18">
                  <c:v>101026.39633250152</c:v>
                </c:pt>
                <c:pt idx="19">
                  <c:v>101026.39633250152</c:v>
                </c:pt>
                <c:pt idx="20">
                  <c:v>103744.00000526402</c:v>
                </c:pt>
                <c:pt idx="21">
                  <c:v>103744.00000526402</c:v>
                </c:pt>
                <c:pt idx="22">
                  <c:v>104724.20698006403</c:v>
                </c:pt>
                <c:pt idx="23">
                  <c:v>104962.69694956404</c:v>
                </c:pt>
                <c:pt idx="24">
                  <c:v>105018.36146081403</c:v>
                </c:pt>
                <c:pt idx="25">
                  <c:v>105018.36146081403</c:v>
                </c:pt>
                <c:pt idx="26">
                  <c:v>105135.33883481403</c:v>
                </c:pt>
                <c:pt idx="27">
                  <c:v>118464.36701831403</c:v>
                </c:pt>
                <c:pt idx="28">
                  <c:v>118740.54967206404</c:v>
                </c:pt>
                <c:pt idx="29">
                  <c:v>118998.06724806404</c:v>
                </c:pt>
                <c:pt idx="30">
                  <c:v>120413.33471981404</c:v>
                </c:pt>
                <c:pt idx="31">
                  <c:v>120821.07549461404</c:v>
                </c:pt>
                <c:pt idx="32">
                  <c:v>121305.00491261404</c:v>
                </c:pt>
                <c:pt idx="33">
                  <c:v>121608.37335161403</c:v>
                </c:pt>
                <c:pt idx="34">
                  <c:v>121940.04929768904</c:v>
                </c:pt>
                <c:pt idx="35">
                  <c:v>122172.92929768904</c:v>
                </c:pt>
                <c:pt idx="36">
                  <c:v>122365.31495468905</c:v>
                </c:pt>
                <c:pt idx="37">
                  <c:v>122483.98863173905</c:v>
                </c:pt>
                <c:pt idx="38">
                  <c:v>122657.58522013905</c:v>
                </c:pt>
                <c:pt idx="39">
                  <c:v>122931.46475838905</c:v>
                </c:pt>
                <c:pt idx="40">
                  <c:v>123369.34981106904</c:v>
                </c:pt>
                <c:pt idx="41">
                  <c:v>123541.44836281904</c:v>
                </c:pt>
                <c:pt idx="42">
                  <c:v>123589.33500411904</c:v>
                </c:pt>
                <c:pt idx="43">
                  <c:v>122785.71634055654</c:v>
                </c:pt>
                <c:pt idx="44">
                  <c:v>123574.89738895654</c:v>
                </c:pt>
                <c:pt idx="45">
                  <c:v>128943.92900199654</c:v>
                </c:pt>
                <c:pt idx="46">
                  <c:v>128943.92900199654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B8-4E64-BFF0-FCF23FA23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0667389"/>
        <c:axId val="2145603838"/>
      </c:barChart>
      <c:dateAx>
        <c:axId val="1320667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&quot;-&quot;mmm&quot;-&quot;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5603838"/>
        <c:crosses val="autoZero"/>
        <c:auto val="1"/>
        <c:lblOffset val="100"/>
        <c:baseTimeUnit val="days"/>
      </c:dateAx>
      <c:valAx>
        <c:axId val="2145603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06673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381000</xdr:colOff>
      <xdr:row>6</xdr:row>
      <xdr:rowOff>190500</xdr:rowOff>
    </xdr:from>
    <xdr:ext cx="3848100" cy="2381250"/>
    <xdr:pic>
      <xdr:nvPicPr>
        <xdr:cNvPr id="2081228399" name="Chart1" title="Chart">
          <a:extLst>
            <a:ext uri="{FF2B5EF4-FFF2-40B4-BE49-F238E27FC236}">
              <a16:creationId xmlns:a16="http://schemas.microsoft.com/office/drawing/2014/main" id="{00000000-0008-0000-0B00-00006F060D7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523875</xdr:colOff>
      <xdr:row>18</xdr:row>
      <xdr:rowOff>9525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28</xdr:col>
      <xdr:colOff>962025</xdr:colOff>
      <xdr:row>5</xdr:row>
      <xdr:rowOff>133350</xdr:rowOff>
    </xdr:from>
    <xdr:ext cx="3848100" cy="2381250"/>
    <xdr:pic>
      <xdr:nvPicPr>
        <xdr:cNvPr id="1347398629" name="Chart3" title="Chart">
          <a:extLst>
            <a:ext uri="{FF2B5EF4-FFF2-40B4-BE49-F238E27FC236}">
              <a16:creationId xmlns:a16="http://schemas.microsoft.com/office/drawing/2014/main" id="{00000000-0008-0000-0C00-0000E5AB4F5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07175929" refreshedVersion="8" recordCount="13" xr:uid="{00000000-000A-0000-FFFF-FFFF1A000000}">
  <cacheSource type="worksheet">
    <worksheetSource ref="A1:X14" sheet="Long Term Holiding-"/>
  </cacheSource>
  <cacheFields count="24">
    <cacheField name="Sr. #" numFmtId="0">
      <sharedItems containsSemiMixedTypes="0" containsString="0" containsNumber="1" containsInteger="1" minValue="1" maxValue="13"/>
    </cacheField>
    <cacheField name="SYMBOL" numFmtId="0">
      <sharedItems count="10">
        <s v="COALINDIA"/>
        <s v="ADANIGREEN"/>
        <s v="SBIN"/>
        <s v="ICICIBank"/>
        <s v="ADANIPORTS"/>
        <s v="MAFANG"/>
        <s v="AXISBANK"/>
        <s v="IRCTC"/>
        <s v="MAESGETF"/>
        <s v="TATASTEEL"/>
      </sharedItems>
    </cacheField>
    <cacheField name="Buy Date" numFmtId="165">
      <sharedItems containsSemiMixedTypes="0" containsNonDate="0" containsDate="1" containsString="0" minDate="2017-08-03T00:00:00" maxDate="2022-11-10T00:00:00"/>
    </cacheField>
    <cacheField name="Buy" numFmtId="164">
      <sharedItems containsSemiMixedTypes="0" containsString="0" containsNumber="1" minValue="29.23" maxValue="833.3"/>
    </cacheField>
    <cacheField name="Sell Date" numFmtId="165">
      <sharedItems containsNonDate="0" containsDate="1" containsString="0" containsBlank="1" minDate="2021-05-28T00:00:00" maxDate="2021-06-17T00:00:00"/>
    </cacheField>
    <cacheField name="Sell" numFmtId="164">
      <sharedItems containsString="0" containsBlank="1" containsNumber="1" minValue="782.5" maxValue="1200"/>
    </cacheField>
    <cacheField name="LTP" numFmtId="164">
      <sharedItems containsMixedTypes="1" containsNumber="1" minValue="168.98" maxValue="1492.8"/>
    </cacheField>
    <cacheField name="QTY" numFmtId="0">
      <sharedItems containsSemiMixedTypes="0" containsString="0" containsNumber="1" containsInteger="1" minValue="1" maxValue="102"/>
    </cacheField>
    <cacheField name="Invested" numFmtId="164">
      <sharedItems containsSemiMixedTypes="0" containsString="0" containsNumber="1" minValue="324.7" maxValue="11918"/>
    </cacheField>
    <cacheField name="Turnover" numFmtId="164">
      <sharedItems containsSemiMixedTypes="0" containsString="0" containsNumber="1" minValue="324.7" maxValue="13871.5"/>
    </cacheField>
    <cacheField name="Unrealised P/L" numFmtId="164">
      <sharedItems containsMixedTypes="1" containsNumber="1" minValue="-1680.7999999999995" maxValue="15330.000000000002"/>
    </cacheField>
    <cacheField name="U P/L %" numFmtId="10">
      <sharedItems containsMixedTypes="1" containsNumber="1" minValue="-0.1833673346933877" maxValue="3.7964802724950331"/>
    </cacheField>
    <cacheField name="Realised P/L" numFmtId="164">
      <sharedItems containsSemiMixedTypes="0" containsString="0" containsNumber="1" minValue="0" maxValue="10128.5"/>
    </cacheField>
    <cacheField name="R P/L %" numFmtId="10">
      <sharedItems containsSemiMixedTypes="0" containsString="0" containsNumber="1" minValue="0" maxValue="5.4119690088164569"/>
    </cacheField>
    <cacheField name="STT" numFmtId="164">
      <sharedItems containsSemiMixedTypes="0" containsString="0" containsNumber="1" minValue="0.32469999999999999" maxValue="13.871500000000001"/>
    </cacheField>
    <cacheField name="Ex Txn Chg" numFmtId="164">
      <sharedItems containsSemiMixedTypes="0" containsString="0" containsNumber="1" minValue="1.0552749999999998E-2" maxValue="0.45082374999999997"/>
    </cacheField>
    <cacheField name="GST" numFmtId="164">
      <sharedItems containsSemiMixedTypes="0" containsString="0" containsNumber="1" minValue="1.8994949999999995E-3" maxValue="8.1148274999999992E-2"/>
    </cacheField>
    <cacheField name="SEBI charges" numFmtId="164">
      <sharedItems containsSemiMixedTypes="0" containsString="0" containsNumber="1" minValue="1.6234999999999999E-4" maxValue="6.9357500000000001E-3"/>
    </cacheField>
    <cacheField name="Total tax and charges" numFmtId="164">
      <sharedItems containsSemiMixedTypes="0" containsString="0" containsNumber="1" minValue="0.33731459499999994" maxValue="14.410407775000001"/>
    </cacheField>
    <cacheField name="DP Charges" numFmtId="164">
      <sharedItems containsSemiMixedTypes="0" containsString="0" containsNumber="1" containsInteger="1" minValue="0" maxValue="16"/>
    </cacheField>
    <cacheField name="Total Charges" numFmtId="164">
      <sharedItems containsSemiMixedTypes="0" containsString="0" containsNumber="1" minValue="0.33731459499999994" maxValue="30.410407775000003"/>
    </cacheField>
    <cacheField name="Net P/L" numFmtId="164">
      <sharedItems containsSemiMixedTypes="0" containsString="0" containsNumber="1" minValue="0" maxValue="10098.089592225"/>
    </cacheField>
    <cacheField name="Net P/L %" numFmtId="10">
      <sharedItems containsSemiMixedTypes="0" containsString="0" containsNumber="1" minValue="0" maxValue="5.395719792799893"/>
    </cacheField>
    <cacheField name="Balance" numFmtId="164">
      <sharedItems containsSemiMixedTypes="0" containsString="0" containsNumber="1" minValue="0" maxValue="90276.18265375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07291667" refreshedVersion="8" recordCount="50" xr:uid="{00000000-000A-0000-FFFF-FFFF19000000}">
  <cacheSource type="worksheet">
    <worksheetSource ref="A1:X51" sheet="Equity_Trade_2021"/>
  </cacheSource>
  <cacheFields count="24">
    <cacheField name="QUITY" numFmtId="0">
      <sharedItems containsSemiMixedTypes="0" containsString="0" containsNumber="1" containsInteger="1" minValue="1" maxValue="49"/>
    </cacheField>
    <cacheField name="SYMBOL" numFmtId="0">
      <sharedItems/>
    </cacheField>
    <cacheField name="Holder" numFmtId="0">
      <sharedItems/>
    </cacheField>
    <cacheField name="Buy Date" numFmtId="165">
      <sharedItems containsSemiMixedTypes="0" containsNonDate="0" containsDate="1" containsString="0" minDate="2020-12-31T00:00:00" maxDate="2021-10-06T00:00:00"/>
    </cacheField>
    <cacheField name="Buy" numFmtId="164">
      <sharedItems containsSemiMixedTypes="0" containsString="0" containsNumber="1" minValue="10.7" maxValue="3150"/>
    </cacheField>
    <cacheField name="Sell Date" numFmtId="0">
      <sharedItems containsNonDate="0" containsDate="1" containsString="0" containsBlank="1" minDate="2021-02-02T00:00:00" maxDate="2021-12-01T00:00:00" count="36">
        <d v="2021-02-02T00:00:00"/>
        <d v="2021-02-08T00:00:00"/>
        <d v="2021-02-04T00:00:00"/>
        <d v="2021-04-16T00:00:00"/>
        <d v="2021-03-31T00:00:00"/>
        <d v="2021-06-09T00:00:00"/>
        <d v="2021-02-11T00:00:00"/>
        <d v="2021-02-25T00:00:00"/>
        <m/>
        <d v="2021-02-15T00:00:00"/>
        <d v="2021-03-19T00:00:00"/>
        <d v="2021-03-04T00:00:00"/>
        <d v="2021-03-02T00:00:00"/>
        <d v="2021-03-17T00:00:00"/>
        <d v="2021-03-03T00:00:00"/>
        <d v="2021-02-26T00:00:00"/>
        <d v="2021-11-30T00:00:00"/>
        <d v="2021-06-07T00:00:00"/>
        <d v="2021-03-23T00:00:00"/>
        <d v="2021-03-15T00:00:00"/>
        <d v="2021-05-28T00:00:00"/>
        <d v="2021-04-06T00:00:00"/>
        <d v="2021-09-22T00:00:00"/>
        <d v="2021-04-26T00:00:00"/>
        <d v="2021-04-29T00:00:00"/>
        <d v="2021-04-30T00:00:00"/>
        <d v="2021-05-17T00:00:00"/>
        <d v="2021-05-10T00:00:00"/>
        <d v="2021-05-31T00:00:00"/>
        <d v="2021-06-03T00:00:00"/>
        <d v="2021-07-28T00:00:00"/>
        <d v="2021-09-28T00:00:00"/>
        <d v="2021-07-23T00:00:00"/>
        <d v="2021-09-27T00:00:00"/>
        <d v="2021-10-14T00:00:00"/>
        <d v="2021-11-03T00:00:00"/>
      </sharedItems>
    </cacheField>
    <cacheField name="Sell" numFmtId="164">
      <sharedItems containsSemiMixedTypes="0" containsString="0" containsNumber="1" minValue="0" maxValue="3204"/>
    </cacheField>
    <cacheField name="LTP" numFmtId="164">
      <sharedItems containsMixedTypes="1" containsNumber="1" minValue="12.02" maxValue="3305.1"/>
    </cacheField>
    <cacheField name="QTY" numFmtId="0">
      <sharedItems containsSemiMixedTypes="0" containsString="0" containsNumber="1" containsInteger="1" minValue="4" maxValue="155"/>
    </cacheField>
    <cacheField name="Invested" numFmtId="164">
      <sharedItems containsSemiMixedTypes="0" containsString="0" containsNumber="1" minValue="1070" maxValue="28143.599999999999"/>
    </cacheField>
    <cacheField name="Turnover" numFmtId="164">
      <sharedItems containsSemiMixedTypes="0" containsString="0" containsNumber="1" minValue="1070" maxValue="56100.05999999999"/>
    </cacheField>
    <cacheField name="Unrealised P/L" numFmtId="164">
      <sharedItems containsMixedTypes="1" containsNumber="1" minValue="-12.350000000000074" maxValue="15330.000000000002"/>
    </cacheField>
    <cacheField name="U P/L %" numFmtId="10">
      <sharedItems containsMixedTypes="1" containsNumber="1" minValue="-1.069958847736632E-2" maxValue="1.2862896459137441"/>
    </cacheField>
    <cacheField name="Realised P/L" numFmtId="164">
      <sharedItems containsSemiMixedTypes="0" containsString="0" containsNumber="1" minValue="-761.75" maxValue="13390"/>
    </cacheField>
    <cacheField name="R P/L %" numFmtId="10">
      <sharedItems containsSemiMixedTypes="0" containsString="0" containsNumber="1" minValue="-9.5238095238095233E-2" maxValue="0.89565217391304353"/>
    </cacheField>
    <cacheField name="STT" numFmtId="164">
      <sharedItems containsSemiMixedTypes="0" containsString="0" containsNumber="1" minValue="1.07" maxValue="56.100059999999992"/>
    </cacheField>
    <cacheField name="Ex Txn Chg" numFmtId="164">
      <sharedItems containsSemiMixedTypes="0" containsString="0" containsNumber="1" minValue="3.4775E-2" maxValue="1.8232519499999995"/>
    </cacheField>
    <cacheField name="GST" numFmtId="164">
      <sharedItems containsSemiMixedTypes="0" containsString="0" containsNumber="1" minValue="6.2594999999999994E-3" maxValue="0.3281853509999999"/>
    </cacheField>
    <cacheField name="SEBI charges" numFmtId="164">
      <sharedItems containsSemiMixedTypes="0" containsString="0" containsNumber="1" minValue="5.3499999999999999E-4" maxValue="2.8050029999999993E-2"/>
    </cacheField>
    <cacheField name="Total tax and charges" numFmtId="164">
      <sharedItems containsSemiMixedTypes="0" containsString="0" containsNumber="1" minValue="1.1115695000000001" maxValue="58.279547330999996"/>
    </cacheField>
    <cacheField name="DP Charges" numFmtId="164">
      <sharedItems containsSemiMixedTypes="0" containsString="0" containsNumber="1" containsInteger="1" minValue="0" maxValue="59"/>
    </cacheField>
    <cacheField name="Total Charges" numFmtId="164">
      <sharedItems containsSemiMixedTypes="0" containsString="0" containsNumber="1" minValue="1.1115695000000001" maxValue="89.702172899999994"/>
    </cacheField>
    <cacheField name="Net P/L" numFmtId="164">
      <sharedItems containsSemiMixedTypes="0" containsString="0" containsNumber="1" minValue="-803.61866356250005" maxValue="13329.028183500001"/>
    </cacheField>
    <cacheField name="Net P/L %" numFmtId="10">
      <sharedItems containsSemiMixedTypes="0" containsString="0" containsNumber="1" minValue="-9.9756539682539683E-2" maxValue="0.891573791538461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07291667" refreshedVersion="8" recordCount="26" xr:uid="{00000000-000A-0000-FFFF-FFFF18000000}">
  <cacheSource type="worksheet">
    <worksheetSource ref="A1:X27" sheet="Equity_Trade-2022"/>
  </cacheSource>
  <cacheFields count="24">
    <cacheField name=" " numFmtId="0">
      <sharedItems containsSemiMixedTypes="0" containsString="0" containsNumber="1" containsInteger="1" minValue="1" maxValue="27"/>
    </cacheField>
    <cacheField name="SYMBOL" numFmtId="0">
      <sharedItems/>
    </cacheField>
    <cacheField name="Holder" numFmtId="0">
      <sharedItems/>
    </cacheField>
    <cacheField name="Buy Date" numFmtId="165">
      <sharedItems containsSemiMixedTypes="0" containsNonDate="0" containsDate="1" containsString="0" minDate="2022-01-04T00:00:00" maxDate="2022-12-15T00:00:00"/>
    </cacheField>
    <cacheField name="Buy" numFmtId="164">
      <sharedItems containsSemiMixedTypes="0" containsString="0" containsNumber="1" minValue="225.15" maxValue="3741.85"/>
    </cacheField>
    <cacheField name="Sell Date" numFmtId="165">
      <sharedItems containsNonDate="0" containsDate="1" containsString="0" containsBlank="1" minDate="2022-01-11T00:00:00" maxDate="2022-12-17T00:00:00" count="19">
        <m/>
        <d v="2022-01-11T00:00:00"/>
        <d v="2022-12-08T00:00:00"/>
        <d v="2022-04-06T00:00:00"/>
        <d v="2022-01-13T00:00:00"/>
        <d v="2022-03-10T00:00:00"/>
        <d v="2022-02-08T00:00:00"/>
        <d v="2022-03-11T00:00:00"/>
        <d v="2022-03-14T00:00:00"/>
        <d v="2022-03-17T00:00:00"/>
        <d v="2022-04-01T00:00:00"/>
        <d v="2022-03-24T00:00:00"/>
        <d v="2022-03-28T00:00:00"/>
        <d v="2022-03-31T00:00:00"/>
        <d v="2022-04-04T00:00:00"/>
        <d v="2022-05-31T00:00:00"/>
        <d v="2022-12-09T00:00:00"/>
        <d v="2022-12-01T00:00:00"/>
        <d v="2022-12-16T00:00:00"/>
      </sharedItems>
    </cacheField>
    <cacheField name="Sell" numFmtId="164">
      <sharedItems containsSemiMixedTypes="0" containsString="0" containsNumber="1" minValue="0" maxValue="4107.05"/>
    </cacheField>
    <cacheField name="LTP" numFmtId="164">
      <sharedItems containsMixedTypes="1" containsNumber="1" minValue="238.85" maxValue="4070"/>
    </cacheField>
    <cacheField name="QTY" numFmtId="0">
      <sharedItems containsSemiMixedTypes="0" containsString="0" containsNumber="1" containsInteger="1" minValue="1" maxValue="65"/>
    </cacheField>
    <cacheField name="Invested" numFmtId="164">
      <sharedItems containsSemiMixedTypes="0" containsString="0" containsNumber="1" minValue="2611.8000000000002" maxValue="29070"/>
    </cacheField>
    <cacheField name="Turnover" numFmtId="164">
      <sharedItems containsSemiMixedTypes="0" containsString="0" containsNumber="1" minValue="4953.3" maxValue="58849.5"/>
    </cacheField>
    <cacheField name="Unrealised P/L" numFmtId="164">
      <sharedItems containsSemiMixedTypes="0" containsString="0" containsNumber="1" minValue="-7973.0999999999995" maxValue="4088.6999999999994"/>
    </cacheField>
    <cacheField name="U P/L %" numFmtId="10">
      <sharedItems containsSemiMixedTypes="0" containsString="0" containsNumber="1" minValue="-0.62016100805040253" maxValue="0.69842327337330656"/>
    </cacheField>
    <cacheField name="Realised P/L" numFmtId="164">
      <sharedItems containsSemiMixedTypes="0" containsString="0" containsNumber="1" minValue="-327.60000000000059" maxValue="2052"/>
    </cacheField>
    <cacheField name="R P/L %" numFmtId="10">
      <sharedItems containsSemiMixedTypes="0" containsString="0" containsNumber="1" minValue="-4.2118608254683755E-2" maxValue="0.30379746835443039"/>
    </cacheField>
    <cacheField name="STT" numFmtId="164">
      <sharedItems containsSemiMixedTypes="0" containsString="0" containsNumber="1" minValue="4.9533000000000005" maxValue="58.849499999999999"/>
    </cacheField>
    <cacheField name="Ex Txn Chg" numFmtId="164">
      <sharedItems containsSemiMixedTypes="0" containsString="0" containsNumber="1" minValue="0.16098224999999999" maxValue="1.9126087499999997"/>
    </cacheField>
    <cacheField name="GST" numFmtId="164">
      <sharedItems containsSemiMixedTypes="0" containsString="0" containsNumber="1" minValue="2.8976804999999998E-2" maxValue="0.34426957499999994"/>
    </cacheField>
    <cacheField name="SEBI charges" numFmtId="164">
      <sharedItems containsSemiMixedTypes="0" containsString="0" containsNumber="1" minValue="2.4766499999999999E-3" maxValue="2.942475E-2"/>
    </cacheField>
    <cacheField name="Total tax and charges" numFmtId="164">
      <sharedItems containsSemiMixedTypes="0" containsString="0" containsNumber="1" minValue="5.1457357050000008" maxValue="61.135803074999991"/>
    </cacheField>
    <cacheField name="DP Charges" numFmtId="164">
      <sharedItems containsSemiMixedTypes="0" containsString="0" containsNumber="1" minValue="0" maxValue="23.6"/>
    </cacheField>
    <cacheField name="Total Charges" numFmtId="164">
      <sharedItems containsSemiMixedTypes="0" containsString="0" containsNumber="1" minValue="5.1457357050000008" maxValue="84.735803074999993"/>
    </cacheField>
    <cacheField name="Net P/L" numFmtId="164">
      <sharedItems containsSemiMixedTypes="0" containsString="0" containsNumber="1" minValue="-363.77559114000059" maxValue="2020.49445515"/>
    </cacheField>
    <cacheField name="Net P/L %" numFmtId="10">
      <sharedItems containsSemiMixedTypes="0" containsString="0" containsNumber="1" minValue="-4.8474288794196366E-2" maxValue="0.299133089814197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73032404" refreshedVersion="8" recordCount="39" xr:uid="{00000000-000A-0000-FFFF-FFFF17000000}">
  <cacheSource type="worksheet">
    <worksheetSource ref="A1:Q40" sheet="Equity_Trade-2023"/>
  </cacheSource>
  <cacheFields count="17">
    <cacheField name=" " numFmtId="0">
      <sharedItems containsSemiMixedTypes="0" containsString="0" containsNumber="1" containsInteger="1" minValue="1" maxValue="40"/>
    </cacheField>
    <cacheField name="SYMBOL" numFmtId="0">
      <sharedItems containsBlank="1"/>
    </cacheField>
    <cacheField name="Holder" numFmtId="0">
      <sharedItems containsBlank="1"/>
    </cacheField>
    <cacheField name="Buy Date" numFmtId="165">
      <sharedItems containsNonDate="0" containsDate="1" containsString="0" containsBlank="1" minDate="2023-01-18T00:00:00" maxDate="2023-11-07T00:00:00"/>
    </cacheField>
    <cacheField name="Buy" numFmtId="164">
      <sharedItems containsString="0" containsBlank="1" containsNumber="1" minValue="1" maxValue="5325.9"/>
    </cacheField>
    <cacheField name="Sell Date" numFmtId="165">
      <sharedItems containsNonDate="0" containsDate="1" containsString="0" containsBlank="1" minDate="2023-04-28T00:00:00" maxDate="2023-12-30T00:00:00" count="18">
        <m/>
        <d v="2023-09-14T00:00:00"/>
        <d v="2023-08-14T00:00:00"/>
        <d v="2023-04-28T00:00:00"/>
        <d v="2023-05-12T00:00:00"/>
        <d v="2023-05-19T00:00:00"/>
        <d v="2023-05-24T00:00:00"/>
        <d v="2023-07-04T00:00:00"/>
        <d v="2023-08-01T00:00:00"/>
        <d v="2023-07-25T00:00:00"/>
        <d v="2023-07-10T00:00:00"/>
        <d v="2023-07-27T00:00:00"/>
        <d v="2023-10-26T00:00:00"/>
        <d v="2023-09-04T00:00:00"/>
        <d v="2023-10-19T00:00:00"/>
        <d v="2023-12-29T00:00:00"/>
        <d v="2023-12-01T00:00:00"/>
        <d v="2023-12-28T00:00:00"/>
      </sharedItems>
    </cacheField>
    <cacheField name="Sell" numFmtId="164">
      <sharedItems containsString="0" containsBlank="1" containsNumber="1" minValue="0" maxValue="6007.19"/>
    </cacheField>
    <cacheField name="LTP" numFmtId="164">
      <sharedItems containsString="0" containsBlank="1" containsNumber="1" minValue="170.82" maxValue="12855"/>
    </cacheField>
    <cacheField name="QTY" numFmtId="0">
      <sharedItems containsString="0" containsBlank="1" containsNumber="1" containsInteger="1" minValue="1" maxValue="50"/>
    </cacheField>
    <cacheField name="Invested" numFmtId="164">
      <sharedItems containsString="0" containsBlank="1" containsNumber="1" minValue="7" maxValue="39626.400000000001"/>
    </cacheField>
    <cacheField name="Turnover" numFmtId="164">
      <sharedItems containsString="0" containsBlank="1" containsNumber="1" minValue="7" maxValue="77735.899999999994"/>
    </cacheField>
    <cacheField name="Unrealised P/L" numFmtId="164">
      <sharedItems containsString="0" containsBlank="1" containsNumber="1" minValue="-4581.75" maxValue="2082.5"/>
    </cacheField>
    <cacheField name="U P/L %" numFmtId="10">
      <sharedItems containsString="0" containsBlank="1" containsNumber="1" minValue="-0.36870058543062345" maxValue="297.5"/>
    </cacheField>
    <cacheField name="Change" numFmtId="164">
      <sharedItems containsString="0" containsBlank="1" containsNumber="1" minValue="-6.4" maxValue="1.2"/>
    </cacheField>
    <cacheField name="Change2" numFmtId="164">
      <sharedItems containsString="0" containsBlank="1" containsNumber="1" minValue="-32" maxValue="13.2"/>
    </cacheField>
    <cacheField name="Realised P/L" numFmtId="164">
      <sharedItems containsString="0" containsBlank="1" containsNumber="1" minValue="-1700.4400000000005" maxValue="3608.7000000000021"/>
    </cacheField>
    <cacheField name="R P/L %" numFmtId="10">
      <sharedItems containsString="0" containsBlank="1" containsNumber="1" minValue="-0.13929560743965172" maxValue="0.47996485061511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7314815" refreshedVersion="8" recordCount="39" xr:uid="{00000000-000A-0000-FFFF-FFFF16000000}">
  <cacheSource type="worksheet">
    <worksheetSource ref="B1:Q40" sheet="Equity_Trade-2023"/>
  </cacheSource>
  <cacheFields count="16">
    <cacheField name="SYMBOL" numFmtId="0">
      <sharedItems containsBlank="1" count="26">
        <s v="RELIANCE"/>
        <s v="GRASIM"/>
        <s v="CONCOR"/>
        <s v="BPCL"/>
        <s v="AXISBANK"/>
        <s v="JINDALSTEL"/>
        <s v="AJMERA"/>
        <s v="INDIACEM"/>
        <s v="BAJAJFINSV"/>
        <s v="BANKBARODA"/>
        <s v="DIVISLAB"/>
        <s v="RAILTEL"/>
        <s v="TATASTEEL"/>
        <s v="CIPLA"/>
        <s v="TATAPOWER"/>
        <s v="WIPRO"/>
        <s v="TITAN"/>
        <s v="HDFCLIFE"/>
        <s v="JIOFIN"/>
        <s v="RBLBANK"/>
        <s v="IRCTC"/>
        <s v="TCS"/>
        <s v="TATACONSUM"/>
        <s v="DIXON"/>
        <s v="LT"/>
        <m/>
      </sharedItems>
    </cacheField>
    <cacheField name="Holder" numFmtId="0">
      <sharedItems containsBlank="1"/>
    </cacheField>
    <cacheField name="Buy Date" numFmtId="165">
      <sharedItems containsNonDate="0" containsDate="1" containsString="0" containsBlank="1" minDate="2023-01-18T00:00:00" maxDate="2023-11-07T00:00:00"/>
    </cacheField>
    <cacheField name="Buy" numFmtId="164">
      <sharedItems containsString="0" containsBlank="1" containsNumber="1" minValue="1" maxValue="5325.9"/>
    </cacheField>
    <cacheField name="Sell Date" numFmtId="165">
      <sharedItems containsNonDate="0" containsDate="1" containsString="0" containsBlank="1" minDate="2023-04-28T00:00:00" maxDate="2023-12-30T00:00:00"/>
    </cacheField>
    <cacheField name="Sell" numFmtId="164">
      <sharedItems containsString="0" containsBlank="1" containsNumber="1" minValue="0" maxValue="6007.19"/>
    </cacheField>
    <cacheField name="LTP" numFmtId="164">
      <sharedItems containsString="0" containsBlank="1" containsNumber="1" minValue="170.82" maxValue="12855"/>
    </cacheField>
    <cacheField name="QTY" numFmtId="0">
      <sharedItems containsString="0" containsBlank="1" containsNumber="1" containsInteger="1" minValue="1" maxValue="50"/>
    </cacheField>
    <cacheField name="Invested" numFmtId="164">
      <sharedItems containsString="0" containsBlank="1" containsNumber="1" minValue="7" maxValue="39626.400000000001"/>
    </cacheField>
    <cacheField name="Turnover" numFmtId="164">
      <sharedItems containsString="0" containsBlank="1" containsNumber="1" minValue="7" maxValue="77735.899999999994"/>
    </cacheField>
    <cacheField name="Unrealised P/L" numFmtId="164">
      <sharedItems containsString="0" containsBlank="1" containsNumber="1" minValue="-4581.75" maxValue="2082.5"/>
    </cacheField>
    <cacheField name="U P/L %" numFmtId="10">
      <sharedItems containsString="0" containsBlank="1" containsNumber="1" minValue="-0.36870058543062345" maxValue="297.5"/>
    </cacheField>
    <cacheField name="Change" numFmtId="164">
      <sharedItems containsString="0" containsBlank="1" containsNumber="1" minValue="-6.4" maxValue="1.2"/>
    </cacheField>
    <cacheField name="Change2" numFmtId="164">
      <sharedItems containsString="0" containsBlank="1" containsNumber="1" minValue="-32" maxValue="13.2"/>
    </cacheField>
    <cacheField name="Realised P/L" numFmtId="164">
      <sharedItems containsString="0" containsBlank="1" containsNumber="1" minValue="-1700.4400000000005" maxValue="3608.7000000000021"/>
    </cacheField>
    <cacheField name="R P/L %" numFmtId="10">
      <sharedItems containsString="0" containsBlank="1" containsNumber="1" minValue="-0.13929560743965172" maxValue="0.47996485061511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4675926" refreshedVersion="8" recordCount="39" xr:uid="{00000000-000A-0000-FFFF-FFFF15000000}">
  <cacheSource type="worksheet">
    <worksheetSource ref="A1:P40" sheet="Equity_Trade-2023"/>
  </cacheSource>
  <cacheFields count="16">
    <cacheField name=" " numFmtId="0">
      <sharedItems containsSemiMixedTypes="0" containsString="0" containsNumber="1" containsInteger="1" minValue="1" maxValue="40"/>
    </cacheField>
    <cacheField name="SYMBOL" numFmtId="0">
      <sharedItems containsBlank="1" count="26">
        <s v="RELIANCE"/>
        <s v="GRASIM"/>
        <s v="CONCOR"/>
        <s v="BPCL"/>
        <s v="AXISBANK"/>
        <s v="JINDALSTEL"/>
        <s v="AJMERA"/>
        <s v="INDIACEM"/>
        <s v="BAJAJFINSV"/>
        <s v="BANKBARODA"/>
        <s v="DIVISLAB"/>
        <s v="RAILTEL"/>
        <s v="TATASTEEL"/>
        <s v="CIPLA"/>
        <s v="TATAPOWER"/>
        <s v="WIPRO"/>
        <s v="TITAN"/>
        <s v="HDFCLIFE"/>
        <s v="JIOFIN"/>
        <s v="RBLBANK"/>
        <s v="IRCTC"/>
        <s v="TCS"/>
        <s v="TATACONSUM"/>
        <s v="DIXON"/>
        <s v="LT"/>
        <m/>
      </sharedItems>
    </cacheField>
    <cacheField name="Holder" numFmtId="0">
      <sharedItems containsBlank="1" count="6">
        <s v="ESPRESSO"/>
        <s v="DHAN"/>
        <s v="Ramkishor"/>
        <s v="FYERA"/>
        <s v="Paytm"/>
        <m/>
      </sharedItems>
    </cacheField>
    <cacheField name="Buy Date" numFmtId="165">
      <sharedItems containsNonDate="0" containsDate="1" containsString="0" containsBlank="1" minDate="2023-01-18T00:00:00" maxDate="2023-11-07T00:00:00"/>
    </cacheField>
    <cacheField name="Buy" numFmtId="164">
      <sharedItems containsString="0" containsBlank="1" containsNumber="1" minValue="1" maxValue="5325.9"/>
    </cacheField>
    <cacheField name="Sell Date" numFmtId="165">
      <sharedItems containsNonDate="0" containsDate="1" containsString="0" containsBlank="1" minDate="2023-04-28T00:00:00" maxDate="2023-12-30T00:00:00"/>
    </cacheField>
    <cacheField name="Sell" numFmtId="164">
      <sharedItems containsString="0" containsBlank="1" containsNumber="1" minValue="0" maxValue="6007.19"/>
    </cacheField>
    <cacheField name="LTP" numFmtId="164">
      <sharedItems containsString="0" containsBlank="1" containsNumber="1" minValue="170.82" maxValue="12855"/>
    </cacheField>
    <cacheField name="QTY" numFmtId="0">
      <sharedItems containsString="0" containsBlank="1" containsNumber="1" containsInteger="1" minValue="1" maxValue="50"/>
    </cacheField>
    <cacheField name="Invested" numFmtId="164">
      <sharedItems containsString="0" containsBlank="1" containsNumber="1" minValue="7" maxValue="39626.400000000001"/>
    </cacheField>
    <cacheField name="Turnover" numFmtId="164">
      <sharedItems containsString="0" containsBlank="1" containsNumber="1" minValue="7" maxValue="77735.899999999994"/>
    </cacheField>
    <cacheField name="Unrealised P/L" numFmtId="164">
      <sharedItems containsString="0" containsBlank="1" containsNumber="1" minValue="-4581.75" maxValue="2082.5"/>
    </cacheField>
    <cacheField name="U P/L %" numFmtId="10">
      <sharedItems containsString="0" containsBlank="1" containsNumber="1" minValue="-0.36870058543062345" maxValue="297.5"/>
    </cacheField>
    <cacheField name="Change" numFmtId="164">
      <sharedItems containsString="0" containsBlank="1" containsNumber="1" minValue="-6.4" maxValue="1.2"/>
    </cacheField>
    <cacheField name="Change2" numFmtId="164">
      <sharedItems containsString="0" containsBlank="1" containsNumber="1" minValue="-32" maxValue="13.2"/>
    </cacheField>
    <cacheField name="Realised P/L" numFmtId="164">
      <sharedItems containsString="0" containsBlank="1" containsNumber="1" minValue="-1700.4400000000005" maxValue="3608.7000000000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4791664" refreshedVersion="8" recordCount="52" xr:uid="{00000000-000A-0000-FFFF-FFFF14000000}">
  <cacheSource type="worksheet">
    <worksheetSource ref="A1:Q53" sheet="Equity_Trade-2024"/>
  </cacheSource>
  <cacheFields count="17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/>
    </cacheField>
    <cacheField name="Holder" numFmtId="0">
      <sharedItems containsBlank="1"/>
    </cacheField>
    <cacheField name="Buy Date" numFmtId="165">
      <sharedItems containsNonDate="0" containsDate="1" containsString="0" containsBlank="1" minDate="2024-03-06T00:00:00" maxDate="2025-06-06T00:00:00"/>
    </cacheField>
    <cacheField name="Buy" numFmtId="164">
      <sharedItems containsString="0" containsBlank="1" containsNumber="1" minValue="78" maxValue="3006.15"/>
    </cacheField>
    <cacheField name="Sell Date" numFmtId="0">
      <sharedItems containsNonDate="0" containsDate="1" containsString="0" containsBlank="1" minDate="2024-03-07T00:00:00" maxDate="2025-06-20T00:00:00" count="17">
        <d v="2024-03-07T00:00:00"/>
        <d v="2024-07-19T00:00:00"/>
        <d v="2024-03-13T00:00:00"/>
        <d v="2024-06-20T00:00:00"/>
        <d v="2024-10-01T00:00:00"/>
        <d v="2024-04-26T00:00:00"/>
        <d v="2024-05-13T00:00:00"/>
        <d v="2024-11-04T00:00:00"/>
        <m/>
        <d v="2024-08-20T00:00:00"/>
        <d v="2025-05-30T00:00:00"/>
        <d v="2024-07-25T00:00:00"/>
        <d v="2025-06-19T00:00:00"/>
        <d v="2025-01-13T00:00:00"/>
        <d v="2024-09-24T00:00:00"/>
        <d v="2024-12-18T00:00:00"/>
        <d v="2024-12-20T00:00:00"/>
      </sharedItems>
    </cacheField>
    <cacheField name="Sell" numFmtId="164">
      <sharedItems containsString="0" containsBlank="1" containsNumber="1" minValue="0" maxValue="1714.85"/>
    </cacheField>
    <cacheField name="LTP" numFmtId="164">
      <sharedItems containsMixedTypes="1" containsNumber="1" minValue="133" maxValue="2543.1999999999998"/>
    </cacheField>
    <cacheField name="QTY" numFmtId="0">
      <sharedItems containsString="0" containsBlank="1" containsNumber="1" containsInteger="1" minValue="3" maxValue="190"/>
    </cacheField>
    <cacheField name="Invested" numFmtId="164">
      <sharedItems containsSemiMixedTypes="0" containsString="0" containsNumber="1" minValue="0" maxValue="18960"/>
    </cacheField>
    <cacheField name="Turnover" numFmtId="164">
      <sharedItems containsSemiMixedTypes="0" containsString="0" containsNumber="1" minValue="0" maxValue="40239"/>
    </cacheField>
    <cacheField name="Unrealised P/L" numFmtId="164">
      <sharedItems containsMixedTypes="1" containsNumber="1" minValue="-2526.3000000000002" maxValue="1888.5000000000002"/>
    </cacheField>
    <cacheField name="U P/L %" numFmtId="10">
      <sharedItems containsSemiMixedTypes="0" containsString="0" containsNumber="1" minValue="-0.28912918020836498" maxValue="0.27977777777777779"/>
    </cacheField>
    <cacheField name="Day_Change" numFmtId="164">
      <sharedItems containsSemiMixedTypes="0" containsString="0" containsNumber="1" minValue="-38.4" maxValue="44.8"/>
    </cacheField>
    <cacheField name="Change" numFmtId="164">
      <sharedItems containsSemiMixedTypes="0" containsString="0" containsNumber="1" minValue="-115.19999999999999" maxValue="224"/>
    </cacheField>
    <cacheField name="Realised P/L" numFmtId="164">
      <sharedItems containsSemiMixedTypes="0" containsString="0" containsNumber="1" minValue="-2156.5" maxValue="5327.6000000000013"/>
    </cacheField>
    <cacheField name="R P/L %" numFmtId="10">
      <sharedItems containsSemiMixedTypes="0" containsString="0" containsNumber="1" minValue="-0.26947828803498902" maxValue="0.51213706689421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4791664" refreshedVersion="8" recordCount="52" xr:uid="{00000000-000A-0000-FFFF-FFFF13000000}">
  <cacheSource type="worksheet">
    <worksheetSource ref="B1:Q53" sheet="Equity_Trade-2024"/>
  </cacheSource>
  <cacheFields count="16">
    <cacheField name="SYMBOL" numFmtId="0">
      <sharedItems containsBlank="1" count="28">
        <s v="TATACHEM"/>
        <s v="CHAMBLFERT"/>
        <s v="HDFCLIFE"/>
        <s v="SAIL"/>
        <s v="INDGN"/>
        <s v="JSWSTEEL"/>
        <s v="HINDALCO"/>
        <s v="OIL"/>
        <s v="CHOLAFIN"/>
        <s v="GLENMARK"/>
        <s v="LICHSGFIN"/>
        <s v="ITC"/>
        <s v="LAURUSLABS"/>
        <s v="AARTIIND"/>
        <s v="ZYDUSLIFE"/>
        <s v="NORTHARC"/>
        <s v="DALBHARAT"/>
        <s v="INDIGOPNTS"/>
        <s v="HDFCBANK"/>
        <s v="VMM"/>
        <s v="IGIL"/>
        <s v="ANGELONE"/>
        <s v="JIOFIN"/>
        <s v="TATAMOTORS"/>
        <s v="HINDZINC"/>
        <s v="IREDA"/>
        <s v="GODREJPROP"/>
        <m/>
      </sharedItems>
    </cacheField>
    <cacheField name="Holder" numFmtId="0">
      <sharedItems containsBlank="1"/>
    </cacheField>
    <cacheField name="Buy Date" numFmtId="165">
      <sharedItems containsNonDate="0" containsDate="1" containsString="0" containsBlank="1" minDate="2024-03-06T00:00:00" maxDate="2025-06-06T00:00:00"/>
    </cacheField>
    <cacheField name="Buy" numFmtId="164">
      <sharedItems containsString="0" containsBlank="1" containsNumber="1" minValue="78" maxValue="3006.15"/>
    </cacheField>
    <cacheField name="Sell Date" numFmtId="0">
      <sharedItems containsNonDate="0" containsDate="1" containsString="0" containsBlank="1" minDate="2024-03-07T00:00:00" maxDate="2025-06-20T00:00:00"/>
    </cacheField>
    <cacheField name="Sell" numFmtId="164">
      <sharedItems containsString="0" containsBlank="1" containsNumber="1" minValue="0" maxValue="1714.85"/>
    </cacheField>
    <cacheField name="LTP" numFmtId="164">
      <sharedItems containsMixedTypes="1" containsNumber="1" minValue="133" maxValue="2543.1999999999998"/>
    </cacheField>
    <cacheField name="QTY" numFmtId="0">
      <sharedItems containsString="0" containsBlank="1" containsNumber="1" containsInteger="1" minValue="3" maxValue="190"/>
    </cacheField>
    <cacheField name="Invested" numFmtId="164">
      <sharedItems containsSemiMixedTypes="0" containsString="0" containsNumber="1" minValue="0" maxValue="18960"/>
    </cacheField>
    <cacheField name="Turnover" numFmtId="164">
      <sharedItems containsSemiMixedTypes="0" containsString="0" containsNumber="1" minValue="0" maxValue="40239"/>
    </cacheField>
    <cacheField name="Unrealised P/L" numFmtId="164">
      <sharedItems containsMixedTypes="1" containsNumber="1" minValue="-2526.3000000000002" maxValue="1888.5000000000002"/>
    </cacheField>
    <cacheField name="U P/L %" numFmtId="10">
      <sharedItems containsSemiMixedTypes="0" containsString="0" containsNumber="1" minValue="-0.28912918020836498" maxValue="0.27977777777777779"/>
    </cacheField>
    <cacheField name="Day_Change" numFmtId="164">
      <sharedItems containsSemiMixedTypes="0" containsString="0" containsNumber="1" minValue="-38.4" maxValue="44.8"/>
    </cacheField>
    <cacheField name="Change" numFmtId="164">
      <sharedItems containsSemiMixedTypes="0" containsString="0" containsNumber="1" minValue="-115.19999999999999" maxValue="224"/>
    </cacheField>
    <cacheField name="Realised P/L" numFmtId="164">
      <sharedItems containsSemiMixedTypes="0" containsString="0" containsNumber="1" minValue="-2156.5" maxValue="5327.6000000000013"/>
    </cacheField>
    <cacheField name="R P/L %" numFmtId="10">
      <sharedItems containsSemiMixedTypes="0" containsString="0" containsNumber="1" minValue="-0.26947828803498902" maxValue="0.51213706689421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490741" refreshedVersion="8" recordCount="52" xr:uid="{00000000-000A-0000-FFFF-FFFF12000000}">
  <cacheSource type="worksheet">
    <worksheetSource ref="A1:P53" sheet="Equity_Trade-2024"/>
  </cacheSource>
  <cacheFields count="16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 count="28">
        <s v="TATACHEM"/>
        <s v="CHAMBLFERT"/>
        <s v="HDFCLIFE"/>
        <s v="SAIL"/>
        <s v="INDGN"/>
        <s v="JSWSTEEL"/>
        <s v="HINDALCO"/>
        <s v="OIL"/>
        <s v="CHOLAFIN"/>
        <s v="GLENMARK"/>
        <s v="LICHSGFIN"/>
        <s v="ITC"/>
        <s v="LAURUSLABS"/>
        <s v="AARTIIND"/>
        <s v="ZYDUSLIFE"/>
        <s v="NORTHARC"/>
        <s v="DALBHARAT"/>
        <s v="INDIGOPNTS"/>
        <s v="HDFCBANK"/>
        <s v="VMM"/>
        <s v="IGIL"/>
        <s v="ANGELONE"/>
        <s v="JIOFIN"/>
        <s v="TATAMOTORS"/>
        <s v="HINDZINC"/>
        <s v="IREDA"/>
        <s v="GODREJPROP"/>
        <m/>
      </sharedItems>
    </cacheField>
    <cacheField name="Holder" numFmtId="0">
      <sharedItems containsBlank="1" count="8">
        <s v="DHAN"/>
        <s v="RAM"/>
        <s v="KAMAL"/>
        <s v="ESPRESSO"/>
        <s v="FYERS"/>
        <s v="Paytm"/>
        <s v="ANGELONE"/>
        <m/>
      </sharedItems>
    </cacheField>
    <cacheField name="Buy Date" numFmtId="165">
      <sharedItems containsNonDate="0" containsDate="1" containsString="0" containsBlank="1" minDate="2024-03-06T00:00:00" maxDate="2025-06-06T00:00:00"/>
    </cacheField>
    <cacheField name="Buy" numFmtId="164">
      <sharedItems containsString="0" containsBlank="1" containsNumber="1" minValue="78" maxValue="3006.15"/>
    </cacheField>
    <cacheField name="Sell Date" numFmtId="0">
      <sharedItems containsNonDate="0" containsDate="1" containsString="0" containsBlank="1" minDate="2024-03-07T00:00:00" maxDate="2025-06-20T00:00:00"/>
    </cacheField>
    <cacheField name="Sell" numFmtId="164">
      <sharedItems containsString="0" containsBlank="1" containsNumber="1" minValue="0" maxValue="1714.85"/>
    </cacheField>
    <cacheField name="LTP" numFmtId="164">
      <sharedItems containsMixedTypes="1" containsNumber="1" minValue="133" maxValue="2543.1999999999998"/>
    </cacheField>
    <cacheField name="QTY" numFmtId="0">
      <sharedItems containsString="0" containsBlank="1" containsNumber="1" containsInteger="1" minValue="3" maxValue="190"/>
    </cacheField>
    <cacheField name="Invested" numFmtId="164">
      <sharedItems containsSemiMixedTypes="0" containsString="0" containsNumber="1" minValue="0" maxValue="18960"/>
    </cacheField>
    <cacheField name="Turnover" numFmtId="164">
      <sharedItems containsSemiMixedTypes="0" containsString="0" containsNumber="1" minValue="0" maxValue="40239"/>
    </cacheField>
    <cacheField name="Unrealised P/L" numFmtId="164">
      <sharedItems containsMixedTypes="1" containsNumber="1" minValue="-2526.3000000000002" maxValue="1888.5000000000002"/>
    </cacheField>
    <cacheField name="U P/L %" numFmtId="10">
      <sharedItems containsSemiMixedTypes="0" containsString="0" containsNumber="1" minValue="-0.28912918020836498" maxValue="0.27977777777777779"/>
    </cacheField>
    <cacheField name="Day_Change" numFmtId="164">
      <sharedItems containsSemiMixedTypes="0" containsString="0" containsNumber="1" minValue="-38.4" maxValue="44.8"/>
    </cacheField>
    <cacheField name="Change" numFmtId="164">
      <sharedItems containsSemiMixedTypes="0" containsString="0" containsNumber="1" minValue="-115.19999999999999" maxValue="224"/>
    </cacheField>
    <cacheField name="Realised P/L" numFmtId="164">
      <sharedItems containsSemiMixedTypes="0" containsString="0" containsNumber="1" minValue="-2156.5" maxValue="5327.60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490741" refreshedVersion="8" recordCount="64" xr:uid="{00000000-000A-0000-FFFF-FFFF11000000}">
  <cacheSource type="worksheet">
    <worksheetSource ref="A1:E65" sheet="Dividend"/>
  </cacheSource>
  <cacheFields count="5">
    <cacheField name="Date" numFmtId="165">
      <sharedItems containsNonDate="0" containsDate="1" containsString="0" containsBlank="1" minDate="2022-03-11T00:00:00" maxDate="2024-07-17T00:00:00" count="49">
        <d v="2022-03-11T00:00:00"/>
        <d v="2022-06-29T00:00:00"/>
        <d v="2022-07-08T00:00:00"/>
        <d v="2022-08-02T00:00:00"/>
        <d v="2022-08-26T00:00:00"/>
        <d v="2022-11-02T00:00:00"/>
        <d v="2022-11-28T00:00:00"/>
        <d v="2023-02-01T00:00:00"/>
        <d v="2023-02-24T00:00:00"/>
        <d v="2023-05-09T00:00:00"/>
        <d v="2023-06-08T00:00:00"/>
        <d v="2023-06-21T00:00:00"/>
        <d v="2023-06-22T00:00:00"/>
        <d v="2023-06-30T00:00:00"/>
        <d v="2023-08-01T00:00:00"/>
        <d v="2023-07-21T00:00:00"/>
        <d v="2023-08-11T00:00:00"/>
        <d v="2023-08-14T00:00:00"/>
        <d v="2023-08-25T00:00:00"/>
        <d v="2023-08-28T00:00:00"/>
        <d v="2023-08-29T00:00:00"/>
        <d v="2023-09-01T00:00:00"/>
        <d v="2023-09-05T00:00:00"/>
        <d v="2023-09-18T00:00:00"/>
        <d v="2023-09-25T00:00:00"/>
        <d v="2023-10-31T00:00:00"/>
        <d v="2023-10-19T00:00:00"/>
        <d v="2023-11-23T00:00:00"/>
        <d v="2023-12-01T00:00:00"/>
        <d v="2023-12-22T00:00:00"/>
        <d v="2024-01-31T00:00:00"/>
        <d v="2024-02-06T00:00:00"/>
        <d v="2024-02-20T00:00:00"/>
        <d v="2024-05-10T00:00:00"/>
        <d v="2024-05-15T00:00:00"/>
        <d v="2024-06-12T00:00:00"/>
        <d v="2024-06-18T00:00:00"/>
        <d v="2023-06-14T00:00:00"/>
        <d v="2023-07-10T00:00:00"/>
        <d v="2023-08-02T00:00:00"/>
        <d v="2023-12-07T00:00:00"/>
        <d v="2024-03-06T00:00:00"/>
        <d v="2024-06-05T00:00:00"/>
        <d v="2024-06-25T00:00:00"/>
        <d v="2024-06-26T00:00:00"/>
        <d v="2024-07-09T00:00:00"/>
        <d v="2024-07-16T00:00:00"/>
        <d v="2024-06-21T00:00:00"/>
        <m/>
      </sharedItems>
    </cacheField>
    <cacheField name="Payment_Date" numFmtId="165">
      <sharedItems containsNonDate="0" containsDate="1" containsString="0" containsBlank="1" minDate="2023-07-19T00:00:00" maxDate="2024-07-20T00:00:00"/>
    </cacheField>
    <cacheField name="Holder" numFmtId="0">
      <sharedItems count="5">
        <s v="DASHRATHLAL"/>
        <s v="RASHMI"/>
        <s v="ESPRESSO"/>
        <s v="DHAN"/>
        <s v="KAMAL"/>
      </sharedItems>
    </cacheField>
    <cacheField name="Symbol" numFmtId="0">
      <sharedItems/>
    </cacheField>
    <cacheField name="Amount" numFmtId="164">
      <sharedItems containsSemiMixedTypes="0" containsString="0" containsNumber="1" minValue="8" maxValue="1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023149" refreshedVersion="8" recordCount="86" xr:uid="{00000000-000A-0000-FFFF-FFFF10000000}">
  <cacheSource type="worksheet">
    <worksheetSource ref="A1:E87" sheet="Dividend"/>
  </cacheSource>
  <cacheFields count="5">
    <cacheField name="Date" numFmtId="165">
      <sharedItems containsNonDate="0" containsDate="1" containsString="0" containsBlank="1" minDate="2022-03-11T00:00:00" maxDate="2024-11-07T00:00:00"/>
    </cacheField>
    <cacheField name="Payment_Date" numFmtId="0">
      <sharedItems containsNonDate="0" containsDate="1" containsString="0" containsBlank="1" minDate="2023-07-19T00:00:00" maxDate="2024-11-29T00:00:00"/>
    </cacheField>
    <cacheField name="Holder" numFmtId="0">
      <sharedItems count="5">
        <s v="DASHRATHLAL"/>
        <s v="RASHMI"/>
        <s v="ESPRESSO"/>
        <s v="DHAN"/>
        <s v="KAMAL"/>
      </sharedItems>
    </cacheField>
    <cacheField name="Symbol" numFmtId="0">
      <sharedItems count="35">
        <s v="HCLTECH"/>
        <s v="TATACONSUM"/>
        <s v="CAMS"/>
        <s v="TATAPOWER"/>
        <s v="TATASTEEL"/>
        <s v="TATACHEM"/>
        <s v="BOB"/>
        <s v="CIPLA"/>
        <s v="TATAMOTORS"/>
        <s v="EXIDE"/>
        <s v="HDFCBANK"/>
        <s v="GRASIM"/>
        <s v="RELIANCE"/>
        <s v="ICICIBANK"/>
        <s v="BPCL"/>
        <s v="IRCTC"/>
        <s v="RAILTEL"/>
        <s v="TCS"/>
        <s v="WIPRO"/>
        <s v="SAIL"/>
        <s v="SBI"/>
        <s v="AXISBANK"/>
        <s v="COALINDIA"/>
        <s v="SBIN"/>
        <s v="TATATECH"/>
        <s v="LT"/>
        <s v="POLYCAB"/>
        <s v="HDFCLIFE"/>
        <s v="CHOLAMANDALAM INV"/>
        <s v="INFO EDGE"/>
        <s v="EICHER MOTORS"/>
        <s v="HINDALCO"/>
        <s v="LAURUS LABS"/>
        <s v="DALBHARAT"/>
        <s v="JSWSTEEL"/>
      </sharedItems>
    </cacheField>
    <cacheField name="Amount" numFmtId="164">
      <sharedItems containsSemiMixedTypes="0" containsString="0" containsNumber="1" minValue="6" maxValue="1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138888" refreshedVersion="8" recordCount="100" xr:uid="{00000000-000A-0000-FFFF-FFFF0F000000}">
  <cacheSource type="worksheet">
    <worksheetSource ref="B1:Q101" sheet="Long Term Holiding"/>
  </cacheSource>
  <cacheFields count="16">
    <cacheField name="SYMBOL" numFmtId="0">
      <sharedItems count="48">
        <s v="RELIANCE"/>
        <s v="GRASIM"/>
        <s v="BPCL"/>
        <s v="DIVOPPBEES"/>
        <s v="ICICIB22"/>
        <s v="ICICIBANKN"/>
        <s v="TATASTEEL"/>
        <s v="HDFCLIFE"/>
        <s v="JIOFIN"/>
        <s v="COALINDIA"/>
        <s v="ADANIGREEN"/>
        <s v="SBIN"/>
        <s v="ICICIBank"/>
        <s v="ADANIPORTS"/>
        <s v="MAFANG"/>
        <s v="AXISBANK"/>
        <s v="IRCTC"/>
        <s v="TATACONSUM"/>
        <s v="HCLTECH"/>
        <s v="EXIDEIND"/>
        <s v="TATAPOWER"/>
        <s v="ETERNAL"/>
        <s v="TATAMOTORS"/>
        <s v="WIPRO"/>
        <s v="IREDA"/>
        <s v="TATATECH"/>
        <s v="IDFCFIRSTB"/>
        <s v="HAPPYFORGE"/>
        <s v="AZAD"/>
        <s v="DOMS"/>
        <s v="LT"/>
        <s v="POLYCAB"/>
        <s v="HDFCBANK"/>
        <s v="SAIL"/>
        <s v="TATACHEM"/>
        <s v="NAUKRI"/>
        <s v="INDGN"/>
        <s v="GOLDCASE"/>
        <s v="MOVALUE"/>
        <s v="ZOMATO"/>
        <s v="ALPHAETF"/>
        <s v="ALPHA"/>
        <s v="HDFCMOMENT"/>
        <s v="ASHOKLEY"/>
        <s v="ITETF"/>
        <s v="UPL"/>
        <s v="SBICARD"/>
        <s v="SETFGOLD"/>
      </sharedItems>
    </cacheField>
    <cacheField name="Holder" numFmtId="0">
      <sharedItems count="6">
        <s v="ESPRESSO"/>
        <s v="Savitri"/>
        <s v="Ramkishor"/>
        <s v="DHAN"/>
        <s v="Paytm"/>
        <s v="Kamal"/>
      </sharedItems>
    </cacheField>
    <cacheField name="Buy Date" numFmtId="165">
      <sharedItems containsNonDate="0" containsDate="1" containsString="0" containsBlank="1" minDate="2017-08-03T00:00:00" maxDate="2025-06-05T00:00:00"/>
    </cacheField>
    <cacheField name="Buy" numFmtId="164">
      <sharedItems containsSemiMixedTypes="0" containsString="0" containsNumber="1" minValue="1" maxValue="5600"/>
    </cacheField>
    <cacheField name="Sell Date" numFmtId="165">
      <sharedItems containsNonDate="0" containsDate="1" containsString="0" containsBlank="1" minDate="2021-05-28T00:00:00" maxDate="2025-07-15T00:00:00"/>
    </cacheField>
    <cacheField name="Sell" numFmtId="164">
      <sharedItems containsSemiMixedTypes="0" containsString="0" containsNumber="1" minValue="0" maxValue="7983.95"/>
    </cacheField>
    <cacheField name="LTP" numFmtId="164">
      <sharedItems containsMixedTypes="1" containsNumber="1" minValue="21.49" maxValue="7638"/>
    </cacheField>
    <cacheField name="QTY" numFmtId="0">
      <sharedItems containsSemiMixedTypes="0" containsString="0" containsNumber="1" containsInteger="1" minValue="1" maxValue="500"/>
    </cacheField>
    <cacheField name="Invested" numFmtId="164">
      <sharedItems containsSemiMixedTypes="0" containsString="0" containsNumber="1" minValue="7" maxValue="22725"/>
    </cacheField>
    <cacheField name="Turnover" numFmtId="164">
      <sharedItems containsSemiMixedTypes="0" containsString="0" containsNumber="1" minValue="7" maxValue="66942"/>
    </cacheField>
    <cacheField name="Unrealised P/L" numFmtId="164">
      <sharedItems containsMixedTypes="1" containsNumber="1" minValue="-7813" maxValue="15618.75"/>
    </cacheField>
    <cacheField name="U P/L %" numFmtId="10">
      <sharedItems containsMixedTypes="1" containsNumber="1" minValue="-0.37142857142857139" maxValue="297.5"/>
    </cacheField>
    <cacheField name="Change" numFmtId="164">
      <sharedItems containsMixedTypes="1" containsNumber="1" minValue="-9.1999999999999993" maxValue="35"/>
    </cacheField>
    <cacheField name="Change 2" numFmtId="164">
      <sharedItems containsMixedTypes="1" containsNumber="1" minValue="-183.75" maxValue="499.5"/>
    </cacheField>
    <cacheField name="Realised P/L" numFmtId="164">
      <sharedItems containsSemiMixedTypes="0" containsString="0" containsNumber="1" minValue="-3947.4" maxValue="35850"/>
    </cacheField>
    <cacheField name="R P/L %" numFmtId="10">
      <sharedItems containsSemiMixedTypes="0" containsString="0" containsNumber="1" minValue="-0.30671328671328674" maxValue="5.4119690088164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254626" refreshedVersion="8" recordCount="100" xr:uid="{00000000-000A-0000-FFFF-FFFF0E000000}">
  <cacheSource type="worksheet">
    <worksheetSource ref="A1:P101" sheet="Long Term Holiding"/>
  </cacheSource>
  <cacheFields count="16">
    <cacheField name="h" numFmtId="0">
      <sharedItems containsSemiMixedTypes="0" containsString="0" containsNumber="1" containsInteger="1" minValue="1" maxValue="100"/>
    </cacheField>
    <cacheField name="SYMBOL" numFmtId="0">
      <sharedItems count="48">
        <s v="RELIANCE"/>
        <s v="GRASIM"/>
        <s v="BPCL"/>
        <s v="DIVOPPBEES"/>
        <s v="ICICIB22"/>
        <s v="ICICIBANKN"/>
        <s v="TATASTEEL"/>
        <s v="HDFCLIFE"/>
        <s v="JIOFIN"/>
        <s v="COALINDIA"/>
        <s v="ADANIGREEN"/>
        <s v="SBIN"/>
        <s v="ICICIBank"/>
        <s v="ADANIPORTS"/>
        <s v="MAFANG"/>
        <s v="AXISBANK"/>
        <s v="IRCTC"/>
        <s v="TATACONSUM"/>
        <s v="HCLTECH"/>
        <s v="EXIDEIND"/>
        <s v="TATAPOWER"/>
        <s v="ETERNAL"/>
        <s v="TATAMOTORS"/>
        <s v="WIPRO"/>
        <s v="IREDA"/>
        <s v="TATATECH"/>
        <s v="IDFCFIRSTB"/>
        <s v="HAPPYFORGE"/>
        <s v="AZAD"/>
        <s v="DOMS"/>
        <s v="LT"/>
        <s v="POLYCAB"/>
        <s v="HDFCBANK"/>
        <s v="SAIL"/>
        <s v="TATACHEM"/>
        <s v="NAUKRI"/>
        <s v="INDGN"/>
        <s v="GOLDCASE"/>
        <s v="MOVALUE"/>
        <s v="ZOMATO"/>
        <s v="ALPHAETF"/>
        <s v="ALPHA"/>
        <s v="HDFCMOMENT"/>
        <s v="ASHOKLEY"/>
        <s v="ITETF"/>
        <s v="UPL"/>
        <s v="SBICARD"/>
        <s v="SETFGOLD"/>
      </sharedItems>
    </cacheField>
    <cacheField name="Holder" numFmtId="0">
      <sharedItems count="6">
        <s v="ESPRESSO"/>
        <s v="Savitri"/>
        <s v="Ramkishor"/>
        <s v="DHAN"/>
        <s v="Paytm"/>
        <s v="Kamal"/>
      </sharedItems>
    </cacheField>
    <cacheField name="Buy Date" numFmtId="165">
      <sharedItems containsNonDate="0" containsDate="1" containsString="0" containsBlank="1" minDate="2017-08-03T00:00:00" maxDate="2025-06-05T00:00:00"/>
    </cacheField>
    <cacheField name="Buy" numFmtId="164">
      <sharedItems containsSemiMixedTypes="0" containsString="0" containsNumber="1" minValue="1" maxValue="5600"/>
    </cacheField>
    <cacheField name="Sell Date" numFmtId="165">
      <sharedItems containsNonDate="0" containsDate="1" containsString="0" containsBlank="1" minDate="2021-05-28T00:00:00" maxDate="2025-07-15T00:00:00"/>
    </cacheField>
    <cacheField name="Sell" numFmtId="164">
      <sharedItems containsSemiMixedTypes="0" containsString="0" containsNumber="1" minValue="0" maxValue="7983.95"/>
    </cacheField>
    <cacheField name="LTP" numFmtId="164">
      <sharedItems containsMixedTypes="1" containsNumber="1" minValue="21.49" maxValue="7638"/>
    </cacheField>
    <cacheField name="QTY" numFmtId="0">
      <sharedItems containsSemiMixedTypes="0" containsString="0" containsNumber="1" containsInteger="1" minValue="1" maxValue="500"/>
    </cacheField>
    <cacheField name="Invested" numFmtId="164">
      <sharedItems containsSemiMixedTypes="0" containsString="0" containsNumber="1" minValue="7" maxValue="22725"/>
    </cacheField>
    <cacheField name="Turnover" numFmtId="164">
      <sharedItems containsSemiMixedTypes="0" containsString="0" containsNumber="1" minValue="7" maxValue="66942"/>
    </cacheField>
    <cacheField name="Unrealised P/L" numFmtId="164">
      <sharedItems containsMixedTypes="1" containsNumber="1" minValue="-7813" maxValue="15618.75"/>
    </cacheField>
    <cacheField name="U P/L %" numFmtId="10">
      <sharedItems containsMixedTypes="1" containsNumber="1" minValue="-0.37142857142857139" maxValue="297.5"/>
    </cacheField>
    <cacheField name="Change" numFmtId="164">
      <sharedItems containsMixedTypes="1" containsNumber="1" minValue="-9.1999999999999993" maxValue="35"/>
    </cacheField>
    <cacheField name="Change 2" numFmtId="164">
      <sharedItems containsMixedTypes="1" containsNumber="1" minValue="-183.75" maxValue="499.5"/>
    </cacheField>
    <cacheField name="Realised P/L" numFmtId="164">
      <sharedItems containsSemiMixedTypes="0" containsString="0" containsNumber="1" minValue="-3947.4" maxValue="35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254626" refreshedVersion="8" recordCount="73" xr:uid="{00000000-000A-0000-FFFF-FFFF0D000000}">
  <cacheSource type="worksheet">
    <worksheetSource ref="A1:Q74" sheet="Long Term Holiding"/>
  </cacheSource>
  <cacheFields count="17">
    <cacheField name="h" numFmtId="0">
      <sharedItems containsSemiMixedTypes="0" containsString="0" containsNumber="1" containsInteger="1" minValue="1" maxValue="73"/>
    </cacheField>
    <cacheField name="SYMBOL" numFmtId="0">
      <sharedItems/>
    </cacheField>
    <cacheField name="Holder" numFmtId="0">
      <sharedItems/>
    </cacheField>
    <cacheField name="Buy Date" numFmtId="165">
      <sharedItems containsNonDate="0" containsDate="1" containsString="0" containsBlank="1" minDate="2017-08-03T00:00:00" maxDate="2024-07-05T00:00:00"/>
    </cacheField>
    <cacheField name="Buy" numFmtId="164">
      <sharedItems containsSemiMixedTypes="0" containsString="0" containsNumber="1" minValue="1" maxValue="5600"/>
    </cacheField>
    <cacheField name="Sell Date" numFmtId="165">
      <sharedItems containsNonDate="0" containsDate="1" containsString="0" containsBlank="1" minDate="2021-05-28T00:00:00" maxDate="2025-07-15T00:00:00" count="21">
        <m/>
        <d v="2023-09-14T00:00:00"/>
        <d v="2025-01-03T00:00:00"/>
        <d v="2023-10-05T00:00:00"/>
        <d v="2024-07-10T00:00:00"/>
        <d v="2024-02-26T00:00:00"/>
        <d v="2021-06-16T00:00:00"/>
        <d v="2024-02-23T00:00:00"/>
        <d v="2024-04-22T00:00:00"/>
        <d v="2021-05-28T00:00:00"/>
        <d v="2024-11-18T00:00:00"/>
        <d v="2025-06-05T00:00:00"/>
        <d v="2023-11-29T00:00:00"/>
        <d v="2023-11-30T00:00:00"/>
        <d v="2023-12-27T00:00:00"/>
        <d v="2023-12-28T00:00:00"/>
        <d v="2025-07-14T00:00:00"/>
        <d v="2023-12-20T00:00:00"/>
        <d v="2024-10-07T00:00:00"/>
        <d v="2024-07-03T00:00:00"/>
        <d v="2024-07-12T00:00:00"/>
      </sharedItems>
    </cacheField>
    <cacheField name="Sell" numFmtId="164">
      <sharedItems containsSemiMixedTypes="0" containsString="0" containsNumber="1" minValue="0" maxValue="7983.95"/>
    </cacheField>
    <cacheField name="LTP" numFmtId="164">
      <sharedItems containsMixedTypes="1" containsNumber="1" minValue="21.49" maxValue="7638"/>
    </cacheField>
    <cacheField name="QTY" numFmtId="0">
      <sharedItems containsSemiMixedTypes="0" containsString="0" containsNumber="1" containsInteger="1" minValue="1" maxValue="500"/>
    </cacheField>
    <cacheField name="Invested" numFmtId="164">
      <sharedItems containsSemiMixedTypes="0" containsString="0" containsNumber="1" minValue="7" maxValue="22725"/>
    </cacheField>
    <cacheField name="Turnover" numFmtId="164">
      <sharedItems containsSemiMixedTypes="0" containsString="0" containsNumber="1" minValue="7" maxValue="66942"/>
    </cacheField>
    <cacheField name="Unrealised P/L" numFmtId="164">
      <sharedItems containsMixedTypes="1" containsNumber="1" minValue="-7813" maxValue="15618.75"/>
    </cacheField>
    <cacheField name="U P/L %" numFmtId="10">
      <sharedItems containsMixedTypes="1" containsNumber="1" minValue="-0.37142857142857139" maxValue="297.5"/>
    </cacheField>
    <cacheField name="Change" numFmtId="164">
      <sharedItems containsMixedTypes="1" containsNumber="1" minValue="-9.1999999999999993" maxValue="35"/>
    </cacheField>
    <cacheField name="Change 2" numFmtId="164">
      <sharedItems containsMixedTypes="1" containsNumber="1" minValue="-183.75" maxValue="475.2"/>
    </cacheField>
    <cacheField name="Realised P/L" numFmtId="164">
      <sharedItems containsSemiMixedTypes="0" containsString="0" containsNumber="1" minValue="-3947.4" maxValue="35850"/>
    </cacheField>
    <cacheField name="R P/L %" numFmtId="10">
      <sharedItems containsSemiMixedTypes="0" containsString="0" containsNumber="1" minValue="-0.30671328671328674" maxValue="5.4119690088164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370372" refreshedVersion="8" recordCount="11" xr:uid="{00000000-000A-0000-FFFF-FFFF0C000000}">
  <cacheSource type="worksheet">
    <worksheetSource ref="B1:P12" sheet="Aishwarya"/>
  </cacheSource>
  <cacheFields count="15">
    <cacheField name="SYMBOL" numFmtId="164">
      <sharedItems count="10">
        <s v="ALPHA"/>
        <s v="HDFCBANK"/>
        <s v="ICICIB22"/>
        <s v="IDFCFIRSTB"/>
        <s v="IRCTC"/>
        <s v="TMPV"/>
        <s v="IREDA"/>
        <s v="GPPL"/>
        <s v="RELIANCE"/>
        <s v="GOLDCASE"/>
      </sharedItems>
    </cacheField>
    <cacheField name="Holder" numFmtId="0">
      <sharedItems/>
    </cacheField>
    <cacheField name="Buy Date" numFmtId="165">
      <sharedItems containsNonDate="0" containsDate="1" containsString="0" containsBlank="1" minDate="2025-06-05T00:00:00" maxDate="2026-06-13T00:00:00"/>
    </cacheField>
    <cacheField name="Buy" numFmtId="164">
      <sharedItems containsSemiMixedTypes="0" containsString="0" containsNumber="1" minValue="20.100000000000001" maxValue="1468"/>
    </cacheField>
    <cacheField name="Sell Date" numFmtId="165">
      <sharedItems containsNonDate="0" containsString="0" containsBlank="1"/>
    </cacheField>
    <cacheField name="Sell" numFmtId="164">
      <sharedItems containsSemiMixedTypes="0" containsString="0" containsNumber="1" containsInteger="1" minValue="0" maxValue="0"/>
    </cacheField>
    <cacheField name="LTP" numFmtId="164">
      <sharedItems containsSemiMixedTypes="0" containsString="0" containsNumber="1" minValue="21.49" maxValue="1569"/>
    </cacheField>
    <cacheField name="QTY" numFmtId="0">
      <sharedItems containsSemiMixedTypes="0" containsString="0" containsNumber="1" containsInteger="1" minValue="3" maxValue="236"/>
    </cacheField>
    <cacheField name="Invested" numFmtId="164">
      <sharedItems containsSemiMixedTypes="0" containsString="0" containsNumber="1" minValue="422.1" maxValue="19061.189999999999"/>
    </cacheField>
    <cacheField name="Unrealised P/L" numFmtId="164">
      <sharedItems containsSemiMixedTypes="0" containsString="0" containsNumber="1" minValue="-1867.4999999999998" maxValue="7434.25"/>
    </cacheField>
    <cacheField name="U P/L %" numFmtId="10">
      <sharedItems containsSemiMixedTypes="0" containsString="0" containsNumber="1" minValue="-0.30032901501130993" maxValue="0.39002024532571156"/>
    </cacheField>
    <cacheField name="Day_Change" numFmtId="164">
      <sharedItems containsSemiMixedTypes="0" containsString="0" containsNumber="1" minValue="-6.4" maxValue="9.3000000000000007"/>
    </cacheField>
    <cacheField name="Change" numFmtId="164">
      <sharedItems containsSemiMixedTypes="0" containsString="0" containsNumber="1" minValue="-99" maxValue="166.5"/>
    </cacheField>
    <cacheField name="Realised P/L" numFmtId="164">
      <sharedItems containsSemiMixedTypes="0" containsString="0" containsNumber="1" containsInteger="1" minValue="0" maxValue="0"/>
    </cacheField>
    <cacheField name="R P/L %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370372" refreshedVersion="8" recordCount="52" xr:uid="{00000000-000A-0000-FFFF-FFFF0B000000}">
  <cacheSource type="worksheet">
    <worksheetSource ref="A1:Q53" sheet="Ramkishor"/>
  </cacheSource>
  <cacheFields count="17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/>
    </cacheField>
    <cacheField name="Holder" numFmtId="0">
      <sharedItems containsBlank="1"/>
    </cacheField>
    <cacheField name="Buy Date" numFmtId="165">
      <sharedItems containsNonDate="0" containsDate="1" containsString="0" containsBlank="1" minDate="2020-08-05T00:00:00" maxDate="2025-10-22T00:00:00"/>
    </cacheField>
    <cacheField name="Buy" numFmtId="164">
      <sharedItems containsString="0" containsBlank="1" containsNumber="1" minValue="10.8" maxValue="1402"/>
    </cacheField>
    <cacheField name="Sell Date" numFmtId="0">
      <sharedItems containsNonDate="0" containsString="0" containsBlank="1" count="1">
        <m/>
      </sharedItems>
    </cacheField>
    <cacheField name="Sell" numFmtId="164">
      <sharedItems containsString="0" containsBlank="1" containsNumber="1" containsInteger="1" minValue="0" maxValue="0"/>
    </cacheField>
    <cacheField name="LTP" numFmtId="164">
      <sharedItems containsMixedTypes="1" containsNumber="1" minValue="12.02" maxValue="1380"/>
    </cacheField>
    <cacheField name="QTY" numFmtId="0">
      <sharedItems containsString="0" containsBlank="1" containsNumber="1" containsInteger="1" minValue="1" maxValue="225"/>
    </cacheField>
    <cacheField name="Invested" numFmtId="164">
      <sharedItems containsSemiMixedTypes="0" containsString="0" containsNumber="1" minValue="0" maxValue="14980.000000000002"/>
    </cacheField>
    <cacheField name="Turnover" numFmtId="164">
      <sharedItems containsSemiMixedTypes="0" containsString="0" containsNumber="1" minValue="0" maxValue="14980.000000000002"/>
    </cacheField>
    <cacheField name="Unrealised P/L" numFmtId="164">
      <sharedItems containsMixedTypes="1" containsNumber="1" minValue="-935" maxValue="8363.9999999999982"/>
    </cacheField>
    <cacheField name="U P/L %" numFmtId="10">
      <sharedItems containsSemiMixedTypes="0" containsString="0" containsNumber="1" minValue="-0.1733479105928086" maxValue="0.69182879377431894"/>
    </cacheField>
    <cacheField name="Day_Change" numFmtId="164">
      <sharedItems containsSemiMixedTypes="0" containsString="0" containsNumber="1" minValue="-8" maxValue="18.5"/>
    </cacheField>
    <cacheField name="Change" numFmtId="164">
      <sharedItems containsSemiMixedTypes="0" containsString="0" containsNumber="1" minValue="-40" maxValue="203.5"/>
    </cacheField>
    <cacheField name="Realised P/L" numFmtId="164">
      <sharedItems containsSemiMixedTypes="0" containsString="0" containsNumber="1" containsInteger="1" minValue="0" maxValue="0"/>
    </cacheField>
    <cacheField name="R P/L %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486111" refreshedVersion="8" recordCount="52" xr:uid="{00000000-000A-0000-FFFF-FFFF0A000000}">
  <cacheSource type="worksheet">
    <worksheetSource ref="B1:Q53" sheet="Ramkishor"/>
  </cacheSource>
  <cacheFields count="16">
    <cacheField name="SYMBOL" numFmtId="0">
      <sharedItems containsBlank="1" count="10">
        <s v="GOLDCASE"/>
        <s v="ICICIB22"/>
        <s v="IDEA"/>
        <s v="IRCTC"/>
        <s v="MOVALUE"/>
        <s v="SILVERETF"/>
        <s v="TITAGARH"/>
        <s v="VOLTAS"/>
        <s v="YESBANK"/>
        <m/>
      </sharedItems>
    </cacheField>
    <cacheField name="Holder" numFmtId="0">
      <sharedItems containsBlank="1"/>
    </cacheField>
    <cacheField name="Buy Date" numFmtId="165">
      <sharedItems containsNonDate="0" containsDate="1" containsString="0" containsBlank="1" minDate="2020-08-05T00:00:00" maxDate="2025-10-22T00:00:00"/>
    </cacheField>
    <cacheField name="Buy" numFmtId="164">
      <sharedItems containsString="0" containsBlank="1" containsNumber="1" minValue="10.8" maxValue="1402"/>
    </cacheField>
    <cacheField name="Sell Date" numFmtId="0">
      <sharedItems containsNonDate="0" containsString="0" containsBlank="1"/>
    </cacheField>
    <cacheField name="Sell" numFmtId="164">
      <sharedItems containsString="0" containsBlank="1" containsNumber="1" containsInteger="1" minValue="0" maxValue="0"/>
    </cacheField>
    <cacheField name="LTP" numFmtId="164">
      <sharedItems containsMixedTypes="1" containsNumber="1" minValue="12.02" maxValue="1380"/>
    </cacheField>
    <cacheField name="QTY" numFmtId="0">
      <sharedItems containsString="0" containsBlank="1" containsNumber="1" containsInteger="1" minValue="1" maxValue="225"/>
    </cacheField>
    <cacheField name="Invested" numFmtId="164">
      <sharedItems containsSemiMixedTypes="0" containsString="0" containsNumber="1" minValue="0" maxValue="14980.000000000002"/>
    </cacheField>
    <cacheField name="Turnover" numFmtId="164">
      <sharedItems containsSemiMixedTypes="0" containsString="0" containsNumber="1" minValue="0" maxValue="14980.000000000002"/>
    </cacheField>
    <cacheField name="Unrealised P/L" numFmtId="164">
      <sharedItems containsMixedTypes="1" containsNumber="1" minValue="-935" maxValue="8363.9999999999982"/>
    </cacheField>
    <cacheField name="U P/L %" numFmtId="10">
      <sharedItems containsSemiMixedTypes="0" containsString="0" containsNumber="1" minValue="-0.1733479105928086" maxValue="0.69182879377431894"/>
    </cacheField>
    <cacheField name="Day_Change" numFmtId="164">
      <sharedItems containsSemiMixedTypes="0" containsString="0" containsNumber="1" minValue="-8" maxValue="18.5"/>
    </cacheField>
    <cacheField name="Change" numFmtId="164">
      <sharedItems containsSemiMixedTypes="0" containsString="0" containsNumber="1" minValue="-40" maxValue="203.5"/>
    </cacheField>
    <cacheField name="Realised P/L" numFmtId="164">
      <sharedItems containsSemiMixedTypes="0" containsString="0" containsNumber="1" containsInteger="1" minValue="0" maxValue="0"/>
    </cacheField>
    <cacheField name="R P/L %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486111" refreshedVersion="8" recordCount="52" xr:uid="{00000000-000A-0000-FFFF-FFFF09000000}">
  <cacheSource type="worksheet">
    <worksheetSource ref="A1:P53" sheet="Ramkishor"/>
  </cacheSource>
  <cacheFields count="16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 count="10">
        <s v="GOLDCASE"/>
        <s v="ICICIB22"/>
        <s v="IDEA"/>
        <s v="IRCTC"/>
        <s v="MOVALUE"/>
        <s v="SILVERETF"/>
        <s v="TITAGARH"/>
        <s v="VOLTAS"/>
        <s v="YESBANK"/>
        <m/>
      </sharedItems>
    </cacheField>
    <cacheField name="Holder" numFmtId="0">
      <sharedItems containsBlank="1" count="2">
        <s v="RAM"/>
        <m/>
      </sharedItems>
    </cacheField>
    <cacheField name="Buy Date" numFmtId="165">
      <sharedItems containsNonDate="0" containsDate="1" containsString="0" containsBlank="1" minDate="2020-08-05T00:00:00" maxDate="2025-10-22T00:00:00"/>
    </cacheField>
    <cacheField name="Buy" numFmtId="164">
      <sharedItems containsString="0" containsBlank="1" containsNumber="1" minValue="10.8" maxValue="1402"/>
    </cacheField>
    <cacheField name="Sell Date" numFmtId="0">
      <sharedItems containsNonDate="0" containsString="0" containsBlank="1"/>
    </cacheField>
    <cacheField name="Sell" numFmtId="164">
      <sharedItems containsString="0" containsBlank="1" containsNumber="1" containsInteger="1" minValue="0" maxValue="0"/>
    </cacheField>
    <cacheField name="LTP" numFmtId="164">
      <sharedItems containsMixedTypes="1" containsNumber="1" minValue="12.02" maxValue="1380"/>
    </cacheField>
    <cacheField name="QTY" numFmtId="0">
      <sharedItems containsString="0" containsBlank="1" containsNumber="1" containsInteger="1" minValue="1" maxValue="225"/>
    </cacheField>
    <cacheField name="Invested" numFmtId="164">
      <sharedItems containsSemiMixedTypes="0" containsString="0" containsNumber="1" minValue="0" maxValue="14980.000000000002"/>
    </cacheField>
    <cacheField name="Turnover" numFmtId="164">
      <sharedItems containsSemiMixedTypes="0" containsString="0" containsNumber="1" minValue="0" maxValue="14980.000000000002"/>
    </cacheField>
    <cacheField name="Unrealised P/L" numFmtId="164">
      <sharedItems containsMixedTypes="1" containsNumber="1" minValue="-935" maxValue="8363.9999999999982"/>
    </cacheField>
    <cacheField name="U P/L %" numFmtId="10">
      <sharedItems containsSemiMixedTypes="0" containsString="0" containsNumber="1" minValue="-0.1733479105928086" maxValue="0.69182879377431894"/>
    </cacheField>
    <cacheField name="Day_Change" numFmtId="164">
      <sharedItems containsSemiMixedTypes="0" containsString="0" containsNumber="1" minValue="-8" maxValue="18.5"/>
    </cacheField>
    <cacheField name="Change" numFmtId="164">
      <sharedItems containsSemiMixedTypes="0" containsString="0" containsNumber="1" minValue="-40" maxValue="203.5"/>
    </cacheField>
    <cacheField name="Realised P/L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60185" refreshedVersion="8" recordCount="52" xr:uid="{00000000-000A-0000-FFFF-FFFF08000000}">
  <cacheSource type="worksheet">
    <worksheetSource ref="A1:Q53" sheet="Dashrathlal"/>
  </cacheSource>
  <cacheFields count="17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/>
    </cacheField>
    <cacheField name="Holder" numFmtId="0">
      <sharedItems containsBlank="1"/>
    </cacheField>
    <cacheField name="Buy Date" numFmtId="165">
      <sharedItems containsNonDate="0" containsString="0" containsBlank="1"/>
    </cacheField>
    <cacheField name="Buy" numFmtId="164">
      <sharedItems containsString="0" containsBlank="1" containsNumber="1" minValue="19.8" maxValue="1598.5"/>
    </cacheField>
    <cacheField name="Sell Date" numFmtId="0">
      <sharedItems containsNonDate="0" containsString="0" containsBlank="1" count="1">
        <m/>
      </sharedItems>
    </cacheField>
    <cacheField name="Sell" numFmtId="164">
      <sharedItems containsNonDate="0" containsString="0" containsBlank="1"/>
    </cacheField>
    <cacheField name="LTP" numFmtId="164">
      <sharedItems containsMixedTypes="1" containsNumber="1" minValue="1.08" maxValue="1674.8"/>
    </cacheField>
    <cacheField name="QTY" numFmtId="0">
      <sharedItems containsString="0" containsBlank="1" containsNumber="1" containsInteger="1" minValue="1" maxValue="328"/>
    </cacheField>
    <cacheField name="Invested" numFmtId="164">
      <sharedItems containsSemiMixedTypes="0" containsString="0" containsNumber="1" minValue="0" maxValue="27174.5"/>
    </cacheField>
    <cacheField name="Turnover" numFmtId="164">
      <sharedItems containsSemiMixedTypes="0" containsString="0" containsNumber="1" minValue="0" maxValue="27174.5"/>
    </cacheField>
    <cacheField name="Unrealised P/L" numFmtId="164">
      <sharedItems containsMixedTypes="1" containsNumber="1" minValue="-6566" maxValue="2408.75"/>
    </cacheField>
    <cacheField name="U P/L %" numFmtId="10">
      <sharedItems containsSemiMixedTypes="0" containsString="0" containsNumber="1" minValue="-0.96815098790917142" maxValue="1.0927601809954752"/>
    </cacheField>
    <cacheField name="Day_Change" numFmtId="164">
      <sharedItems containsSemiMixedTypes="0" containsString="0" containsNumber="1" minValue="-10" maxValue="13.8"/>
    </cacheField>
    <cacheField name="Change" numFmtId="164">
      <sharedItems containsSemiMixedTypes="0" containsString="0" containsNumber="1" minValue="-50" maxValue="111.52000000000001"/>
    </cacheField>
    <cacheField name="Realised P/L" numFmtId="164">
      <sharedItems containsSemiMixedTypes="0" containsString="0" containsNumber="1" containsInteger="1" minValue="0" maxValue="0"/>
    </cacheField>
    <cacheField name="R P/L %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717595" refreshedVersion="8" recordCount="52" xr:uid="{00000000-000A-0000-FFFF-FFFF07000000}">
  <cacheSource type="worksheet">
    <worksheetSource ref="B1:Q53" sheet="Dashrathlal"/>
  </cacheSource>
  <cacheFields count="16">
    <cacheField name="SYMBOL" numFmtId="0">
      <sharedItems containsBlank="1" count="15">
        <s v="GOLDCASE"/>
        <s v="HCLTECH"/>
        <s v="HDFCLIFE"/>
        <s v="HDFCMOMENT"/>
        <s v="HDFCSILVER"/>
        <s v="ICICIB22"/>
        <s v="IDFCFIRSTB"/>
        <s v="INDIGOPNTS"/>
        <s v="ITETF"/>
        <s v="RCOM"/>
        <s v="TATACONSUM"/>
        <s v="TATASTEEL"/>
        <s v="TMCV"/>
        <s v="TMPV"/>
        <m/>
      </sharedItems>
    </cacheField>
    <cacheField name="Holder" numFmtId="0">
      <sharedItems containsBlank="1"/>
    </cacheField>
    <cacheField name="Buy Date" numFmtId="165">
      <sharedItems containsNonDate="0" containsString="0" containsBlank="1"/>
    </cacheField>
    <cacheField name="Buy" numFmtId="164">
      <sharedItems containsString="0" containsBlank="1" containsNumber="1" minValue="19.8" maxValue="1598.5"/>
    </cacheField>
    <cacheField name="Sell Date" numFmtId="0">
      <sharedItems containsNonDate="0" containsString="0" containsBlank="1"/>
    </cacheField>
    <cacheField name="Sell" numFmtId="164">
      <sharedItems containsNonDate="0" containsString="0" containsBlank="1"/>
    </cacheField>
    <cacheField name="LTP" numFmtId="164">
      <sharedItems containsMixedTypes="1" containsNumber="1" minValue="1.08" maxValue="1674.8"/>
    </cacheField>
    <cacheField name="QTY" numFmtId="0">
      <sharedItems containsString="0" containsBlank="1" containsNumber="1" containsInteger="1" minValue="1" maxValue="328"/>
    </cacheField>
    <cacheField name="Invested" numFmtId="164">
      <sharedItems containsSemiMixedTypes="0" containsString="0" containsNumber="1" minValue="0" maxValue="27174.5"/>
    </cacheField>
    <cacheField name="Turnover" numFmtId="164">
      <sharedItems containsSemiMixedTypes="0" containsString="0" containsNumber="1" minValue="0" maxValue="27174.5"/>
    </cacheField>
    <cacheField name="Unrealised P/L" numFmtId="164">
      <sharedItems containsMixedTypes="1" containsNumber="1" minValue="-6566" maxValue="2408.75"/>
    </cacheField>
    <cacheField name="U P/L %" numFmtId="10">
      <sharedItems containsSemiMixedTypes="0" containsString="0" containsNumber="1" minValue="-0.96815098790917142" maxValue="1.0927601809954752"/>
    </cacheField>
    <cacheField name="Day_Change" numFmtId="164">
      <sharedItems containsSemiMixedTypes="0" containsString="0" containsNumber="1" minValue="-10" maxValue="13.8"/>
    </cacheField>
    <cacheField name="Change" numFmtId="164">
      <sharedItems containsSemiMixedTypes="0" containsString="0" containsNumber="1" minValue="-50" maxValue="111.52000000000001"/>
    </cacheField>
    <cacheField name="Realised P/L" numFmtId="164">
      <sharedItems containsSemiMixedTypes="0" containsString="0" containsNumber="1" containsInteger="1" minValue="0" maxValue="0"/>
    </cacheField>
    <cacheField name="R P/L %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717595" refreshedVersion="8" recordCount="52" xr:uid="{00000000-000A-0000-FFFF-FFFF06000000}">
  <cacheSource type="worksheet">
    <worksheetSource ref="A1:P53" sheet="Dashrathlal"/>
  </cacheSource>
  <cacheFields count="16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 count="15">
        <s v="GOLDCASE"/>
        <s v="HCLTECH"/>
        <s v="HDFCLIFE"/>
        <s v="HDFCMOMENT"/>
        <s v="HDFCSILVER"/>
        <s v="ICICIB22"/>
        <s v="IDFCFIRSTB"/>
        <s v="INDIGOPNTS"/>
        <s v="ITETF"/>
        <s v="RCOM"/>
        <s v="TATACONSUM"/>
        <s v="TATASTEEL"/>
        <s v="TMCV"/>
        <s v="TMPV"/>
        <m/>
      </sharedItems>
    </cacheField>
    <cacheField name="Holder" numFmtId="0">
      <sharedItems containsBlank="1" count="2">
        <s v="Dashrathlal"/>
        <m/>
      </sharedItems>
    </cacheField>
    <cacheField name="Buy Date" numFmtId="165">
      <sharedItems containsNonDate="0" containsString="0" containsBlank="1"/>
    </cacheField>
    <cacheField name="Buy" numFmtId="164">
      <sharedItems containsString="0" containsBlank="1" containsNumber="1" minValue="19.8" maxValue="1598.5"/>
    </cacheField>
    <cacheField name="Sell Date" numFmtId="0">
      <sharedItems containsNonDate="0" containsString="0" containsBlank="1"/>
    </cacheField>
    <cacheField name="Sell" numFmtId="164">
      <sharedItems containsNonDate="0" containsString="0" containsBlank="1"/>
    </cacheField>
    <cacheField name="LTP" numFmtId="164">
      <sharedItems containsMixedTypes="1" containsNumber="1" minValue="1.08" maxValue="1674.8"/>
    </cacheField>
    <cacheField name="QTY" numFmtId="0">
      <sharedItems containsString="0" containsBlank="1" containsNumber="1" containsInteger="1" minValue="1" maxValue="328"/>
    </cacheField>
    <cacheField name="Invested" numFmtId="164">
      <sharedItems containsSemiMixedTypes="0" containsString="0" containsNumber="1" minValue="0" maxValue="27174.5"/>
    </cacheField>
    <cacheField name="Turnover" numFmtId="164">
      <sharedItems containsSemiMixedTypes="0" containsString="0" containsNumber="1" minValue="0" maxValue="27174.5"/>
    </cacheField>
    <cacheField name="Unrealised P/L" numFmtId="164">
      <sharedItems containsMixedTypes="1" containsNumber="1" minValue="-6566" maxValue="2408.75"/>
    </cacheField>
    <cacheField name="U P/L %" numFmtId="10">
      <sharedItems containsSemiMixedTypes="0" containsString="0" containsNumber="1" minValue="-0.96815098790917142" maxValue="1.0927601809954752"/>
    </cacheField>
    <cacheField name="Day_Change" numFmtId="164">
      <sharedItems containsSemiMixedTypes="0" containsString="0" containsNumber="1" minValue="-10" maxValue="13.8"/>
    </cacheField>
    <cacheField name="Change" numFmtId="164">
      <sharedItems containsSemiMixedTypes="0" containsString="0" containsNumber="1" minValue="-50" maxValue="111.52000000000001"/>
    </cacheField>
    <cacheField name="Realised P/L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833334" refreshedVersion="8" recordCount="52" xr:uid="{00000000-000A-0000-FFFF-FFFF05000000}">
  <cacheSource type="worksheet">
    <worksheetSource ref="A1:Q53" sheet="Equity_Trade-2025"/>
  </cacheSource>
  <cacheFields count="17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/>
    </cacheField>
    <cacheField name="Holder" numFmtId="0">
      <sharedItems containsBlank="1"/>
    </cacheField>
    <cacheField name="Buy Date" numFmtId="165">
      <sharedItems containsNonDate="0" containsDate="1" containsString="0" containsBlank="1" minDate="2025-01-01T00:00:00" maxDate="2025-10-09T00:00:00"/>
    </cacheField>
    <cacheField name="Buy" numFmtId="164">
      <sharedItems containsString="0" containsBlank="1" containsNumber="1" minValue="176.2" maxValue="3006.15"/>
    </cacheField>
    <cacheField name="Sell Date" numFmtId="0">
      <sharedItems containsNonDate="0" containsDate="1" containsString="0" containsBlank="1" minDate="2025-06-19T00:00:00" maxDate="2025-11-26T00:00:00" count="7">
        <m/>
        <d v="2025-06-19T00:00:00"/>
        <d v="2025-07-01T00:00:00"/>
        <d v="2025-08-01T00:00:00"/>
        <d v="2025-07-11T00:00:00"/>
        <d v="2025-11-25T00:00:00"/>
        <d v="2025-08-28T00:00:00"/>
      </sharedItems>
    </cacheField>
    <cacheField name="Sell" numFmtId="164">
      <sharedItems containsString="0" containsBlank="1" containsNumber="1" minValue="0" maxValue="2302"/>
    </cacheField>
    <cacheField name="LTP" numFmtId="164">
      <sharedItems containsMixedTypes="1" containsNumber="1" minValue="139" maxValue="2543.1999999999998"/>
    </cacheField>
    <cacheField name="QTY" numFmtId="0">
      <sharedItems containsString="0" containsBlank="1" containsNumber="1" containsInteger="1" minValue="3" maxValue="50"/>
    </cacheField>
    <cacheField name="Invested" numFmtId="164">
      <sharedItems containsSemiMixedTypes="0" containsString="0" containsNumber="1" minValue="0" maxValue="14250"/>
    </cacheField>
    <cacheField name="Turnover" numFmtId="164">
      <sharedItems containsSemiMixedTypes="0" containsString="0" containsNumber="1" minValue="0" maxValue="27630"/>
    </cacheField>
    <cacheField name="Unrealised P/L" numFmtId="164">
      <sharedItems containsMixedTypes="1" containsNumber="1" minValue="-1859.9999999999995" maxValue="567"/>
    </cacheField>
    <cacheField name="U P/L %" numFmtId="10">
      <sharedItems containsSemiMixedTypes="0" containsString="0" containsNumber="1" minValue="-0.21112372304199767" maxValue="0.16098226466575716"/>
    </cacheField>
    <cacheField name="Day_Change" numFmtId="164">
      <sharedItems containsSemiMixedTypes="0" containsString="0" containsNumber="1" minValue="-38.4" maxValue="18.5"/>
    </cacheField>
    <cacheField name="Change" numFmtId="164">
      <sharedItems containsSemiMixedTypes="0" containsString="0" containsNumber="1" minValue="-115.19999999999999" maxValue="203.5"/>
    </cacheField>
    <cacheField name="Realised P/L" numFmtId="164">
      <sharedItems containsSemiMixedTypes="0" containsString="0" containsNumber="1" minValue="-1521.4999999999989" maxValue="35.999999999999091"/>
    </cacheField>
    <cacheField name="R P/L %" numFmtId="10">
      <sharedItems containsSemiMixedTypes="0" containsString="0" containsNumber="1" minValue="-0.12883998165978908" maxValue="3.1375283249084093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833334" refreshedVersion="8" recordCount="52" xr:uid="{00000000-000A-0000-FFFF-FFFF04000000}">
  <cacheSource type="worksheet">
    <worksheetSource ref="A1:P53" sheet="Equity_Trade-2025"/>
  </cacheSource>
  <cacheFields count="16">
    <cacheField name="Column 1" numFmtId="0">
      <sharedItems containsSemiMixedTypes="0" containsString="0" containsNumber="1" containsInteger="1" minValue="1" maxValue="52"/>
    </cacheField>
    <cacheField name="SYMBOL" numFmtId="0">
      <sharedItems containsBlank="1" count="14">
        <s v="ANGELONE"/>
        <s v="JIOFIN"/>
        <s v="TMCV"/>
        <s v="HINDZINC"/>
        <s v="IREDA"/>
        <s v="GODREJPROP"/>
        <s v="WIPRO"/>
        <s v="CROMPTON"/>
        <s v="PPLPHARMA"/>
        <s v="JSWENERGY"/>
        <s v="VOLTAS"/>
        <s v="INDGN"/>
        <s v="TITAGARH"/>
        <m/>
      </sharedItems>
    </cacheField>
    <cacheField name="Holder" numFmtId="0">
      <sharedItems containsBlank="1" count="4">
        <s v="DHAN"/>
        <s v="ANGELONE"/>
        <s v="RAM"/>
        <m/>
      </sharedItems>
    </cacheField>
    <cacheField name="Buy Date" numFmtId="165">
      <sharedItems containsNonDate="0" containsDate="1" containsString="0" containsBlank="1" minDate="2025-01-01T00:00:00" maxDate="2025-10-09T00:00:00"/>
    </cacheField>
    <cacheField name="Buy" numFmtId="164">
      <sharedItems containsString="0" containsBlank="1" containsNumber="1" minValue="176.2" maxValue="3006.15"/>
    </cacheField>
    <cacheField name="Sell Date" numFmtId="0">
      <sharedItems containsNonDate="0" containsDate="1" containsString="0" containsBlank="1" minDate="2025-06-19T00:00:00" maxDate="2025-11-26T00:00:00"/>
    </cacheField>
    <cacheField name="Sell" numFmtId="164">
      <sharedItems containsString="0" containsBlank="1" containsNumber="1" minValue="0" maxValue="2302"/>
    </cacheField>
    <cacheField name="LTP" numFmtId="164">
      <sharedItems containsMixedTypes="1" containsNumber="1" minValue="139" maxValue="2543.1999999999998"/>
    </cacheField>
    <cacheField name="QTY" numFmtId="0">
      <sharedItems containsString="0" containsBlank="1" containsNumber="1" containsInteger="1" minValue="3" maxValue="50"/>
    </cacheField>
    <cacheField name="Invested" numFmtId="164">
      <sharedItems containsSemiMixedTypes="0" containsString="0" containsNumber="1" minValue="0" maxValue="14250"/>
    </cacheField>
    <cacheField name="Turnover" numFmtId="164">
      <sharedItems containsSemiMixedTypes="0" containsString="0" containsNumber="1" minValue="0" maxValue="27630"/>
    </cacheField>
    <cacheField name="Unrealised P/L" numFmtId="164">
      <sharedItems containsMixedTypes="1" containsNumber="1" minValue="-1859.9999999999995" maxValue="567"/>
    </cacheField>
    <cacheField name="U P/L %" numFmtId="10">
      <sharedItems containsSemiMixedTypes="0" containsString="0" containsNumber="1" minValue="-0.21112372304199767" maxValue="0.16098226466575716"/>
    </cacheField>
    <cacheField name="Day_Change" numFmtId="164">
      <sharedItems containsSemiMixedTypes="0" containsString="0" containsNumber="1" minValue="-38.4" maxValue="18.5"/>
    </cacheField>
    <cacheField name="Change" numFmtId="164">
      <sharedItems containsSemiMixedTypes="0" containsString="0" containsNumber="1" minValue="-115.19999999999999" maxValue="203.5"/>
    </cacheField>
    <cacheField name="Realised P/L" numFmtId="164">
      <sharedItems containsSemiMixedTypes="0" containsString="0" containsNumber="1" minValue="-1521.4999999999989" maxValue="35.9999999999990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5949073" refreshedVersion="8" recordCount="12" xr:uid="{00000000-000A-0000-FFFF-FFFF03000000}">
  <cacheSource type="worksheet">
    <worksheetSource ref="B1:P13" sheet="Aishwarya"/>
  </cacheSource>
  <cacheFields count="15">
    <cacheField name="SYMBOL" numFmtId="164">
      <sharedItems count="11">
        <s v="ALPHA"/>
        <s v="HDFCBANK"/>
        <s v="ICICIB22"/>
        <s v="IDFCFIRSTB"/>
        <s v="IRCTC"/>
        <s v="TMPV"/>
        <s v="IREDA"/>
        <s v="GPPL"/>
        <s v="RELIANCE"/>
        <s v="GOLDCASE"/>
        <s v="TMCV"/>
      </sharedItems>
    </cacheField>
    <cacheField name="Holder" numFmtId="0">
      <sharedItems/>
    </cacheField>
    <cacheField name="Buy Date" numFmtId="165">
      <sharedItems containsNonDate="0" containsDate="1" containsString="0" containsBlank="1" minDate="2025-06-05T00:00:00" maxDate="2026-06-13T00:00:00"/>
    </cacheField>
    <cacheField name="Buy" numFmtId="164">
      <sharedItems containsSemiMixedTypes="0" containsString="0" containsNumber="1" minValue="20.100000000000001" maxValue="1468"/>
    </cacheField>
    <cacheField name="Sell Date" numFmtId="165">
      <sharedItems containsNonDate="0" containsString="0" containsBlank="1"/>
    </cacheField>
    <cacheField name="Sell" numFmtId="164">
      <sharedItems containsString="0" containsBlank="1" containsNumber="1" containsInteger="1" minValue="0" maxValue="0"/>
    </cacheField>
    <cacheField name="LTP" numFmtId="164">
      <sharedItems containsSemiMixedTypes="0" containsString="0" containsNumber="1" minValue="21.49" maxValue="1569"/>
    </cacheField>
    <cacheField name="QTY" numFmtId="0">
      <sharedItems containsSemiMixedTypes="0" containsString="0" containsNumber="1" containsInteger="1" minValue="3" maxValue="236"/>
    </cacheField>
    <cacheField name="Invested" numFmtId="164">
      <sharedItems containsSemiMixedTypes="0" containsString="0" containsNumber="1" minValue="422.1" maxValue="19061.189999999999"/>
    </cacheField>
    <cacheField name="Unrealised P/L" numFmtId="164">
      <sharedItems containsSemiMixedTypes="0" containsString="0" containsNumber="1" minValue="-1867.4999999999998" maxValue="7434.25"/>
    </cacheField>
    <cacheField name="U P/L %" numFmtId="10">
      <sharedItems containsSemiMixedTypes="0" containsString="0" containsNumber="1" minValue="-0.30032901501130993" maxValue="1.1654583188714986"/>
    </cacheField>
    <cacheField name="Day_Change" numFmtId="164">
      <sharedItems containsSemiMixedTypes="0" containsString="0" containsNumber="1" minValue="-6.4" maxValue="13.8"/>
    </cacheField>
    <cacheField name="Change" numFmtId="164">
      <sharedItems containsSemiMixedTypes="0" containsString="0" containsNumber="1" minValue="-99" maxValue="166.5"/>
    </cacheField>
    <cacheField name="Realised P/L" numFmtId="164">
      <sharedItems containsSemiMixedTypes="0" containsString="0" containsNumber="1" containsInteger="1" minValue="0" maxValue="0"/>
    </cacheField>
    <cacheField name="R P/L %" numFmtId="1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6064811" refreshedVersion="8" recordCount="52" xr:uid="{00000000-000A-0000-FFFF-FFFF02000000}">
  <cacheSource type="worksheet">
    <worksheetSource ref="B1:P53" sheet="Rashmi"/>
  </cacheSource>
  <cacheFields count="15">
    <cacheField name="SYMBOL" numFmtId="0">
      <sharedItems containsBlank="1" count="21">
        <s v="BPCL"/>
        <s v="CPSEETF"/>
        <s v="HCLTECH"/>
        <s v="HDFCBANK"/>
        <s v="ICICIBANK"/>
        <s v="IRCTC"/>
        <s v="MAFANG"/>
        <s v="TATACHEM"/>
        <s v="RAILTEL"/>
        <s v="JIOFIN"/>
        <s v="TMPV"/>
        <s v="HAL"/>
        <s v="UPL"/>
        <s v="BAJAJHFL"/>
        <s v="ITC"/>
        <s v="ASIANPAINT"/>
        <s v="RELIANCE"/>
        <s v="TMCV"/>
        <s v="ICICIB22"/>
        <s v="MOTHERSON"/>
        <m/>
      </sharedItems>
    </cacheField>
    <cacheField name="Holder" numFmtId="0">
      <sharedItems containsBlank="1"/>
    </cacheField>
    <cacheField name="Buy Date" numFmtId="165">
      <sharedItems containsNonDate="0" containsDate="1" containsString="0" containsBlank="1" minDate="2023-05-08T00:00:00" maxDate="2025-11-29T00:00:00"/>
    </cacheField>
    <cacheField name="Buy" numFmtId="164">
      <sharedItems containsString="0" containsBlank="1" containsNumber="1" minValue="19.75" maxValue="4718.55"/>
    </cacheField>
    <cacheField name="Sell Date" numFmtId="0">
      <sharedItems containsNonDate="0" containsDate="1" containsString="0" containsBlank="1" minDate="2023-09-01T00:00:00" maxDate="2025-11-22T00:00:00"/>
    </cacheField>
    <cacheField name="Sell" numFmtId="164">
      <sharedItems containsString="0" containsBlank="1" containsNumber="1" minValue="0" maxValue="353.85"/>
    </cacheField>
    <cacheField name="LTP" numFmtId="164">
      <sharedItems containsMixedTypes="1" containsNumber="1" minValue="91.15" maxValue="4409.8"/>
    </cacheField>
    <cacheField name="QTY" numFmtId="0">
      <sharedItems containsString="0" containsBlank="1" containsNumber="1" containsInteger="1" minValue="1" maxValue="288"/>
    </cacheField>
    <cacheField name="Invested" numFmtId="164">
      <sharedItems containsSemiMixedTypes="0" containsString="0" containsNumber="1" minValue="0" maxValue="14656.5"/>
    </cacheField>
    <cacheField name="Unrealised P/L" numFmtId="164">
      <sharedItems containsMixedTypes="1" containsNumber="1" minValue="-3003.0000000000009" maxValue="34266.239999999998"/>
    </cacheField>
    <cacheField name="U P/L %" numFmtId="10">
      <sharedItems containsSemiMixedTypes="0" containsString="0" containsNumber="1" minValue="-0.30032901501130993" maxValue="3.6151898734177217"/>
    </cacheField>
    <cacheField name="Day_Change" numFmtId="164">
      <sharedItems containsSemiMixedTypes="0" containsString="0" containsNumber="1" minValue="-6.4" maxValue="23.7"/>
    </cacheField>
    <cacheField name="Change" numFmtId="164">
      <sharedItems containsSemiMixedTypes="0" containsString="0" containsNumber="1" minValue="-134.19999999999999" maxValue="610.56000000000006"/>
    </cacheField>
    <cacheField name="Realised P/L" numFmtId="164">
      <sharedItems containsSemiMixedTypes="0" containsString="0" containsNumber="1" minValue="0" maxValue="8531.0000000000018"/>
    </cacheField>
    <cacheField name="R P/L %" numFmtId="10">
      <sharedItems containsSemiMixedTypes="0" containsString="0" containsNumber="1" minValue="0" maxValue="1.7356010823347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496180557" refreshedVersion="8" recordCount="49" xr:uid="{00000000-000A-0000-FFFF-FFFF01000000}">
  <cacheSource type="worksheet">
    <worksheetSource ref="A1:R50" sheet="Sudhadevi"/>
  </cacheSource>
  <cacheFields count="18">
    <cacheField name="Column 1" numFmtId="0">
      <sharedItems containsSemiMixedTypes="0" containsString="0" containsNumber="1" containsInteger="1" minValue="1" maxValue="49"/>
    </cacheField>
    <cacheField name="SYMBOL" numFmtId="0">
      <sharedItems count="42">
        <s v="ANGELONE"/>
        <s v="ASHOKLEY"/>
        <s v="AXISBANK"/>
        <s v="AZAD"/>
        <s v="BAJAJFINSV"/>
        <s v="BPCL"/>
        <s v="COALINDIA"/>
        <s v="DALBHARAT"/>
        <s v="EICHERMOT"/>
        <s v="ETERNAL"/>
        <s v="HINDALCO"/>
        <s v="ICICIBANK"/>
        <s v="IDFCFIRSTB"/>
        <s v="IRCTC"/>
        <s v="IREDA"/>
        <s v="ITC"/>
        <s v="ITCHOTELS"/>
        <s v="JIOFIN"/>
        <s v="LT"/>
        <s v="NORTHARC"/>
        <s v="POLYCAB"/>
        <s v="RELIANCE"/>
        <s v="SAIL"/>
        <s v="SBIN"/>
        <s v="TATACHEM"/>
        <s v="TMPV"/>
        <s v="TMCV"/>
        <s v="TATAPOWER"/>
        <s v="TATASTEEL"/>
        <s v="TATATECH"/>
        <s v="ICICIB22"/>
        <s v="MAFANG"/>
        <s v="ALPHAETF"/>
        <s v="MOVALUE"/>
        <s v="CPSEETF"/>
        <s v="SETFGOLD"/>
        <s v="GOLDCASE"/>
        <s v="MIDCAPETF"/>
        <s v="TVSMOTOR"/>
        <s v="MOTHERSON"/>
        <s v="NMDC"/>
        <s v="BHARATFORG"/>
      </sharedItems>
    </cacheField>
    <cacheField name="Holder" numFmtId="0">
      <sharedItems/>
    </cacheField>
    <cacheField name="Buy Date" numFmtId="165">
      <sharedItems containsNonDate="0" containsDate="1" containsString="0" containsBlank="1" minDate="2023-12-28T00:00:00" maxDate="2025-12-23T00:00:00"/>
    </cacheField>
    <cacheField name="Buy" numFmtId="164">
      <sharedItems containsSemiMixedTypes="0" containsString="0" containsNumber="1" minValue="12.8" maxValue="4417.1499999999996"/>
    </cacheField>
    <cacheField name="Sell Date" numFmtId="165">
      <sharedItems containsNonDate="0" containsDate="1" containsString="0" containsBlank="1" minDate="2025-07-14T00:00:00" maxDate="2025-12-23T00:00:00"/>
    </cacheField>
    <cacheField name="Sell" numFmtId="164">
      <sharedItems containsSemiMixedTypes="0" containsString="0" containsNumber="1" minValue="0" maxValue="6800"/>
    </cacheField>
    <cacheField name="LTP" numFmtId="164">
      <sharedItems containsSemiMixedTypes="0" containsString="0" containsNumber="1" minValue="21.49" maxValue="7638"/>
    </cacheField>
    <cacheField name="QTY" numFmtId="0">
      <sharedItems containsSemiMixedTypes="0" containsString="0" containsNumber="1" containsInteger="1" minValue="1" maxValue="751"/>
    </cacheField>
    <cacheField name="Invested" numFmtId="164">
      <sharedItems containsSemiMixedTypes="0" containsString="0" containsNumber="1" minValue="1222.1199999999999" maxValue="41491.379999999997"/>
    </cacheField>
    <cacheField name="Unrealised P/L" numFmtId="164">
      <sharedItems containsSemiMixedTypes="0" containsString="0" containsNumber="1" minValue="-3195.4999999999995" maxValue="14190"/>
    </cacheField>
    <cacheField name="U P/L %" numFmtId="10">
      <sharedItems containsSemiMixedTypes="0" containsString="0" containsNumber="1" minValue="-0.68153700127647032" maxValue="1.5654332129963899"/>
    </cacheField>
    <cacheField name="Day_Change" numFmtId="164">
      <sharedItems containsSemiMixedTypes="0" containsString="0" containsNumber="1" minValue="-38.4" maxValue="35"/>
    </cacheField>
    <cacheField name="Change" numFmtId="164">
      <sharedItems containsSemiMixedTypes="0" containsString="0" containsNumber="1" minValue="-124.95" maxValue="666"/>
    </cacheField>
    <cacheField name="Realised P/L" numFmtId="164">
      <sharedItems containsSemiMixedTypes="0" containsString="0" containsNumber="1" minValue="0" maxValue="9649.1999999999989"/>
    </cacheField>
    <cacheField name="R P/L %" numFmtId="10">
      <sharedItems containsSemiMixedTypes="0" containsString="0" containsNumber="1" minValue="0" maxValue="1.9563931297709924"/>
    </cacheField>
    <cacheField name="Column 1 2" numFmtId="0">
      <sharedItems containsBlank="1"/>
    </cacheField>
    <cacheField name="Column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malkishor Prajapati" refreshedDate="46171.787513888892" refreshedVersion="8" recordCount="52" xr:uid="{00000000-000A-0000-FFFF-FFFF00000000}">
  <cacheSource type="worksheet">
    <worksheetSource ref="B1:Q53" sheet="Equity_Trade-2025"/>
  </cacheSource>
  <cacheFields count="16">
    <cacheField name="SYMBOL" numFmtId="0">
      <sharedItems containsBlank="1" count="14">
        <s v="ANGELONE"/>
        <s v="JIOFIN"/>
        <s v="TMCV"/>
        <s v="HINDZINC"/>
        <s v="IREDA"/>
        <s v="GODREJPROP"/>
        <s v="WIPRO"/>
        <s v="CROMPTON"/>
        <s v="PPLPHARMA"/>
        <s v="JSWENERGY"/>
        <s v="VOLTAS"/>
        <s v="INDGN"/>
        <s v="TITAGARH"/>
        <m/>
      </sharedItems>
    </cacheField>
    <cacheField name="Holder" numFmtId="0">
      <sharedItems containsBlank="1"/>
    </cacheField>
    <cacheField name="Buy Date" numFmtId="165">
      <sharedItems containsNonDate="0" containsDate="1" containsString="0" containsBlank="1" minDate="2025-01-01T00:00:00" maxDate="2025-10-09T00:00:00"/>
    </cacheField>
    <cacheField name="Buy" numFmtId="164">
      <sharedItems containsString="0" containsBlank="1" containsNumber="1" minValue="176.2" maxValue="3006.15"/>
    </cacheField>
    <cacheField name="Sell Date" numFmtId="0">
      <sharedItems containsNonDate="0" containsDate="1" containsString="0" containsBlank="1" minDate="2025-06-19T00:00:00" maxDate="2025-11-26T00:00:00"/>
    </cacheField>
    <cacheField name="Sell" numFmtId="164">
      <sharedItems containsString="0" containsBlank="1" containsNumber="1" minValue="0" maxValue="2302"/>
    </cacheField>
    <cacheField name="LTP" numFmtId="164">
      <sharedItems containsMixedTypes="1" containsNumber="1" minValue="139" maxValue="2543.1999999999998"/>
    </cacheField>
    <cacheField name="QTY" numFmtId="0">
      <sharedItems containsString="0" containsBlank="1" containsNumber="1" containsInteger="1" minValue="3" maxValue="50"/>
    </cacheField>
    <cacheField name="Invested" numFmtId="164">
      <sharedItems containsSemiMixedTypes="0" containsString="0" containsNumber="1" minValue="0" maxValue="14250"/>
    </cacheField>
    <cacheField name="Turnover" numFmtId="164">
      <sharedItems containsSemiMixedTypes="0" containsString="0" containsNumber="1" minValue="0" maxValue="27630"/>
    </cacheField>
    <cacheField name="Unrealised P/L" numFmtId="164">
      <sharedItems containsMixedTypes="1" containsNumber="1" minValue="-1859.9999999999995" maxValue="567"/>
    </cacheField>
    <cacheField name="U P/L %" numFmtId="10">
      <sharedItems containsSemiMixedTypes="0" containsString="0" containsNumber="1" minValue="-0.21112372304199767" maxValue="0.16098226466575716"/>
    </cacheField>
    <cacheField name="Day_Change" numFmtId="164">
      <sharedItems containsSemiMixedTypes="0" containsString="0" containsNumber="1" minValue="-38.4" maxValue="18.5"/>
    </cacheField>
    <cacheField name="Change" numFmtId="164">
      <sharedItems containsSemiMixedTypes="0" containsString="0" containsNumber="1" minValue="-115.19999999999999" maxValue="203.5"/>
    </cacheField>
    <cacheField name="Realised P/L" numFmtId="164">
      <sharedItems containsSemiMixedTypes="0" containsString="0" containsNumber="1" minValue="-1521.4999999999989" maxValue="35.999999999999091"/>
    </cacheField>
    <cacheField name="R P/L %" numFmtId="10">
      <sharedItems containsSemiMixedTypes="0" containsString="0" containsNumber="1" minValue="-0.12883998165978908" maxValue="3.1375283249084093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x v="0"/>
    <d v="2017-08-03T00:00:00"/>
    <n v="263.63"/>
    <m/>
    <m/>
    <n v="400.65"/>
    <n v="30"/>
    <n v="7908.9"/>
    <n v="7908.9"/>
    <n v="4110.5999999999995"/>
    <n v="0.51974358001744869"/>
    <n v="0"/>
    <n v="0"/>
    <n v="7.9089"/>
    <n v="0.25703924999999994"/>
    <n v="4.6267064999999989E-2"/>
    <n v="3.95445E-3"/>
    <n v="8.2161607649999997"/>
    <n v="0"/>
    <n v="8.2161607649999997"/>
    <n v="0"/>
    <n v="0"/>
    <n v="0"/>
  </r>
  <r>
    <n v="2"/>
    <x v="1"/>
    <d v="2020-01-28T00:00:00"/>
    <n v="187.15"/>
    <d v="2021-06-16T00:00:00"/>
    <n v="1200"/>
    <n v="1017"/>
    <n v="10"/>
    <n v="1871.5"/>
    <n v="13871.5"/>
    <n v="0"/>
    <n v="0"/>
    <n v="10128.5"/>
    <n v="5.4119690088164569"/>
    <n v="13.871500000000001"/>
    <n v="0.45082374999999997"/>
    <n v="8.1148274999999992E-2"/>
    <n v="6.9357500000000001E-3"/>
    <n v="14.410407775000001"/>
    <n v="16"/>
    <n v="30.410407775000003"/>
    <n v="10098.089592225"/>
    <n v="5.395719792799893"/>
    <n v="10098.089592225"/>
  </r>
  <r>
    <n v="3"/>
    <x v="2"/>
    <d v="2020-02-12T00:00:00"/>
    <n v="324.7"/>
    <m/>
    <m/>
    <n v="971.25"/>
    <n v="1"/>
    <n v="324.7"/>
    <n v="324.7"/>
    <n v="646.54999999999995"/>
    <n v="1.9912226670773021"/>
    <n v="0"/>
    <n v="0"/>
    <n v="0.32469999999999999"/>
    <n v="1.0552749999999998E-2"/>
    <n v="1.8994949999999995E-3"/>
    <n v="1.6234999999999999E-4"/>
    <n v="0.33731459499999994"/>
    <n v="0"/>
    <n v="0.33731459499999994"/>
    <n v="0"/>
    <n v="0"/>
    <n v="10098.089592225"/>
  </r>
  <r>
    <n v="4"/>
    <x v="3"/>
    <d v="2021-02-26T00:00:00"/>
    <n v="595.9"/>
    <m/>
    <m/>
    <n v="1362.4"/>
    <n v="20"/>
    <n v="11918"/>
    <n v="11918"/>
    <n v="15330.000000000002"/>
    <n v="1.2862896459137441"/>
    <n v="0"/>
    <n v="0"/>
    <n v="11.918000000000001"/>
    <n v="0.38733499999999998"/>
    <n v="6.9720299999999999E-2"/>
    <n v="5.9589999999999999E-3"/>
    <n v="12.381014300000002"/>
    <n v="0"/>
    <n v="12.381014300000002"/>
    <n v="0"/>
    <n v="0"/>
    <n v="90000"/>
  </r>
  <r>
    <n v="5"/>
    <x v="4"/>
    <d v="2021-03-22T00:00:00"/>
    <n v="722.5"/>
    <d v="2021-05-28T00:00:00"/>
    <n v="782.5"/>
    <n v="1492.8"/>
    <n v="5"/>
    <n v="3612.5"/>
    <n v="7525"/>
    <n v="0"/>
    <n v="0"/>
    <n v="300"/>
    <n v="8.3044982698961933E-2"/>
    <n v="7.5250000000000004"/>
    <n v="0.24456249999999999"/>
    <n v="4.4021249999999998E-2"/>
    <n v="3.7624999999999998E-3"/>
    <n v="7.8173462499999999"/>
    <n v="16"/>
    <n v="23.81734625"/>
    <n v="276.18265374999999"/>
    <n v="7.6451945674740479E-2"/>
    <n v="90276.182653750002"/>
  </r>
  <r>
    <n v="6"/>
    <x v="5"/>
    <d v="2021-05-07T00:00:00"/>
    <n v="48.6"/>
    <m/>
    <m/>
    <n v="168.98"/>
    <n v="102"/>
    <n v="4957.2"/>
    <n v="4957.2"/>
    <n v="12278.76"/>
    <n v="2.4769547325102881"/>
    <n v="0"/>
    <n v="0"/>
    <n v="4.9572000000000003"/>
    <n v="0.16110899999999997"/>
    <n v="2.8999619999999993E-2"/>
    <n v="2.4785999999999996E-3"/>
    <n v="5.1497872199999994"/>
    <n v="0"/>
    <n v="5.1497872199999994"/>
    <n v="0"/>
    <n v="0"/>
    <n v="90276.182653750002"/>
  </r>
  <r>
    <n v="7"/>
    <x v="6"/>
    <d v="2021-07-29T00:00:00"/>
    <n v="723"/>
    <m/>
    <m/>
    <n v="1224.5"/>
    <n v="10"/>
    <n v="7230"/>
    <n v="7230"/>
    <n v="5015"/>
    <n v="0.69363762102351312"/>
    <n v="0"/>
    <n v="0"/>
    <n v="7.23"/>
    <n v="0.23497499999999999"/>
    <n v="4.22955E-2"/>
    <n v="3.6149999999999997E-3"/>
    <n v="7.5108855000000005"/>
    <n v="0"/>
    <n v="7.5108855000000005"/>
    <n v="0"/>
    <n v="0"/>
    <n v="90276.182653750002"/>
  </r>
  <r>
    <n v="8"/>
    <x v="7"/>
    <d v="2021-11-08T00:00:00"/>
    <n v="833.3"/>
    <m/>
    <m/>
    <n v="680.5"/>
    <n v="11"/>
    <n v="9166.2999999999993"/>
    <n v="9166.2999999999993"/>
    <n v="-1680.7999999999995"/>
    <n v="-0.1833673346933877"/>
    <n v="0"/>
    <n v="0"/>
    <n v="9.1662999999999997"/>
    <n v="0.29790474999999994"/>
    <n v="5.362285499999999E-2"/>
    <n v="4.5831499999999994E-3"/>
    <n v="9.522410755000001"/>
    <n v="0"/>
    <n v="9.522410755000001"/>
    <n v="0"/>
    <n v="0"/>
    <n v="90276.182653750002"/>
  </r>
  <r>
    <n v="9"/>
    <x v="0"/>
    <d v="2021-12-22T00:00:00"/>
    <n v="145.55000000000001"/>
    <m/>
    <m/>
    <n v="400.65"/>
    <n v="3"/>
    <n v="436.65000000000003"/>
    <n v="436.65000000000003"/>
    <n v="765.3"/>
    <n v="1.7526623153555476"/>
    <n v="0"/>
    <n v="0"/>
    <n v="0.43665000000000004"/>
    <n v="1.4191125000000001E-2"/>
    <n v="2.5544025000000001E-3"/>
    <n v="2.1832500000000001E-4"/>
    <n v="0.45361385250000008"/>
    <n v="0"/>
    <n v="0.45361385250000008"/>
    <n v="0"/>
    <n v="0"/>
    <n v="90276.182653750002"/>
  </r>
  <r>
    <n v="10"/>
    <x v="5"/>
    <d v="2022-11-09T00:00:00"/>
    <n v="35.229999999999997"/>
    <m/>
    <m/>
    <n v="168.98"/>
    <n v="52"/>
    <n v="1831.9599999999998"/>
    <n v="1831.9599999999998"/>
    <n v="6955"/>
    <n v="3.7964802724950331"/>
    <n v="0"/>
    <n v="0"/>
    <n v="1.8319599999999998"/>
    <n v="5.9538699999999986E-2"/>
    <n v="1.0716965999999998E-2"/>
    <n v="9.1597999999999983E-4"/>
    <n v="1.9031316459999998"/>
    <n v="0"/>
    <n v="1.9031316459999998"/>
    <n v="0"/>
    <n v="0"/>
    <n v="90276.182653750002"/>
  </r>
  <r>
    <n v="11"/>
    <x v="8"/>
    <d v="2022-10-24T00:00:00"/>
    <n v="29.23"/>
    <m/>
    <m/>
    <s v="#N/A"/>
    <n v="101"/>
    <n v="2952.23"/>
    <n v="2952.23"/>
    <e v="#VALUE!"/>
    <e v="#VALUE!"/>
    <n v="0"/>
    <n v="0"/>
    <n v="2.9522300000000001"/>
    <n v="9.594747499999999E-2"/>
    <n v="1.7270545499999998E-2"/>
    <n v="1.4761149999999998E-3"/>
    <n v="3.0669241355000003"/>
    <n v="0"/>
    <n v="3.0669241355000003"/>
    <n v="0"/>
    <n v="0"/>
    <n v="90276.182653750002"/>
  </r>
  <r>
    <n v="12"/>
    <x v="9"/>
    <d v="2022-07-28T00:00:00"/>
    <n v="98.1"/>
    <m/>
    <m/>
    <n v="170.82"/>
    <n v="50"/>
    <n v="4905"/>
    <n v="4905"/>
    <n v="3636"/>
    <n v="0.74128440366972481"/>
    <n v="0"/>
    <n v="0"/>
    <n v="4.9050000000000002"/>
    <n v="0.15941249999999998"/>
    <n v="2.8694249999999998E-2"/>
    <n v="2.4524999999999998E-3"/>
    <n v="5.0955592500000009"/>
    <n v="0"/>
    <n v="5.0955592500000009"/>
    <n v="0"/>
    <n v="0"/>
    <n v="90276.182653750002"/>
  </r>
  <r>
    <n v="13"/>
    <x v="9"/>
    <d v="2022-10-24T00:00:00"/>
    <n v="101.25"/>
    <m/>
    <m/>
    <n v="170.82"/>
    <n v="51"/>
    <n v="5163.75"/>
    <n v="5163.75"/>
    <n v="3548.0699999999997"/>
    <n v="0.68711111111111101"/>
    <n v="0"/>
    <n v="0"/>
    <n v="5.1637500000000003"/>
    <n v="0.16782187499999998"/>
    <n v="3.0207937499999997E-2"/>
    <n v="2.581875E-3"/>
    <n v="5.3643616874999998"/>
    <n v="0"/>
    <n v="5.3643616874999998"/>
    <n v="0"/>
    <n v="0"/>
    <n v="90276.18265375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WIPRO"/>
    <s v="Sudhadevi"/>
    <d v="2021-02-05T00:00:00"/>
    <n v="408"/>
    <x v="0"/>
    <n v="421"/>
    <n v="271.3"/>
    <n v="48"/>
    <n v="19584"/>
    <n v="39792"/>
    <n v="0"/>
    <n v="0"/>
    <n v="624"/>
    <n v="3.1862745098039214E-2"/>
    <n v="39.792000000000002"/>
    <n v="1.2932399999999999"/>
    <n v="0.23278319999999997"/>
    <n v="1.9896E-2"/>
    <n v="41.337919200000002"/>
    <n v="16"/>
    <n v="57.337919200000002"/>
    <n v="566.66208080000001"/>
    <n v="2.8934951021241832E-2"/>
  </r>
  <r>
    <n v="2"/>
    <s v="GRASIM"/>
    <s v="Sudhadevi"/>
    <d v="2021-01-04T00:00:00"/>
    <n v="917.78"/>
    <x v="0"/>
    <n v="1160"/>
    <n v="2823.1"/>
    <n v="27"/>
    <n v="24780.059999999998"/>
    <n v="56100.05999999999"/>
    <n v="0"/>
    <n v="0"/>
    <n v="6539.9400000000005"/>
    <n v="0.26391945782213605"/>
    <n v="56.100059999999992"/>
    <n v="1.8232519499999995"/>
    <n v="0.3281853509999999"/>
    <n v="2.8050029999999993E-2"/>
    <n v="58.279547330999996"/>
    <n v="16"/>
    <n v="74.279547331000003"/>
    <n v="6465.6604526690007"/>
    <n v="0.26092190465515425"/>
  </r>
  <r>
    <n v="3"/>
    <s v="CUPID"/>
    <s v="Ramkishor"/>
    <d v="2020-12-31T00:00:00"/>
    <n v="252"/>
    <x v="1"/>
    <n v="228"/>
    <n v="468.95"/>
    <n v="25"/>
    <n v="6300"/>
    <n v="12000"/>
    <n v="0"/>
    <n v="0"/>
    <n v="-600"/>
    <n v="-9.5238095238095233E-2"/>
    <n v="12"/>
    <n v="0.38999999999999996"/>
    <n v="7.0199999999999985E-2"/>
    <n v="6.0000000000000001E-3"/>
    <n v="12.466200000000001"/>
    <n v="16"/>
    <n v="28.466200000000001"/>
    <n v="-628.46619999999996"/>
    <n v="-9.9756539682539683E-2"/>
  </r>
  <r>
    <n v="4"/>
    <s v="AUROPHARMA"/>
    <s v="Sudhadevi"/>
    <d v="2021-02-03T00:00:00"/>
    <n v="938.12"/>
    <x v="2"/>
    <n v="920.04"/>
    <n v="1216.5999999999999"/>
    <n v="30"/>
    <n v="28143.599999999999"/>
    <n v="55744.799999999996"/>
    <n v="0"/>
    <n v="0"/>
    <n v="-542.40000000000123"/>
    <n v="-1.927258772864883E-2"/>
    <n v="55.744799999999998"/>
    <n v="1.8117059999999996"/>
    <n v="0.32610707999999994"/>
    <n v="2.7872399999999995E-2"/>
    <n v="57.910485479999998"/>
    <n v="16"/>
    <n v="73.910485480000006"/>
    <n v="-616.31048548000126"/>
    <n v="-2.1898779313236447E-2"/>
  </r>
  <r>
    <n v="5"/>
    <s v="AUROPHARMA"/>
    <s v="Sudhadevi"/>
    <d v="2021-02-03T00:00:00"/>
    <n v="938.12"/>
    <x v="3"/>
    <n v="942"/>
    <n v="1216.5999999999999"/>
    <n v="20"/>
    <n v="18762.400000000001"/>
    <n v="37602.399999999994"/>
    <n v="0"/>
    <n v="0"/>
    <n v="77.599999999999909"/>
    <n v="4.135931437342766E-3"/>
    <n v="37.602399999999996"/>
    <n v="1.2220779999999998"/>
    <n v="0.21997403999999995"/>
    <n v="1.8801199999999997E-2"/>
    <n v="39.063253239999995"/>
    <n v="16"/>
    <n v="55.063253239999995"/>
    <n v="22.536746759999915"/>
    <n v="1.2011654564447998E-3"/>
  </r>
  <r>
    <n v="6"/>
    <s v="ASIANPAINT"/>
    <s v="Sudhadevi"/>
    <d v="2021-02-09T00:00:00"/>
    <n v="2520"/>
    <x v="4"/>
    <n v="2564"/>
    <n v="2808"/>
    <n v="5"/>
    <n v="12600"/>
    <n v="25420"/>
    <n v="0"/>
    <n v="0"/>
    <n v="220"/>
    <n v="1.7460317460317461E-2"/>
    <n v="25.42"/>
    <n v="0.82614999999999994"/>
    <n v="0.14870699999999998"/>
    <n v="1.2709999999999999E-2"/>
    <n v="26.407567"/>
    <n v="16"/>
    <n v="42.407567"/>
    <n v="177.592433"/>
    <n v="1.409463753968254E-2"/>
  </r>
  <r>
    <n v="7"/>
    <s v="ZEEL"/>
    <s v="Sudhadevi"/>
    <d v="2021-02-08T00:00:00"/>
    <n v="220.8"/>
    <x v="5"/>
    <n v="223.75"/>
    <n v="91.8"/>
    <n v="24"/>
    <n v="5299.2000000000007"/>
    <n v="10669.2"/>
    <n v="0"/>
    <n v="0"/>
    <n v="70.799999999999727"/>
    <n v="1.336050724637676E-2"/>
    <n v="10.669200000000002"/>
    <n v="0.34674899999999997"/>
    <n v="6.2414819999999996E-2"/>
    <n v="5.3346000000000001E-3"/>
    <n v="11.083698420000003"/>
    <n v="16"/>
    <n v="27.083698420000005"/>
    <n v="43.716301579999723"/>
    <n v="8.2496040119262749E-3"/>
  </r>
  <r>
    <n v="8"/>
    <s v="RELIANCE"/>
    <s v="Sudhadevi"/>
    <d v="2021-02-08T00:00:00"/>
    <n v="1951.32"/>
    <x v="6"/>
    <n v="2047"/>
    <n v="1569"/>
    <n v="5"/>
    <n v="9756.6"/>
    <n v="19991.599999999999"/>
    <n v="0"/>
    <n v="0"/>
    <n v="478.40000000000032"/>
    <n v="4.9033474776049066E-2"/>
    <n v="19.991599999999998"/>
    <n v="0.64972699999999994"/>
    <n v="0.11695085999999999"/>
    <n v="9.9957999999999991E-3"/>
    <n v="20.768273659999995"/>
    <n v="16"/>
    <n v="36.768273659999991"/>
    <n v="441.63172634000034"/>
    <n v="4.5264920806428501E-2"/>
  </r>
  <r>
    <n v="9"/>
    <s v="COALINDIA"/>
    <s v="Dashrathlal"/>
    <d v="2021-02-08T00:00:00"/>
    <n v="142.16"/>
    <x v="7"/>
    <n v="153"/>
    <n v="400.65"/>
    <n v="100"/>
    <n v="14216"/>
    <n v="29515.999999999996"/>
    <n v="0"/>
    <n v="0"/>
    <n v="1084.0000000000005"/>
    <n v="7.6252110298255515E-2"/>
    <n v="29.515999999999998"/>
    <n v="0.95926999999999985"/>
    <n v="0.17266859999999998"/>
    <n v="1.4757999999999997E-2"/>
    <n v="30.6626966"/>
    <n v="59"/>
    <n v="89.662696600000004"/>
    <n v="994.33730340000045"/>
    <n v="6.9944942557681522E-2"/>
  </r>
  <r>
    <n v="10"/>
    <s v="IDEA"/>
    <s v="Ramkishor"/>
    <d v="2021-02-09T00:00:00"/>
    <n v="12.15"/>
    <x v="8"/>
    <n v="0"/>
    <n v="12.02"/>
    <n v="95"/>
    <n v="1154.25"/>
    <n v="1154.25"/>
    <n v="-12.350000000000074"/>
    <n v="-1.069958847736632E-2"/>
    <n v="0"/>
    <n v="0"/>
    <n v="1.15425"/>
    <n v="3.7513124999999994E-2"/>
    <n v="6.7523624999999985E-3"/>
    <n v="5.7712499999999995E-4"/>
    <n v="1.1990926125000001"/>
    <n v="0"/>
    <n v="1.1990926125000001"/>
    <n v="0"/>
    <n v="0"/>
  </r>
  <r>
    <n v="11"/>
    <s v="VIPIND"/>
    <s v="Sudhadevi"/>
    <d v="2021-02-11T00:00:00"/>
    <n v="357.1"/>
    <x v="9"/>
    <n v="378.35"/>
    <n v="366.75"/>
    <n v="34"/>
    <n v="12141.400000000001"/>
    <n v="25005.300000000003"/>
    <n v="0"/>
    <n v="0"/>
    <n v="722.5"/>
    <n v="5.9507140856902827E-2"/>
    <n v="25.005300000000002"/>
    <n v="0.81267224999999998"/>
    <n v="0.14628100499999999"/>
    <n v="1.2502650000000001E-2"/>
    <n v="25.976755904999997"/>
    <n v="16"/>
    <n v="41.976755904999997"/>
    <n v="680.523244095"/>
    <n v="5.6049816668176641E-2"/>
  </r>
  <r>
    <n v="12"/>
    <s v="IDFCFIRSTB"/>
    <s v="Dashrathlal"/>
    <d v="2021-02-15T00:00:00"/>
    <n v="53.9"/>
    <x v="10"/>
    <n v="60"/>
    <n v="84.9"/>
    <n v="100"/>
    <n v="5390"/>
    <n v="11390"/>
    <n v="0"/>
    <n v="0"/>
    <n v="610.00000000000011"/>
    <n v="0.11317254174397035"/>
    <n v="11.39"/>
    <n v="0.37017499999999998"/>
    <n v="6.6631499999999996E-2"/>
    <n v="5.6949999999999995E-3"/>
    <n v="11.832501499999999"/>
    <n v="59"/>
    <n v="70.832501500000006"/>
    <n v="539.16749850000008"/>
    <n v="0.10003107578849724"/>
  </r>
  <r>
    <n v="13"/>
    <s v="FEDERALBNK"/>
    <s v="Dashrathlal"/>
    <d v="2021-02-15T00:00:00"/>
    <n v="84.89"/>
    <x v="11"/>
    <n v="92"/>
    <n v="265.10000000000002"/>
    <n v="50"/>
    <n v="4244.5"/>
    <n v="8844.5"/>
    <n v="0"/>
    <n v="0"/>
    <n v="355.5"/>
    <n v="8.3755448227117432E-2"/>
    <n v="8.8445"/>
    <n v="0.28744624999999996"/>
    <n v="5.174032499999999E-2"/>
    <n v="4.42225E-3"/>
    <n v="9.1881088250000005"/>
    <n v="59"/>
    <n v="68.188108825"/>
    <n v="287.31189117500003"/>
    <n v="6.7690397261161508E-2"/>
  </r>
  <r>
    <n v="14"/>
    <s v="L&amp;TFH"/>
    <s v="Sudhadevi"/>
    <d v="2021-02-15T00:00:00"/>
    <n v="99.7"/>
    <x v="7"/>
    <n v="106"/>
    <s v="#N/A"/>
    <n v="100"/>
    <n v="9970"/>
    <n v="20570"/>
    <n v="0"/>
    <n v="0"/>
    <n v="629.99999999999977"/>
    <n v="6.3189568706118318E-2"/>
    <n v="20.57"/>
    <n v="0.66852499999999992"/>
    <n v="0.12033449999999998"/>
    <n v="1.0284999999999999E-2"/>
    <n v="21.369144499999997"/>
    <n v="16"/>
    <n v="37.369144499999997"/>
    <n v="592.63085549999983"/>
    <n v="5.9441409779337998E-2"/>
  </r>
  <r>
    <n v="15"/>
    <s v="GHCL"/>
    <s v="Sudhadevi"/>
    <d v="2021-02-18T00:00:00"/>
    <n v="214.5"/>
    <x v="12"/>
    <n v="221.45"/>
    <n v="570.35"/>
    <n v="25"/>
    <n v="5362.5"/>
    <n v="10898.75"/>
    <n v="0"/>
    <n v="0"/>
    <n v="173.74999999999972"/>
    <n v="3.240093240093235E-2"/>
    <n v="10.89875"/>
    <n v="0.35420937499999999"/>
    <n v="6.3757687499999993E-2"/>
    <n v="5.4493749999999994E-3"/>
    <n v="11.3221664375"/>
    <n v="16"/>
    <n v="27.322166437500002"/>
    <n v="146.4278335624997"/>
    <n v="2.7305889708624652E-2"/>
  </r>
  <r>
    <n v="16"/>
    <s v="AUROPHARMA"/>
    <s v="Sudhadevi"/>
    <d v="2021-02-25T00:00:00"/>
    <n v="871"/>
    <x v="3"/>
    <n v="940"/>
    <n v="1216.5999999999999"/>
    <n v="10"/>
    <n v="8710"/>
    <n v="18110"/>
    <n v="0"/>
    <n v="0"/>
    <n v="690"/>
    <n v="7.9219288174512056E-2"/>
    <n v="18.11"/>
    <n v="0.58857499999999996"/>
    <n v="0.10594349999999998"/>
    <n v="9.0549999999999988E-3"/>
    <n v="18.813573499999997"/>
    <n v="16"/>
    <n v="34.813573499999997"/>
    <n v="655.18642650000004"/>
    <n v="7.5222322215843865E-2"/>
  </r>
  <r>
    <n v="17"/>
    <s v="ITC"/>
    <s v="Dashrathlal"/>
    <d v="2021-02-25T00:00:00"/>
    <n v="210.2"/>
    <x v="13"/>
    <n v="212"/>
    <n v="408.85"/>
    <n v="70"/>
    <n v="14714"/>
    <n v="29554"/>
    <n v="0"/>
    <n v="0"/>
    <n v="126.0000000000008"/>
    <n v="8.5632730732636136E-3"/>
    <n v="29.554000000000002"/>
    <n v="0.96050499999999994"/>
    <n v="0.17289089999999999"/>
    <n v="1.4776999999999998E-2"/>
    <n v="30.702172900000001"/>
    <n v="59"/>
    <n v="89.702172899999994"/>
    <n v="36.297827100000802"/>
    <n v="2.4668905192334377E-3"/>
  </r>
  <r>
    <n v="18"/>
    <s v="IBULHSGFIN"/>
    <s v="Dashrathlal"/>
    <d v="2021-02-25T00:00:00"/>
    <n v="226"/>
    <x v="14"/>
    <n v="243.5"/>
    <s v="#N/A"/>
    <n v="40"/>
    <n v="9040"/>
    <n v="18780"/>
    <n v="0"/>
    <n v="0"/>
    <n v="700"/>
    <n v="7.7433628318584066E-2"/>
    <n v="18.78"/>
    <n v="0.61034999999999995"/>
    <n v="0.10986299999999999"/>
    <n v="9.389999999999999E-3"/>
    <n v="19.509603000000002"/>
    <n v="59"/>
    <n v="78.509602999999998"/>
    <n v="621.49039700000003"/>
    <n v="6.874893772123894E-2"/>
  </r>
  <r>
    <n v="19"/>
    <s v="ICICIBANK"/>
    <s v="Kamal"/>
    <d v="2021-02-26T00:00:00"/>
    <n v="595.9"/>
    <x v="8"/>
    <n v="0"/>
    <n v="1362.4"/>
    <n v="20"/>
    <n v="11918"/>
    <n v="11918"/>
    <n v="15330.000000000002"/>
    <n v="1.2862896459137441"/>
    <n v="0"/>
    <n v="0"/>
    <n v="11.918000000000001"/>
    <n v="0.38733499999999998"/>
    <n v="6.9720299999999999E-2"/>
    <n v="5.9589999999999999E-3"/>
    <n v="12.381014300000002"/>
    <n v="0"/>
    <n v="12.381014300000002"/>
    <n v="0"/>
    <n v="0"/>
  </r>
  <r>
    <n v="20"/>
    <s v="RAILTEL"/>
    <s v="Sudhadevi"/>
    <d v="2021-02-24T00:00:00"/>
    <n v="94"/>
    <x v="15"/>
    <n v="111.85"/>
    <n v="360"/>
    <n v="155"/>
    <n v="14570"/>
    <n v="31906.75"/>
    <n v="0"/>
    <n v="0"/>
    <n v="2766.7499999999991"/>
    <n v="0.18989361702127652"/>
    <n v="31.906750000000002"/>
    <n v="1.036969375"/>
    <n v="0.18665448749999999"/>
    <n v="1.5953374999999999E-2"/>
    <n v="33.146327237500003"/>
    <n v="16"/>
    <n v="49.146327237500003"/>
    <n v="2717.6036727624992"/>
    <n v="0.18652049916008917"/>
  </r>
  <r>
    <n v="21"/>
    <s v="EXIDEIND"/>
    <s v="Sudhadevi"/>
    <d v="2021-03-02T00:00:00"/>
    <n v="210"/>
    <x v="8"/>
    <n v="0"/>
    <n v="370.5"/>
    <n v="50"/>
    <n v="10500"/>
    <n v="10500"/>
    <n v="8025"/>
    <n v="0.76428571428571423"/>
    <n v="0"/>
    <n v="0"/>
    <n v="10.5"/>
    <n v="0.34125"/>
    <n v="6.1425E-2"/>
    <n v="5.2499999999999995E-3"/>
    <n v="10.907925000000001"/>
    <n v="0"/>
    <n v="10.907925000000001"/>
    <n v="0"/>
    <n v="0"/>
  </r>
  <r>
    <n v="22"/>
    <s v="BANKBARODA"/>
    <s v="Dashrathlal"/>
    <d v="2021-03-03T00:00:00"/>
    <n v="86.2"/>
    <x v="16"/>
    <n v="103"/>
    <n v="292.89999999999998"/>
    <n v="60"/>
    <n v="5172"/>
    <n v="11352"/>
    <n v="0"/>
    <n v="0"/>
    <n v="1007.9999999999998"/>
    <n v="0.19489559164733175"/>
    <n v="11.352"/>
    <n v="0.36893999999999999"/>
    <n v="6.6409200000000002E-2"/>
    <n v="5.6759999999999996E-3"/>
    <n v="11.793025200000001"/>
    <n v="16"/>
    <n v="27.793025200000002"/>
    <n v="980.20697479999978"/>
    <n v="0.18952184354214999"/>
  </r>
  <r>
    <n v="23"/>
    <s v="RECLTD"/>
    <s v="Sudhadevi"/>
    <d v="2021-03-03T00:00:00"/>
    <n v="146.6"/>
    <x v="17"/>
    <n v="152"/>
    <n v="354"/>
    <n v="50"/>
    <n v="7330"/>
    <n v="14930.000000000002"/>
    <n v="0"/>
    <n v="0"/>
    <n v="270.00000000000028"/>
    <n v="3.6834924965893627E-2"/>
    <n v="14.930000000000001"/>
    <n v="0.48522500000000002"/>
    <n v="8.7340500000000001E-2"/>
    <n v="7.4650000000000003E-3"/>
    <n v="15.510030500000001"/>
    <n v="16"/>
    <n v="31.510030499999999"/>
    <n v="238.48996950000029"/>
    <n v="3.2536148635743556E-2"/>
  </r>
  <r>
    <n v="24"/>
    <s v="BANDHANBNK"/>
    <s v="Dashrathlal"/>
    <d v="2021-03-04T00:00:00"/>
    <n v="360"/>
    <x v="18"/>
    <n v="365"/>
    <n v="149.56"/>
    <n v="27"/>
    <n v="9720"/>
    <n v="19575"/>
    <n v="0"/>
    <n v="0"/>
    <n v="135"/>
    <n v="1.3888888888888888E-2"/>
    <n v="19.574999999999999"/>
    <n v="0.63618749999999991"/>
    <n v="0.11451374999999998"/>
    <n v="9.7874999999999993E-3"/>
    <n v="20.33548875"/>
    <n v="59"/>
    <n v="79.335488749999996"/>
    <n v="55.664511250000004"/>
    <n v="5.7268015689300412E-3"/>
  </r>
  <r>
    <n v="25"/>
    <s v="IDEA"/>
    <s v="Sudhadevi"/>
    <d v="2021-03-05T00:00:00"/>
    <n v="10.7"/>
    <x v="8"/>
    <n v="0"/>
    <n v="12.02"/>
    <n v="100"/>
    <n v="1070"/>
    <n v="1070"/>
    <n v="132.00000000000003"/>
    <n v="0.12336448598130845"/>
    <n v="0"/>
    <n v="0"/>
    <n v="1.07"/>
    <n v="3.4775E-2"/>
    <n v="6.2594999999999994E-3"/>
    <n v="5.3499999999999999E-4"/>
    <n v="1.1115695000000001"/>
    <n v="0"/>
    <n v="1.1115695000000001"/>
    <n v="0"/>
    <n v="0"/>
  </r>
  <r>
    <n v="26"/>
    <s v="IEX"/>
    <s v="Sudhadevi"/>
    <d v="2021-03-12T00:00:00"/>
    <n v="331"/>
    <x v="19"/>
    <n v="345"/>
    <n v="142.07"/>
    <n v="10"/>
    <n v="3310"/>
    <n v="6760"/>
    <n v="0"/>
    <n v="0"/>
    <n v="140"/>
    <n v="4.2296072507552872E-2"/>
    <n v="6.76"/>
    <n v="0.21969999999999998"/>
    <n v="3.9545999999999998E-2"/>
    <n v="3.3799999999999998E-3"/>
    <n v="7.0226259999999989"/>
    <n v="16"/>
    <n v="23.022625999999999"/>
    <n v="116.977374"/>
    <n v="3.5340596374622356E-2"/>
  </r>
  <r>
    <n v="27"/>
    <s v="MTARTECH"/>
    <s v="Kamal"/>
    <d v="2021-03-05T00:00:00"/>
    <n v="575"/>
    <x v="19"/>
    <n v="1090"/>
    <n v="2429.6"/>
    <n v="26"/>
    <n v="14950"/>
    <n v="43290"/>
    <n v="0"/>
    <n v="0"/>
    <n v="13390"/>
    <n v="0.89565217391304353"/>
    <n v="43.29"/>
    <n v="1.406925"/>
    <n v="0.25324649999999999"/>
    <n v="2.1644999999999998E-2"/>
    <n v="44.971816500000003"/>
    <n v="16"/>
    <n v="60.971816500000003"/>
    <n v="13329.028183500001"/>
    <n v="0.89157379153846161"/>
  </r>
  <r>
    <n v="28"/>
    <s v="ADANIPORTS"/>
    <s v="Sudhadevi"/>
    <d v="2021-03-22T00:00:00"/>
    <n v="722.5"/>
    <x v="20"/>
    <n v="782.5"/>
    <n v="1492.8"/>
    <n v="5"/>
    <n v="3612.5"/>
    <n v="7525"/>
    <n v="0"/>
    <n v="0"/>
    <n v="300"/>
    <n v="8.3044982698961933E-2"/>
    <n v="7.5250000000000004"/>
    <n v="0.24456249999999999"/>
    <n v="4.4021249999999998E-2"/>
    <n v="3.7624999999999998E-3"/>
    <n v="7.8173462499999999"/>
    <n v="16"/>
    <n v="23.81734625"/>
    <n v="276.18265374999999"/>
    <n v="7.6451945674740479E-2"/>
  </r>
  <r>
    <n v="29"/>
    <s v="ADANIPORTS"/>
    <s v="Sudhadevi"/>
    <d v="2021-03-23T00:00:00"/>
    <n v="745"/>
    <x v="21"/>
    <n v="815"/>
    <n v="1492.8"/>
    <n v="4"/>
    <n v="2980"/>
    <n v="6240"/>
    <n v="0"/>
    <n v="0"/>
    <n v="280"/>
    <n v="9.3959731543624164E-2"/>
    <n v="6.24"/>
    <n v="0.20279999999999998"/>
    <n v="3.6503999999999995E-2"/>
    <n v="3.1199999999999999E-3"/>
    <n v="6.482424"/>
    <n v="16"/>
    <n v="22.482424000000002"/>
    <n v="257.51757600000002"/>
    <n v="8.6415293959731548E-2"/>
  </r>
  <r>
    <n v="30"/>
    <s v="ITC"/>
    <s v="Dashrathlal"/>
    <d v="2021-04-05T00:00:00"/>
    <n v="213.9"/>
    <x v="22"/>
    <n v="243"/>
    <n v="408.85"/>
    <n v="50"/>
    <n v="10695"/>
    <n v="22845"/>
    <n v="0"/>
    <n v="0"/>
    <n v="1454.9999999999998"/>
    <n v="0.13604488078541371"/>
    <n v="22.844999999999999"/>
    <n v="0.74246249999999991"/>
    <n v="0.13364324999999999"/>
    <n v="1.1422499999999999E-2"/>
    <n v="23.732528249999994"/>
    <n v="16"/>
    <n v="39.732528249999994"/>
    <n v="1415.2674717499997"/>
    <n v="0.13232982438055163"/>
  </r>
  <r>
    <n v="31"/>
    <s v="ICICIBANK"/>
    <s v="Sudhadevi"/>
    <d v="2021-04-06T00:00:00"/>
    <n v="572.6"/>
    <x v="23"/>
    <n v="595"/>
    <n v="1362.4"/>
    <n v="20"/>
    <n v="11452"/>
    <n v="23352"/>
    <n v="0"/>
    <n v="0"/>
    <n v="447.99999999999955"/>
    <n v="3.9119804400977953E-2"/>
    <n v="23.352"/>
    <n v="0.75893999999999995"/>
    <n v="0.13660919999999999"/>
    <n v="1.1675999999999999E-2"/>
    <n v="24.259225199999999"/>
    <n v="16"/>
    <n v="40.259225200000003"/>
    <n v="407.74077479999954"/>
    <n v="3.5604328920712497E-2"/>
  </r>
  <r>
    <n v="32"/>
    <s v="ADANIPOWER"/>
    <s v="Sudhadevi"/>
    <d v="2021-04-16T00:00:00"/>
    <n v="94"/>
    <x v="24"/>
    <n v="99.2"/>
    <n v="144.38"/>
    <n v="100"/>
    <n v="9400"/>
    <n v="19320"/>
    <n v="0"/>
    <n v="0"/>
    <n v="520.00000000000023"/>
    <n v="5.5319148936170244E-2"/>
    <n v="19.32"/>
    <n v="0.6278999999999999"/>
    <n v="0.11302199999999998"/>
    <n v="9.6600000000000002E-3"/>
    <n v="20.070582000000002"/>
    <n v="16"/>
    <n v="36.070582000000002"/>
    <n v="483.92941800000023"/>
    <n v="5.148185297872343E-2"/>
  </r>
  <r>
    <n v="33"/>
    <s v="TATAPOWER"/>
    <s v="Sudhadevi"/>
    <d v="2021-04-16T00:00:00"/>
    <n v="97.6"/>
    <x v="25"/>
    <n v="101"/>
    <n v="382.4"/>
    <n v="100"/>
    <n v="9760"/>
    <n v="19860"/>
    <n v="0"/>
    <n v="0"/>
    <n v="340.00000000000057"/>
    <n v="3.4836065573770551E-2"/>
    <n v="19.86"/>
    <n v="0.64544999999999997"/>
    <n v="0.11618099999999999"/>
    <n v="9.9299999999999996E-3"/>
    <n v="20.631561000000001"/>
    <n v="16"/>
    <n v="36.631561000000005"/>
    <n v="303.36843900000054"/>
    <n v="3.1082831864754152E-2"/>
  </r>
  <r>
    <n v="34"/>
    <s v="SBIN"/>
    <s v="Sudhadevi"/>
    <d v="2021-04-28T00:00:00"/>
    <n v="360"/>
    <x v="26"/>
    <n v="372.35"/>
    <n v="971.25"/>
    <n v="30"/>
    <n v="10800"/>
    <n v="21970.5"/>
    <n v="0"/>
    <n v="0"/>
    <n v="370.50000000000068"/>
    <n v="3.4305555555555617E-2"/>
    <n v="21.970500000000001"/>
    <n v="0.71404124999999996"/>
    <n v="0.128527425"/>
    <n v="1.098525E-2"/>
    <n v="22.824053925000005"/>
    <n v="16"/>
    <n v="38.824053925000001"/>
    <n v="331.6759460750007"/>
    <n v="3.071073574768525E-2"/>
  </r>
  <r>
    <n v="35"/>
    <s v="AXISBANK"/>
    <s v="Sudhadevi"/>
    <d v="2021-04-29T00:00:00"/>
    <n v="714"/>
    <x v="24"/>
    <n v="723.4"/>
    <n v="1224.5"/>
    <n v="27"/>
    <n v="19278"/>
    <n v="38809.800000000003"/>
    <n v="0"/>
    <n v="0"/>
    <n v="253.79999999999939"/>
    <n v="1.3165266106442546E-2"/>
    <n v="38.809800000000003"/>
    <n v="1.2613185"/>
    <n v="0.22703732999999998"/>
    <n v="1.9404899999999999E-2"/>
    <n v="40.317560730000004"/>
    <n v="16"/>
    <n v="20.92"/>
    <n v="232.87999999999937"/>
    <n v="1.2080091295777537E-2"/>
  </r>
  <r>
    <n v="36"/>
    <s v="ONGC"/>
    <s v="Sudhadevi"/>
    <d v="2021-05-04T00:00:00"/>
    <n v="109.6"/>
    <x v="27"/>
    <n v="114"/>
    <n v="235.4"/>
    <n v="50"/>
    <n v="5480"/>
    <n v="11180"/>
    <n v="0"/>
    <n v="0"/>
    <n v="220.00000000000028"/>
    <n v="4.0145985401459909E-2"/>
    <n v="11.18"/>
    <n v="0.36334999999999995"/>
    <n v="6.5402999999999989E-2"/>
    <n v="5.5899999999999995E-3"/>
    <n v="11.614343"/>
    <n v="16"/>
    <n v="27.614342999999998"/>
    <n v="192.38565700000029"/>
    <n v="3.5106871715328523E-2"/>
  </r>
  <r>
    <n v="37"/>
    <s v="HDFCLIFE"/>
    <s v="Sudhadevi"/>
    <d v="2021-05-07T00:00:00"/>
    <n v="677.6"/>
    <x v="5"/>
    <n v="685.75"/>
    <n v="763"/>
    <n v="20"/>
    <n v="13552"/>
    <n v="27267"/>
    <n v="0"/>
    <n v="0"/>
    <n v="162.99999999999955"/>
    <n v="1.2027744982290403E-2"/>
    <n v="27.266999999999999"/>
    <n v="0.88617749999999995"/>
    <n v="0.15951194999999999"/>
    <n v="1.36335E-2"/>
    <n v="28.326322949999998"/>
    <n v="16"/>
    <n v="44.326322949999998"/>
    <n v="118.67367704999955"/>
    <n v="8.7569124151416437E-3"/>
  </r>
  <r>
    <n v="38"/>
    <s v="TCS"/>
    <s v="Sudhadevi"/>
    <d v="2021-05-08T00:00:00"/>
    <n v="3150"/>
    <x v="5"/>
    <n v="3204"/>
    <n v="3305.1"/>
    <n v="4"/>
    <n v="12600"/>
    <n v="25416"/>
    <n v="0"/>
    <n v="0"/>
    <n v="216"/>
    <n v="1.7142857142857144E-2"/>
    <n v="25.416"/>
    <n v="0.82601999999999998"/>
    <n v="0.1486836"/>
    <n v="1.2707999999999999E-2"/>
    <n v="26.403411599999998"/>
    <n v="16"/>
    <n v="42.403411599999998"/>
    <n v="173.5965884"/>
    <n v="1.3777507015873016E-2"/>
  </r>
  <r>
    <n v="39"/>
    <s v="GRASIM"/>
    <s v="Sudhadevi"/>
    <d v="2021-05-18T00:00:00"/>
    <n v="1425"/>
    <x v="28"/>
    <n v="1486"/>
    <n v="2823.1"/>
    <n v="5"/>
    <n v="7125"/>
    <n v="14555"/>
    <n v="0"/>
    <n v="0"/>
    <n v="305"/>
    <n v="4.2807017543859648E-2"/>
    <n v="14.555"/>
    <n v="0.47303749999999994"/>
    <n v="8.5146749999999993E-2"/>
    <n v="7.2774999999999992E-3"/>
    <n v="15.12046175"/>
    <n v="16"/>
    <n v="31.12046175"/>
    <n v="273.87953825"/>
    <n v="3.8439233438596489E-2"/>
  </r>
  <r>
    <n v="40"/>
    <s v="TATACONSUM"/>
    <s v="Sudhadevi"/>
    <d v="2021-05-31T00:00:00"/>
    <n v="652.9"/>
    <x v="29"/>
    <n v="679.5"/>
    <n v="1185.2"/>
    <n v="18"/>
    <n v="11752.199999999999"/>
    <n v="23983.200000000001"/>
    <n v="0"/>
    <n v="0"/>
    <n v="478.80000000000041"/>
    <n v="4.074130801041511E-2"/>
    <n v="23.9832"/>
    <n v="0.77945399999999998"/>
    <n v="0.14030171999999999"/>
    <n v="1.19916E-2"/>
    <n v="24.914947320000003"/>
    <n v="16"/>
    <n v="40.914947320000003"/>
    <n v="437.8850526800004"/>
    <n v="3.7259836684195337E-2"/>
  </r>
  <r>
    <n v="41"/>
    <s v="DABUR"/>
    <s v="Sudhadevi"/>
    <d v="2021-06-07T00:00:00"/>
    <n v="545.85"/>
    <x v="5"/>
    <n v="556.4"/>
    <n v="493.45"/>
    <n v="20"/>
    <n v="10917"/>
    <n v="22045"/>
    <n v="0"/>
    <n v="0"/>
    <n v="210.99999999999909"/>
    <n v="1.9327654117431446E-2"/>
    <n v="22.045000000000002"/>
    <n v="0.71646249999999989"/>
    <n v="0.12896324999999997"/>
    <n v="1.1022499999999999E-2"/>
    <n v="22.901448249999998"/>
    <n v="16"/>
    <n v="38.901448250000001"/>
    <n v="172.0985517499991"/>
    <n v="1.5764271480260064E-2"/>
  </r>
  <r>
    <n v="42"/>
    <s v="SUNPHARMA"/>
    <s v="Sudhadevi"/>
    <d v="2021-06-28T00:00:00"/>
    <n v="674.25"/>
    <x v="30"/>
    <n v="678.85"/>
    <n v="1753.4"/>
    <n v="20"/>
    <n v="13485"/>
    <n v="27062"/>
    <n v="0"/>
    <n v="0"/>
    <n v="92.000000000000455"/>
    <n v="6.8223952539859436E-3"/>
    <n v="27.062000000000001"/>
    <n v="0.87951499999999994"/>
    <n v="0.15831269999999997"/>
    <n v="1.3531E-2"/>
    <n v="28.113358700000003"/>
    <n v="16"/>
    <n v="44.113358700000006"/>
    <n v="47.886641300000448"/>
    <n v="3.5511042862440079E-3"/>
  </r>
  <r>
    <n v="43"/>
    <s v="LUPIN"/>
    <s v="Sudhadevi"/>
    <d v="2021-06-29T00:00:00"/>
    <n v="1166.5"/>
    <x v="30"/>
    <n v="1097.25"/>
    <n v="2108.5"/>
    <n v="11"/>
    <n v="12831.5"/>
    <n v="24901.25"/>
    <n v="0"/>
    <n v="0"/>
    <n v="-761.75"/>
    <n v="-5.9365623660522934E-2"/>
    <n v="24.901250000000001"/>
    <n v="0.80929062499999993"/>
    <n v="0.14567231249999998"/>
    <n v="1.2450625E-2"/>
    <n v="25.8686635625"/>
    <n v="16"/>
    <n v="41.868663562500004"/>
    <n v="-803.61866356250005"/>
    <n v="-6.2628583062190712E-2"/>
  </r>
  <r>
    <n v="44"/>
    <s v="TATAMOTORS"/>
    <s v="Sudhadevi"/>
    <d v="2021-07-16T00:00:00"/>
    <n v="312.3"/>
    <x v="31"/>
    <n v="333.1"/>
    <s v="#N/A"/>
    <n v="40"/>
    <n v="12492"/>
    <n v="25816.000000000004"/>
    <n v="0"/>
    <n v="0"/>
    <n v="832.00000000000045"/>
    <n v="6.6602625680435512E-2"/>
    <n v="25.816000000000003"/>
    <n v="0.8390200000000001"/>
    <n v="0.15102360000000001"/>
    <n v="1.2908000000000001E-2"/>
    <n v="26.818951600000002"/>
    <n v="16"/>
    <n v="42.818951600000005"/>
    <n v="789.18104840000046"/>
    <n v="6.3174915818123636E-2"/>
  </r>
  <r>
    <n v="45"/>
    <s v="ZOMATO"/>
    <s v="Sudhadevi"/>
    <d v="2021-07-23T00:00:00"/>
    <n v="76"/>
    <x v="32"/>
    <n v="121.08"/>
    <s v="#N/A"/>
    <n v="120"/>
    <n v="9120"/>
    <n v="23649.599999999999"/>
    <n v="0"/>
    <n v="0"/>
    <n v="5409.5999999999995"/>
    <n v="0.59315789473684211"/>
    <n v="23.6496"/>
    <n v="0.76861199999999985"/>
    <n v="0.13835015999999997"/>
    <n v="1.1824799999999998E-2"/>
    <n v="24.568386960000002"/>
    <n v="16"/>
    <n v="40.568386959999998"/>
    <n v="5369.0316130399997"/>
    <n v="0.58870960669298245"/>
  </r>
  <r>
    <n v="46"/>
    <s v="ZOMATO"/>
    <s v="Sudhadevi"/>
    <d v="2021-07-23T00:00:00"/>
    <n v="76"/>
    <x v="8"/>
    <n v="0"/>
    <s v="#N/A"/>
    <n v="75"/>
    <n v="5700"/>
    <n v="5700"/>
    <e v="#VALUE!"/>
    <e v="#VALUE!"/>
    <n v="0"/>
    <n v="0"/>
    <n v="5.7"/>
    <n v="0.18524999999999997"/>
    <n v="3.3344999999999993E-2"/>
    <n v="2.8499999999999997E-3"/>
    <n v="5.9214449999999994"/>
    <n v="0"/>
    <n v="5.9214449999999994"/>
    <n v="0"/>
    <n v="0"/>
  </r>
  <r>
    <n v="47"/>
    <s v="HDFC"/>
    <s v="Sudhadevi"/>
    <d v="2021-08-13T00:00:00"/>
    <n v="2700"/>
    <x v="33"/>
    <n v="2854"/>
    <s v="#N/A"/>
    <n v="4"/>
    <n v="10800"/>
    <n v="22216"/>
    <n v="0"/>
    <n v="0"/>
    <n v="616"/>
    <n v="5.7037037037037039E-2"/>
    <n v="22.216000000000001"/>
    <n v="0.72201999999999988"/>
    <n v="0.12996359999999998"/>
    <n v="1.1108E-2"/>
    <n v="23.079091600000002"/>
    <n v="16"/>
    <n v="39.079091599999998"/>
    <n v="576.92090840000003"/>
    <n v="5.3418602629629636E-2"/>
  </r>
  <r>
    <n v="48"/>
    <s v="DWARKESH"/>
    <s v="Dashrathlal"/>
    <d v="2021-08-26T00:00:00"/>
    <n v="74.05"/>
    <x v="34"/>
    <n v="77.05"/>
    <n v="37.5"/>
    <n v="100"/>
    <n v="7405"/>
    <n v="15110"/>
    <n v="0"/>
    <n v="0"/>
    <n v="300"/>
    <n v="4.051316677920324E-2"/>
    <n v="15.11"/>
    <n v="0.49107499999999998"/>
    <n v="8.83935E-2"/>
    <n v="7.5550000000000001E-3"/>
    <n v="15.6970235"/>
    <n v="16"/>
    <n v="31.6970235"/>
    <n v="268.3029765"/>
    <n v="3.6232677447670496E-2"/>
  </r>
  <r>
    <n v="48"/>
    <s v="TATACONSUM"/>
    <s v="Dashrathlal"/>
    <d v="2021-09-27T00:00:00"/>
    <n v="834.65"/>
    <x v="8"/>
    <n v="0"/>
    <n v="1185.2"/>
    <n v="12"/>
    <n v="10015.799999999999"/>
    <n v="10015.799999999999"/>
    <n v="4206.6000000000004"/>
    <n v="0.41999640567902724"/>
    <n v="0"/>
    <n v="0"/>
    <n v="10.015799999999999"/>
    <n v="0.32551349999999996"/>
    <n v="5.8592429999999987E-2"/>
    <n v="5.0078999999999992E-3"/>
    <n v="10.404913829999998"/>
    <n v="0"/>
    <n v="10.404913829999998"/>
    <n v="0"/>
    <n v="0"/>
  </r>
  <r>
    <n v="49"/>
    <s v="KPRMILL"/>
    <s v="Dashrathlal"/>
    <d v="2021-10-05T00:00:00"/>
    <n v="434.2"/>
    <x v="35"/>
    <n v="480"/>
    <n v="951.5"/>
    <n v="30"/>
    <n v="13026"/>
    <n v="27426"/>
    <n v="0"/>
    <n v="0"/>
    <n v="1374.0000000000005"/>
    <n v="0.10548134500230312"/>
    <n v="27.426000000000002"/>
    <n v="0.89134499999999994"/>
    <n v="0.16044209999999998"/>
    <n v="1.3712999999999999E-2"/>
    <n v="28.491500100000003"/>
    <n v="16"/>
    <n v="44.491500100000003"/>
    <n v="1329.5084999000005"/>
    <n v="0.1020657531014893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1"/>
    <s v="WIPRO"/>
    <s v="Sudhadevi"/>
    <d v="2022-01-04T00:00:00"/>
    <n v="714.25"/>
    <x v="0"/>
    <n v="0"/>
    <n v="271.3"/>
    <n v="18"/>
    <n v="12856.5"/>
    <n v="12856.5"/>
    <n v="-7973.0999999999995"/>
    <n v="-0.62016100805040253"/>
    <n v="0"/>
    <n v="0"/>
    <n v="12.8565"/>
    <n v="0.41783624999999996"/>
    <n v="7.5210524999999986E-2"/>
    <n v="6.4282499999999999E-3"/>
    <n v="13.355975025000001"/>
    <n v="0"/>
    <n v="13.355975025000001"/>
    <n v="0"/>
    <n v="0"/>
  </r>
  <r>
    <n v="2"/>
    <s v="GRASIM"/>
    <s v="Sudhadevi"/>
    <d v="2022-01-04T00:00:00"/>
    <n v="1669"/>
    <x v="1"/>
    <n v="1853.85"/>
    <n v="2823.1"/>
    <n v="7"/>
    <n v="11683"/>
    <n v="24659.95"/>
    <n v="0"/>
    <n v="0"/>
    <n v="1293.9499999999994"/>
    <n v="0.11075494307968838"/>
    <n v="24.659950000000002"/>
    <n v="0.80144837499999999"/>
    <n v="0.1442607075"/>
    <n v="1.2329975E-2"/>
    <n v="25.617989057500001"/>
    <n v="15.34"/>
    <n v="40.957989057500001"/>
    <n v="1252.9920109424993"/>
    <n v="0.10724916639069582"/>
  </r>
  <r>
    <n v="3"/>
    <s v="HDFC"/>
    <s v="Sudhadevi"/>
    <d v="2022-01-04T00:00:00"/>
    <n v="2645.75"/>
    <x v="2"/>
    <n v="2652.03"/>
    <s v="#N/A"/>
    <n v="4"/>
    <n v="10583"/>
    <n v="21191.120000000003"/>
    <n v="0"/>
    <n v="0"/>
    <n v="25.1200000000008"/>
    <n v="2.3736180667108383E-3"/>
    <n v="21.191120000000002"/>
    <n v="0.68871139999999997"/>
    <n v="0.123968052"/>
    <n v="1.059556E-2"/>
    <n v="22.014395011999998"/>
    <n v="15.34"/>
    <n v="37.354395011999998"/>
    <n v="-12.234395011999197"/>
    <n v="-1.1560422386846072E-3"/>
  </r>
  <r>
    <n v="4"/>
    <s v="TATAPOWER"/>
    <s v="Sudhadevi"/>
    <d v="2022-01-04T00:00:00"/>
    <n v="225.15"/>
    <x v="0"/>
    <n v="0"/>
    <n v="382.4"/>
    <n v="22"/>
    <n v="4953.3"/>
    <n v="4953.3"/>
    <n v="3459.4999999999995"/>
    <n v="0.69842327337330656"/>
    <n v="0"/>
    <n v="0"/>
    <n v="4.9533000000000005"/>
    <n v="0.16098224999999999"/>
    <n v="2.8976804999999998E-2"/>
    <n v="2.4766499999999999E-3"/>
    <n v="5.1457357050000008"/>
    <n v="0"/>
    <n v="5.1457357050000008"/>
    <n v="0"/>
    <n v="0"/>
  </r>
  <r>
    <n v="5"/>
    <s v="TATAPOWER"/>
    <s v="Sudhadevi"/>
    <d v="2022-01-04T00:00:00"/>
    <n v="225.15"/>
    <x v="3"/>
    <n v="293.55"/>
    <n v="382.4"/>
    <n v="30"/>
    <n v="6754.5"/>
    <n v="15561.000000000002"/>
    <n v="0"/>
    <n v="0"/>
    <n v="2052"/>
    <n v="0.30379746835443039"/>
    <n v="15.561000000000002"/>
    <n v="0.50573250000000003"/>
    <n v="9.1031849999999997E-2"/>
    <n v="7.780500000000001E-3"/>
    <n v="16.16554485"/>
    <n v="15.34"/>
    <n v="31.50554485"/>
    <n v="2020.49445515"/>
    <n v="0.29913308981419795"/>
  </r>
  <r>
    <n v="6"/>
    <s v="HDFCBANK"/>
    <s v="Ramkishor"/>
    <d v="2022-01-04T00:00:00"/>
    <n v="1520"/>
    <x v="4"/>
    <n v="1539.1"/>
    <n v="997"/>
    <n v="10"/>
    <n v="15200"/>
    <n v="30591"/>
    <n v="0"/>
    <n v="0"/>
    <n v="190.99999999999909"/>
    <n v="1.256578947368415E-2"/>
    <n v="30.591000000000001"/>
    <n v="0.99420749999999991"/>
    <n v="0.17895734999999999"/>
    <n v="1.52955E-2"/>
    <n v="31.779460350000004"/>
    <n v="23.6"/>
    <n v="55.379460350000002"/>
    <n v="135.6205396499991"/>
    <n v="8.9224039243420462E-3"/>
  </r>
  <r>
    <n v="7"/>
    <s v="LT"/>
    <s v="Ramkishor"/>
    <d v="2022-01-04T00:00:00"/>
    <n v="1938"/>
    <x v="4"/>
    <n v="1985.3"/>
    <n v="4070"/>
    <n v="15"/>
    <n v="29070"/>
    <n v="58849.5"/>
    <n v="0"/>
    <n v="0"/>
    <n v="709.49999999999932"/>
    <n v="2.4406604747162001E-2"/>
    <n v="58.849499999999999"/>
    <n v="1.9126087499999997"/>
    <n v="0.34426957499999994"/>
    <n v="2.942475E-2"/>
    <n v="61.135803074999991"/>
    <n v="23.6"/>
    <n v="84.735803074999993"/>
    <n v="624.76419692499928"/>
    <n v="2.1491716440488452E-2"/>
  </r>
  <r>
    <n v="8"/>
    <s v="HCLTECH"/>
    <s v="Dashrathlal"/>
    <d v="2022-01-07T00:00:00"/>
    <n v="1293.3"/>
    <x v="0"/>
    <n v="0"/>
    <n v="1674.8"/>
    <n v="10"/>
    <n v="12933"/>
    <n v="12933"/>
    <n v="3815"/>
    <n v="0.29498182942859352"/>
    <n v="0"/>
    <n v="0"/>
    <n v="12.933"/>
    <n v="0.42032249999999999"/>
    <n v="7.5658049999999991E-2"/>
    <n v="6.4665E-3"/>
    <n v="13.435447049999999"/>
    <n v="0"/>
    <n v="13.435447049999999"/>
    <n v="0"/>
    <n v="0"/>
  </r>
  <r>
    <n v="9"/>
    <s v="HCLTECH"/>
    <s v="Dashrathlal"/>
    <d v="2022-01-28T00:00:00"/>
    <n v="1090.7"/>
    <x v="0"/>
    <n v="0"/>
    <n v="1674.8"/>
    <n v="7"/>
    <n v="7634.9000000000005"/>
    <n v="7634.9000000000005"/>
    <n v="4088.6999999999994"/>
    <n v="0.53552764279820286"/>
    <n v="0"/>
    <n v="0"/>
    <n v="7.6349000000000009"/>
    <n v="0.24813425"/>
    <n v="4.4664164999999999E-2"/>
    <n v="3.81745E-3"/>
    <n v="7.9315158650000006"/>
    <n v="0"/>
    <n v="7.9315158650000006"/>
    <n v="0"/>
    <n v="0"/>
  </r>
  <r>
    <n v="10"/>
    <s v="MINDTREE"/>
    <s v="Sudhadevi"/>
    <d v="2022-01-28T00:00:00"/>
    <n v="3741.85"/>
    <x v="5"/>
    <n v="4107.05"/>
    <n v="3400"/>
    <n v="3"/>
    <n v="11225.55"/>
    <n v="23546.699999999997"/>
    <n v="0"/>
    <n v="0"/>
    <n v="1095.6000000000008"/>
    <n v="9.7598781351470598E-2"/>
    <n v="23.546699999999998"/>
    <n v="0.7652677499999998"/>
    <n v="0.13774819499999996"/>
    <n v="1.1773349999999998E-2"/>
    <n v="24.461489294999996"/>
    <n v="16"/>
    <n v="40.461489294999993"/>
    <n v="1055.1385107050007"/>
    <n v="9.3994370939954011E-2"/>
  </r>
  <r>
    <n v="11"/>
    <s v="AWL"/>
    <s v="Ramkishor"/>
    <d v="2022-02-08T00:00:00"/>
    <n v="230"/>
    <x v="6"/>
    <n v="248"/>
    <n v="238.85"/>
    <n v="65"/>
    <n v="14950"/>
    <n v="31070"/>
    <n v="0"/>
    <n v="0"/>
    <n v="1170"/>
    <n v="7.8260869565217397E-2"/>
    <n v="31.07"/>
    <n v="1.0097749999999999"/>
    <n v="0.18175949999999996"/>
    <n v="1.5534999999999998E-2"/>
    <n v="32.277069499999996"/>
    <n v="16"/>
    <n v="48.277069499999996"/>
    <n v="1121.7229305000001"/>
    <n v="7.5031634147157189E-2"/>
  </r>
  <r>
    <n v="12"/>
    <s v="HINDUNILVR"/>
    <s v="Ramkishor"/>
    <d v="2022-03-09T00:00:00"/>
    <n v="1990"/>
    <x v="7"/>
    <n v="2093"/>
    <n v="2298.1"/>
    <n v="8"/>
    <n v="15920"/>
    <n v="32664"/>
    <n v="0"/>
    <n v="0"/>
    <n v="824"/>
    <n v="5.1758793969849247E-2"/>
    <n v="32.664000000000001"/>
    <n v="1.06158"/>
    <n v="0.19108439999999999"/>
    <n v="1.6331999999999999E-2"/>
    <n v="33.9329964"/>
    <n v="23.6"/>
    <n v="57.532996400000002"/>
    <n v="766.4670036"/>
    <n v="4.8144912286432161E-2"/>
  </r>
  <r>
    <n v="13"/>
    <s v="DEEPAKNTR"/>
    <s v="Ramkishor"/>
    <d v="2022-03-14T00:00:00"/>
    <n v="2056.8000000000002"/>
    <x v="8"/>
    <n v="2167"/>
    <n v="1697.9"/>
    <n v="7"/>
    <n v="14397.600000000002"/>
    <n v="29566.600000000002"/>
    <n v="0"/>
    <n v="0"/>
    <n v="771.39999999999873"/>
    <n v="5.3578374173473262E-2"/>
    <n v="29.566600000000001"/>
    <n v="0.9609145"/>
    <n v="0.17296460999999999"/>
    <n v="1.4783300000000001E-2"/>
    <n v="30.715262410000005"/>
    <n v="23.6"/>
    <n v="54.315262410000003"/>
    <n v="717.08473758999867"/>
    <n v="4.9805852196893825E-2"/>
  </r>
  <r>
    <n v="14"/>
    <s v="SBILIFE"/>
    <s v="Ramkishor"/>
    <d v="2022-03-14T00:00:00"/>
    <n v="1070.4000000000001"/>
    <x v="9"/>
    <n v="1115.5999999999999"/>
    <n v="2024"/>
    <n v="15"/>
    <n v="16056.000000000002"/>
    <n v="32790"/>
    <n v="0"/>
    <n v="0"/>
    <n v="677.99999999999727"/>
    <n v="4.2227204783258421E-2"/>
    <n v="32.79"/>
    <n v="1.0656749999999999"/>
    <n v="0.19182149999999998"/>
    <n v="1.6395E-2"/>
    <n v="34.063891500000004"/>
    <n v="15.4"/>
    <n v="49.463891500000003"/>
    <n v="628.53610849999723"/>
    <n v="3.9146494052067583E-2"/>
  </r>
  <r>
    <n v="15"/>
    <s v="MGL"/>
    <s v="Sudhadevi"/>
    <d v="2022-03-14T00:00:00"/>
    <n v="777"/>
    <x v="10"/>
    <n v="792.7"/>
    <n v="1144.0999999999999"/>
    <n v="15"/>
    <n v="11655"/>
    <n v="23545.5"/>
    <n v="0"/>
    <n v="0"/>
    <n v="235.50000000000068"/>
    <n v="2.0205920205920266E-2"/>
    <n v="23.545500000000001"/>
    <n v="0.7652287499999999"/>
    <n v="0.13774117499999997"/>
    <n v="1.177275E-2"/>
    <n v="24.460242674999996"/>
    <n v="15.34"/>
    <n v="39.800242674999993"/>
    <n v="195.69975732500069"/>
    <n v="1.679105596954103E-2"/>
  </r>
  <r>
    <n v="16"/>
    <s v="RELIANCE"/>
    <s v="Ramkishor"/>
    <d v="2022-03-22T00:00:00"/>
    <n v="2522.9"/>
    <x v="11"/>
    <n v="2570.4"/>
    <n v="1569"/>
    <n v="5"/>
    <n v="12614.5"/>
    <n v="25466.5"/>
    <n v="0"/>
    <n v="0"/>
    <n v="237.5"/>
    <n v="1.8827539736018074E-2"/>
    <n v="25.4665"/>
    <n v="0.8276612499999999"/>
    <n v="0.14897902499999999"/>
    <n v="1.273325E-2"/>
    <n v="26.455873524999998"/>
    <n v="15.34"/>
    <n v="41.795873524999998"/>
    <n v="195.70412647500001"/>
    <n v="1.5514219864045345E-2"/>
  </r>
  <r>
    <n v="17"/>
    <s v="TCS"/>
    <s v="Ramkishor"/>
    <d v="2022-03-23T00:00:00"/>
    <n v="3718"/>
    <x v="12"/>
    <n v="3670"/>
    <n v="3305.1"/>
    <n v="4"/>
    <n v="14872"/>
    <n v="29552"/>
    <n v="0"/>
    <n v="0"/>
    <n v="-192"/>
    <n v="-1.2910166756320602E-2"/>
    <n v="29.552"/>
    <n v="0.96043999999999996"/>
    <n v="0.17287919999999998"/>
    <n v="1.4775999999999999E-2"/>
    <n v="30.7000952"/>
    <n v="15.34"/>
    <n v="46.040095199999996"/>
    <n v="-238.0400952"/>
    <n v="-1.600592356105433E-2"/>
  </r>
  <r>
    <n v="18"/>
    <s v="HDFCBANK"/>
    <s v="Ramkishor"/>
    <d v="2022-03-24T00:00:00"/>
    <n v="1439"/>
    <x v="13"/>
    <n v="1482.1"/>
    <n v="997"/>
    <n v="5"/>
    <n v="7195"/>
    <n v="14605.5"/>
    <n v="0"/>
    <n v="0"/>
    <n v="215.49999999999955"/>
    <n v="2.9951355107713625E-2"/>
    <n v="14.605500000000001"/>
    <n v="0.47467874999999998"/>
    <n v="8.5442174999999995E-2"/>
    <n v="7.3027499999999993E-3"/>
    <n v="15.172923675000002"/>
    <n v="15.34"/>
    <n v="30.512923675000003"/>
    <n v="184.98707632499955"/>
    <n v="2.571050400625428E-2"/>
  </r>
  <r>
    <n v="19"/>
    <s v="HDFCBANK"/>
    <s v="Ramkishor"/>
    <d v="2022-03-24T00:00:00"/>
    <n v="1439"/>
    <x v="14"/>
    <n v="1646.75"/>
    <n v="997"/>
    <n v="5"/>
    <n v="7195"/>
    <n v="15428.75"/>
    <n v="0"/>
    <n v="0"/>
    <n v="1038.75"/>
    <n v="0.14437109103544127"/>
    <n v="15.428750000000001"/>
    <n v="0.50143437499999999"/>
    <n v="9.0258187499999989E-2"/>
    <n v="7.7143749999999999E-3"/>
    <n v="16.0281569375"/>
    <n v="15.34"/>
    <n v="31.3681569375"/>
    <n v="1007.3818430625"/>
    <n v="0.14001137499131341"/>
  </r>
  <r>
    <n v="20"/>
    <s v="TATAMOTORS"/>
    <s v="Ramkishor"/>
    <d v="2022-03-29T00:00:00"/>
    <n v="437.6"/>
    <x v="14"/>
    <n v="448"/>
    <s v="#N/A"/>
    <n v="15"/>
    <n v="6564"/>
    <n v="13284"/>
    <n v="0"/>
    <n v="0"/>
    <n v="155.99999999999966"/>
    <n v="2.3765996343692818E-2"/>
    <n v="13.284000000000001"/>
    <n v="0.43172999999999995"/>
    <n v="7.7711399999999986E-2"/>
    <n v="6.6419999999999995E-3"/>
    <n v="13.8000834"/>
    <n v="15.34"/>
    <n v="29.140083400000002"/>
    <n v="126.85991659999965"/>
    <n v="1.9326617397928039E-2"/>
  </r>
  <r>
    <n v="21"/>
    <s v="TATAMOTORS"/>
    <s v="Ramkishor"/>
    <d v="2022-03-29T00:00:00"/>
    <n v="437.6"/>
    <x v="15"/>
    <n v="448.75"/>
    <s v="#N/A"/>
    <n v="15"/>
    <n v="6564"/>
    <n v="13295.25"/>
    <n v="0"/>
    <n v="0"/>
    <n v="167.24999999999966"/>
    <n v="2.5479890310786051E-2"/>
    <n v="13.295250000000001"/>
    <n v="0.43209562499999998"/>
    <n v="7.7777212499999998E-2"/>
    <n v="6.6476249999999999E-3"/>
    <n v="13.8117704625"/>
    <n v="15.34"/>
    <n v="29.1517704625"/>
    <n v="138.09822953749966"/>
    <n v="2.1038730886273563E-2"/>
  </r>
  <r>
    <n v="22"/>
    <s v="HDFCBANK"/>
    <s v="Sudhadevi"/>
    <d v="2022-04-11T00:00:00"/>
    <n v="1505.2"/>
    <x v="16"/>
    <n v="1624.85"/>
    <n v="997"/>
    <n v="10"/>
    <n v="15052"/>
    <n v="31300.5"/>
    <n v="0"/>
    <n v="0"/>
    <n v="1196.4999999999986"/>
    <n v="7.9491097528567534E-2"/>
    <n v="31.3005"/>
    <n v="1.0172662499999998"/>
    <n v="0.18310792499999995"/>
    <n v="1.5650250000000001E-2"/>
    <n v="32.516524425"/>
    <n v="15.34"/>
    <n v="47.856524425000003"/>
    <n v="1148.6434755749985"/>
    <n v="7.631168453195579E-2"/>
  </r>
  <r>
    <n v="24"/>
    <s v="MINDTREE"/>
    <s v="Ramkishor"/>
    <d v="2022-04-27T00:00:00"/>
    <n v="3549.5"/>
    <x v="17"/>
    <n v="3400"/>
    <n v="3400"/>
    <n v="1"/>
    <n v="3549.5"/>
    <n v="6949.5"/>
    <n v="0"/>
    <n v="0"/>
    <n v="-149.5"/>
    <n v="-4.2118608254683755E-2"/>
    <n v="6.9495000000000005"/>
    <n v="0.22585874999999997"/>
    <n v="4.0654574999999991E-2"/>
    <n v="3.47475E-3"/>
    <n v="7.2194880749999992"/>
    <n v="15.34"/>
    <n v="22.559488074999997"/>
    <n v="-172.05948807499999"/>
    <n v="-4.8474288794196366E-2"/>
  </r>
  <r>
    <n v="25"/>
    <s v="HDFCBANK"/>
    <s v="Ramkishor"/>
    <d v="2022-05-13T00:00:00"/>
    <n v="1305.9000000000001"/>
    <x v="15"/>
    <n v="1401.25"/>
    <n v="997"/>
    <n v="2"/>
    <n v="2611.8000000000002"/>
    <n v="5414.3"/>
    <n v="0"/>
    <n v="0"/>
    <n v="190.69999999999982"/>
    <n v="7.3014779079561914E-2"/>
    <n v="5.4142999999999999"/>
    <n v="0.17596475"/>
    <n v="3.1673655000000002E-2"/>
    <n v="2.7071500000000002E-3"/>
    <n v="5.6246455549999999"/>
    <n v="15.34"/>
    <n v="20.964645555000001"/>
    <n v="169.73535444499981"/>
    <n v="6.4987883622405929E-2"/>
  </r>
  <r>
    <n v="26"/>
    <s v="CONCOR"/>
    <s v="Ramkishor"/>
    <d v="2022-12-08T00:00:00"/>
    <n v="784"/>
    <x v="18"/>
    <n v="758.8"/>
    <n v="512.29999999999995"/>
    <n v="13"/>
    <n v="10192"/>
    <n v="20056.399999999998"/>
    <n v="0"/>
    <n v="0"/>
    <n v="-327.60000000000059"/>
    <n v="-3.2142857142857202E-2"/>
    <n v="20.0564"/>
    <n v="0.65183299999999988"/>
    <n v="0.11732993999999998"/>
    <n v="1.0028199999999999E-2"/>
    <n v="20.835591140000002"/>
    <n v="15.34"/>
    <n v="36.175591140000002"/>
    <n v="-363.77559114000059"/>
    <n v="-3.569226757653067E-2"/>
  </r>
  <r>
    <n v="27"/>
    <s v="JSWSTEEL"/>
    <s v="Ramkishor"/>
    <d v="2022-12-14T00:00:00"/>
    <n v="749.35"/>
    <x v="18"/>
    <n v="740.15"/>
    <n v="1095.9000000000001"/>
    <n v="14"/>
    <n v="10490.9"/>
    <n v="20853"/>
    <n v="0"/>
    <n v="0"/>
    <n v="-128.80000000000064"/>
    <n v="-1.2277306999399541E-2"/>
    <n v="20.853000000000002"/>
    <n v="0.67772249999999989"/>
    <n v="0.12199004999999997"/>
    <n v="1.04265E-2"/>
    <n v="21.663139050000005"/>
    <n v="15.34"/>
    <n v="37.003139050000001"/>
    <n v="-165.80313905000065"/>
    <n v="-1.5804472356995173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s v="RELIANCE"/>
    <s v="ESPRESSO"/>
    <d v="2023-01-18T00:00:00"/>
    <n v="2485.35"/>
    <x v="0"/>
    <n v="0"/>
    <n v="1569"/>
    <n v="5"/>
    <n v="12426.75"/>
    <n v="12426.75"/>
    <n v="-4581.75"/>
    <n v="-0.36870058543062345"/>
    <n v="-6.4"/>
    <n v="-32"/>
    <n v="0"/>
    <n v="0"/>
  </r>
  <r>
    <n v="2"/>
    <s v="GRASIM"/>
    <s v="ESPRESSO"/>
    <d v="2023-01-18T00:00:00"/>
    <n v="1685"/>
    <x v="1"/>
    <n v="1923.7"/>
    <n v="2823.1"/>
    <n v="10"/>
    <n v="16850"/>
    <n v="36087"/>
    <n v="0"/>
    <n v="0"/>
    <n v="0"/>
    <n v="0"/>
    <n v="2387.0000000000005"/>
    <n v="0.14166172106824929"/>
  </r>
  <r>
    <n v="3"/>
    <s v="RELIANCE"/>
    <s v="ESPRESSO"/>
    <d v="2023-01-30T00:00:00"/>
    <n v="2334.75"/>
    <x v="0"/>
    <n v="0"/>
    <n v="1569"/>
    <n v="2"/>
    <n v="4669.5"/>
    <n v="4669.5"/>
    <n v="-1531.5"/>
    <n v="-0.32797944105364601"/>
    <n v="-6.4"/>
    <n v="-12.8"/>
    <n v="0"/>
    <n v="0"/>
  </r>
  <r>
    <n v="4"/>
    <s v="CONCOR"/>
    <s v="ESPRESSO"/>
    <d v="2023-02-01T00:00:00"/>
    <n v="638.25"/>
    <x v="2"/>
    <n v="647.70000000000005"/>
    <n v="512.29999999999995"/>
    <n v="4"/>
    <n v="2553"/>
    <n v="5143.8"/>
    <n v="0"/>
    <n v="0"/>
    <n v="0"/>
    <n v="0"/>
    <n v="37.800000000000182"/>
    <n v="1.4806110458284442E-2"/>
  </r>
  <r>
    <n v="5"/>
    <s v="BPCL"/>
    <s v="ESPRESSO"/>
    <d v="2023-02-03T00:00:00"/>
    <n v="327.72"/>
    <x v="0"/>
    <n v="0"/>
    <n v="369.7"/>
    <n v="10"/>
    <n v="3277.2000000000003"/>
    <n v="3277.2000000000003"/>
    <n v="419.79999999999961"/>
    <n v="0.12809715610887329"/>
    <n v="-0.2"/>
    <n v="-2"/>
    <n v="0"/>
    <n v="0"/>
  </r>
  <r>
    <n v="6"/>
    <s v="AXISBANK"/>
    <s v="DHAN"/>
    <d v="2023-04-24T00:00:00"/>
    <n v="878.5"/>
    <x v="3"/>
    <n v="855.55"/>
    <n v="1224.5"/>
    <n v="5"/>
    <n v="4392.5"/>
    <n v="8670.25"/>
    <n v="0"/>
    <n v="0"/>
    <n v="0"/>
    <n v="0"/>
    <n v="-114.75000000000023"/>
    <n v="-2.6124075128059244E-2"/>
  </r>
  <r>
    <n v="7"/>
    <s v="JINDALSTEL"/>
    <s v="Ramkishor"/>
    <d v="2023-05-02T00:00:00"/>
    <n v="590.75"/>
    <x v="4"/>
    <n v="577"/>
    <n v="1014"/>
    <n v="8"/>
    <n v="4726"/>
    <n v="9342"/>
    <n v="0"/>
    <n v="0"/>
    <n v="0"/>
    <n v="0"/>
    <n v="-110"/>
    <n v="-2.3275497249259414E-2"/>
  </r>
  <r>
    <n v="8"/>
    <s v="AJMERA"/>
    <s v="ESPRESSO"/>
    <d v="2023-05-16T00:00:00"/>
    <n v="315"/>
    <x v="5"/>
    <n v="342.65"/>
    <n v="948"/>
    <n v="15"/>
    <n v="4725"/>
    <n v="9864.75"/>
    <n v="0"/>
    <n v="0"/>
    <n v="0"/>
    <n v="0"/>
    <n v="414.74999999999966"/>
    <n v="8.7777777777777705E-2"/>
  </r>
  <r>
    <n v="9"/>
    <s v="INDIACEM"/>
    <s v="FYERA"/>
    <d v="2023-05-23T00:00:00"/>
    <n v="195.65"/>
    <x v="6"/>
    <n v="189.65"/>
    <n v="441.05"/>
    <n v="25"/>
    <n v="4891.25"/>
    <n v="9632.5"/>
    <n v="0"/>
    <n v="0"/>
    <n v="0"/>
    <n v="0"/>
    <n v="-150"/>
    <n v="-3.0667007411193457E-2"/>
  </r>
  <r>
    <n v="10"/>
    <s v="BAJAJFINSV"/>
    <s v="FYERA"/>
    <d v="2023-05-29T00:00:00"/>
    <n v="1456.9"/>
    <x v="7"/>
    <n v="1601.5"/>
    <n v="2042"/>
    <n v="3"/>
    <n v="4370.7000000000007"/>
    <n v="9175.2000000000007"/>
    <n v="0"/>
    <n v="0"/>
    <n v="0"/>
    <n v="0"/>
    <n v="433.79999999999973"/>
    <n v="9.9251836090328713E-2"/>
  </r>
  <r>
    <n v="11"/>
    <s v="BANKBARODA"/>
    <s v="DHAN"/>
    <d v="2023-05-29T00:00:00"/>
    <n v="184.65"/>
    <x v="7"/>
    <n v="202.2"/>
    <n v="292.89999999999998"/>
    <n v="25"/>
    <n v="4616.25"/>
    <n v="9671.25"/>
    <n v="0"/>
    <n v="0"/>
    <n v="0"/>
    <n v="0"/>
    <n v="438.74999999999955"/>
    <n v="9.5044679122664399E-2"/>
  </r>
  <r>
    <n v="12"/>
    <s v="DIVISLAB"/>
    <s v="DHAN"/>
    <d v="2023-06-01T00:00:00"/>
    <n v="3554.35"/>
    <x v="8"/>
    <n v="3669"/>
    <n v="6480"/>
    <n v="1"/>
    <n v="3554.35"/>
    <n v="7223.35"/>
    <n v="0"/>
    <n v="0"/>
    <n v="0"/>
    <n v="0"/>
    <n v="114.65000000000009"/>
    <n v="3.2256249384556977E-2"/>
  </r>
  <r>
    <n v="13"/>
    <s v="RAILTEL"/>
    <s v="DHAN"/>
    <d v="2023-06-07T00:00:00"/>
    <n v="133.5"/>
    <x v="9"/>
    <n v="160.44999999999999"/>
    <n v="360"/>
    <n v="12"/>
    <n v="1602"/>
    <n v="3527.3999999999996"/>
    <n v="0"/>
    <n v="0"/>
    <n v="0"/>
    <n v="0"/>
    <n v="323.39999999999986"/>
    <n v="0.20187265917602987"/>
  </r>
  <r>
    <n v="14"/>
    <s v="TATASTEEL"/>
    <s v="DHAN"/>
    <d v="2023-06-14T00:00:00"/>
    <n v="113.8"/>
    <x v="10"/>
    <n v="168.42"/>
    <n v="170.82"/>
    <n v="40"/>
    <n v="4552"/>
    <n v="11288.8"/>
    <n v="0"/>
    <n v="0"/>
    <n v="0"/>
    <n v="0"/>
    <n v="2184.7999999999997"/>
    <n v="0.47996485061511418"/>
  </r>
  <r>
    <n v="15"/>
    <s v="CIPLA"/>
    <s v="DHAN"/>
    <d v="2023-06-26T00:00:00"/>
    <n v="1021.5"/>
    <x v="11"/>
    <n v="1149.8499999999999"/>
    <n v="1501.5"/>
    <n v="4"/>
    <n v="4086"/>
    <n v="8685.4"/>
    <n v="0"/>
    <n v="0"/>
    <n v="0"/>
    <n v="0"/>
    <n v="513.39999999999964"/>
    <n v="0.12564855604503172"/>
  </r>
  <r>
    <n v="16"/>
    <s v="TATAPOWER"/>
    <s v="DHAN"/>
    <d v="2023-07-23T00:00:00"/>
    <n v="221.8"/>
    <x v="8"/>
    <n v="242"/>
    <n v="382.4"/>
    <n v="20"/>
    <n v="4436"/>
    <n v="9276"/>
    <n v="0"/>
    <n v="0"/>
    <n v="0"/>
    <n v="0"/>
    <n v="403.99999999999977"/>
    <n v="9.1073038773669915E-2"/>
  </r>
  <r>
    <n v="17"/>
    <s v="WIPRO"/>
    <s v="ESPRESSO"/>
    <d v="2023-08-07T00:00:00"/>
    <n v="411"/>
    <x v="12"/>
    <n v="377.05"/>
    <n v="271.3"/>
    <n v="50"/>
    <n v="20550"/>
    <n v="39402.5"/>
    <n v="0"/>
    <n v="0"/>
    <n v="0"/>
    <n v="0"/>
    <n v="-1697.4999999999995"/>
    <n v="-8.2603406326034037E-2"/>
  </r>
  <r>
    <n v="18"/>
    <s v="CONCOR"/>
    <s v="ESPRESSO"/>
    <d v="2023-08-07T00:00:00"/>
    <n v="697.7"/>
    <x v="2"/>
    <n v="647.70000000000005"/>
    <n v="512.29999999999995"/>
    <n v="21"/>
    <n v="14651.7"/>
    <n v="28253.4"/>
    <n v="0"/>
    <n v="0"/>
    <n v="0"/>
    <n v="0"/>
    <n v="-1050"/>
    <n v="-7.1664038985237197E-2"/>
  </r>
  <r>
    <n v="19"/>
    <s v="TITAN"/>
    <s v="ESPRESSO"/>
    <d v="2023-08-21T00:00:00"/>
    <n v="3079.2"/>
    <x v="13"/>
    <n v="3088.05"/>
    <n v="3916.6"/>
    <n v="5"/>
    <n v="15396"/>
    <n v="30836.25"/>
    <n v="0"/>
    <n v="0"/>
    <n v="0"/>
    <n v="0"/>
    <n v="44.250000000001819"/>
    <n v="2.8741231488699547E-3"/>
  </r>
  <r>
    <n v="20"/>
    <s v="HDFCLIFE"/>
    <s v="Paytm"/>
    <d v="2023-08-30T00:00:00"/>
    <n v="639.4"/>
    <x v="0"/>
    <n v="0"/>
    <n v="763"/>
    <n v="11"/>
    <n v="7033.4"/>
    <n v="7033.4"/>
    <n v="1359.6000000000004"/>
    <n v="0.193306224585549"/>
    <n v="1.2"/>
    <n v="13.2"/>
    <n v="0"/>
    <n v="0"/>
  </r>
  <r>
    <n v="21"/>
    <s v="JIOFIN"/>
    <s v="ESPRESSO"/>
    <m/>
    <n v="1"/>
    <x v="0"/>
    <n v="0"/>
    <n v="298.5"/>
    <n v="7"/>
    <n v="7"/>
    <n v="7"/>
    <n v="2082.5"/>
    <n v="297.5"/>
    <n v="-0.25"/>
    <n v="-1.75"/>
    <n v="0"/>
    <n v="0"/>
  </r>
  <r>
    <n v="22"/>
    <s v="RBLBANK"/>
    <s v="DHAN"/>
    <d v="2023-10-03T00:00:00"/>
    <n v="252.7"/>
    <x v="12"/>
    <n v="217.5"/>
    <n v="302.89999999999998"/>
    <n v="43"/>
    <n v="10866.1"/>
    <n v="20218.599999999999"/>
    <n v="0"/>
    <n v="0"/>
    <n v="0"/>
    <n v="0"/>
    <n v="-1513.5999999999995"/>
    <n v="-0.13929560743965172"/>
  </r>
  <r>
    <n v="24"/>
    <s v="IRCTC"/>
    <s v="DHAN"/>
    <d v="2023-10-03T00:00:00"/>
    <n v="704.4"/>
    <x v="12"/>
    <n v="643.66999999999996"/>
    <n v="680.5"/>
    <n v="28"/>
    <n v="19723.2"/>
    <n v="37745.96"/>
    <n v="0"/>
    <n v="0"/>
    <n v="0"/>
    <n v="0"/>
    <n v="-1700.4400000000005"/>
    <n v="-8.621521862578084E-2"/>
  </r>
  <r>
    <n v="25"/>
    <s v="TCS"/>
    <s v="DHAN"/>
    <d v="2023-10-06T00:00:00"/>
    <n v="3602.4"/>
    <x v="14"/>
    <n v="3464.5"/>
    <n v="3305.1"/>
    <n v="11"/>
    <n v="39626.400000000001"/>
    <n v="77735.899999999994"/>
    <n v="0"/>
    <n v="0"/>
    <n v="0"/>
    <n v="0"/>
    <n v="-1516.900000000001"/>
    <n v="-3.8280035531867665E-2"/>
  </r>
  <r>
    <n v="26"/>
    <s v="TATACONSUM"/>
    <s v="DHAN"/>
    <d v="2023-10-13T00:00:00"/>
    <n v="915.55"/>
    <x v="15"/>
    <n v="1072.45"/>
    <n v="1185.2"/>
    <n v="23"/>
    <n v="21057.649999999998"/>
    <n v="45724"/>
    <n v="0"/>
    <n v="0"/>
    <n v="0"/>
    <n v="0"/>
    <n v="3608.7000000000021"/>
    <n v="0.17137239910436361"/>
  </r>
  <r>
    <n v="27"/>
    <s v="DIXON"/>
    <s v="DHAN"/>
    <d v="2023-11-06T00:00:00"/>
    <n v="5325.9"/>
    <x v="16"/>
    <n v="6007.19"/>
    <n v="12855"/>
    <n v="4"/>
    <n v="21303.599999999999"/>
    <n v="45332.36"/>
    <n v="0"/>
    <n v="0"/>
    <n v="0"/>
    <n v="0"/>
    <n v="2725.16"/>
    <n v="0.12792016372819617"/>
  </r>
  <r>
    <n v="28"/>
    <s v="LT"/>
    <s v="DHAN"/>
    <d v="2023-11-06T00:00:00"/>
    <n v="2955"/>
    <x v="17"/>
    <n v="3555.95"/>
    <n v="4070"/>
    <n v="5"/>
    <n v="14775"/>
    <n v="32554.75"/>
    <n v="0"/>
    <n v="0"/>
    <n v="0"/>
    <n v="0"/>
    <n v="3004.7499999999991"/>
    <n v="0.2033671742808798"/>
  </r>
  <r>
    <n v="29"/>
    <m/>
    <m/>
    <m/>
    <m/>
    <x v="0"/>
    <m/>
    <m/>
    <m/>
    <m/>
    <m/>
    <m/>
    <m/>
    <m/>
    <m/>
    <m/>
    <m/>
  </r>
  <r>
    <n v="30"/>
    <m/>
    <m/>
    <m/>
    <m/>
    <x v="0"/>
    <m/>
    <m/>
    <m/>
    <m/>
    <m/>
    <m/>
    <m/>
    <m/>
    <m/>
    <m/>
    <m/>
  </r>
  <r>
    <n v="31"/>
    <m/>
    <m/>
    <m/>
    <m/>
    <x v="0"/>
    <m/>
    <m/>
    <m/>
    <m/>
    <m/>
    <m/>
    <m/>
    <m/>
    <m/>
    <m/>
    <m/>
  </r>
  <r>
    <n v="32"/>
    <m/>
    <m/>
    <m/>
    <m/>
    <x v="0"/>
    <m/>
    <m/>
    <m/>
    <m/>
    <m/>
    <m/>
    <m/>
    <m/>
    <m/>
    <m/>
    <m/>
  </r>
  <r>
    <n v="33"/>
    <m/>
    <m/>
    <m/>
    <m/>
    <x v="0"/>
    <m/>
    <m/>
    <m/>
    <m/>
    <m/>
    <m/>
    <m/>
    <m/>
    <m/>
    <m/>
    <m/>
  </r>
  <r>
    <n v="34"/>
    <m/>
    <m/>
    <m/>
    <m/>
    <x v="0"/>
    <m/>
    <m/>
    <m/>
    <m/>
    <m/>
    <m/>
    <m/>
    <m/>
    <m/>
    <m/>
    <m/>
  </r>
  <r>
    <n v="35"/>
    <m/>
    <m/>
    <m/>
    <m/>
    <x v="0"/>
    <m/>
    <m/>
    <m/>
    <m/>
    <m/>
    <m/>
    <m/>
    <m/>
    <m/>
    <m/>
    <m/>
  </r>
  <r>
    <n v="36"/>
    <m/>
    <m/>
    <m/>
    <m/>
    <x v="0"/>
    <m/>
    <m/>
    <m/>
    <m/>
    <m/>
    <m/>
    <m/>
    <m/>
    <m/>
    <m/>
    <m/>
  </r>
  <r>
    <n v="37"/>
    <m/>
    <m/>
    <m/>
    <m/>
    <x v="0"/>
    <m/>
    <m/>
    <m/>
    <m/>
    <m/>
    <m/>
    <m/>
    <m/>
    <m/>
    <m/>
    <m/>
  </r>
  <r>
    <n v="38"/>
    <m/>
    <m/>
    <m/>
    <m/>
    <x v="0"/>
    <m/>
    <m/>
    <m/>
    <m/>
    <m/>
    <m/>
    <m/>
    <m/>
    <m/>
    <m/>
    <m/>
  </r>
  <r>
    <n v="39"/>
    <m/>
    <m/>
    <m/>
    <m/>
    <x v="0"/>
    <m/>
    <m/>
    <m/>
    <m/>
    <m/>
    <m/>
    <m/>
    <m/>
    <m/>
    <m/>
    <m/>
  </r>
  <r>
    <n v="40"/>
    <m/>
    <m/>
    <m/>
    <m/>
    <x v="0"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ESPRESSO"/>
    <d v="2023-01-18T00:00:00"/>
    <n v="2485.35"/>
    <m/>
    <n v="0"/>
    <n v="1569"/>
    <n v="5"/>
    <n v="12426.75"/>
    <n v="12426.75"/>
    <n v="-4581.75"/>
    <n v="-0.36870058543062345"/>
    <n v="-6.4"/>
    <n v="-32"/>
    <n v="0"/>
    <n v="0"/>
  </r>
  <r>
    <x v="1"/>
    <s v="ESPRESSO"/>
    <d v="2023-01-18T00:00:00"/>
    <n v="1685"/>
    <d v="2023-09-14T00:00:00"/>
    <n v="1923.7"/>
    <n v="2823.1"/>
    <n v="10"/>
    <n v="16850"/>
    <n v="36087"/>
    <n v="0"/>
    <n v="0"/>
    <n v="0"/>
    <n v="0"/>
    <n v="2387.0000000000005"/>
    <n v="0.14166172106824929"/>
  </r>
  <r>
    <x v="0"/>
    <s v="ESPRESSO"/>
    <d v="2023-01-30T00:00:00"/>
    <n v="2334.75"/>
    <m/>
    <n v="0"/>
    <n v="1569"/>
    <n v="2"/>
    <n v="4669.5"/>
    <n v="4669.5"/>
    <n v="-1531.5"/>
    <n v="-0.32797944105364601"/>
    <n v="-6.4"/>
    <n v="-12.8"/>
    <n v="0"/>
    <n v="0"/>
  </r>
  <r>
    <x v="2"/>
    <s v="ESPRESSO"/>
    <d v="2023-02-01T00:00:00"/>
    <n v="638.25"/>
    <d v="2023-08-14T00:00:00"/>
    <n v="647.70000000000005"/>
    <n v="512.29999999999995"/>
    <n v="4"/>
    <n v="2553"/>
    <n v="5143.8"/>
    <n v="0"/>
    <n v="0"/>
    <n v="0"/>
    <n v="0"/>
    <n v="37.800000000000182"/>
    <n v="1.4806110458284442E-2"/>
  </r>
  <r>
    <x v="3"/>
    <s v="ESPRESSO"/>
    <d v="2023-02-03T00:00:00"/>
    <n v="327.72"/>
    <m/>
    <n v="0"/>
    <n v="369.7"/>
    <n v="10"/>
    <n v="3277.2000000000003"/>
    <n v="3277.2000000000003"/>
    <n v="419.79999999999961"/>
    <n v="0.12809715610887329"/>
    <n v="-0.2"/>
    <n v="-2"/>
    <n v="0"/>
    <n v="0"/>
  </r>
  <r>
    <x v="4"/>
    <s v="DHAN"/>
    <d v="2023-04-24T00:00:00"/>
    <n v="878.5"/>
    <d v="2023-04-28T00:00:00"/>
    <n v="855.55"/>
    <n v="1224.5"/>
    <n v="5"/>
    <n v="4392.5"/>
    <n v="8670.25"/>
    <n v="0"/>
    <n v="0"/>
    <n v="0"/>
    <n v="0"/>
    <n v="-114.75000000000023"/>
    <n v="-2.6124075128059244E-2"/>
  </r>
  <r>
    <x v="5"/>
    <s v="Ramkishor"/>
    <d v="2023-05-02T00:00:00"/>
    <n v="590.75"/>
    <d v="2023-05-12T00:00:00"/>
    <n v="577"/>
    <n v="1014"/>
    <n v="8"/>
    <n v="4726"/>
    <n v="9342"/>
    <n v="0"/>
    <n v="0"/>
    <n v="0"/>
    <n v="0"/>
    <n v="-110"/>
    <n v="-2.3275497249259414E-2"/>
  </r>
  <r>
    <x v="6"/>
    <s v="ESPRESSO"/>
    <d v="2023-05-16T00:00:00"/>
    <n v="315"/>
    <d v="2023-05-19T00:00:00"/>
    <n v="342.65"/>
    <n v="948"/>
    <n v="15"/>
    <n v="4725"/>
    <n v="9864.75"/>
    <n v="0"/>
    <n v="0"/>
    <n v="0"/>
    <n v="0"/>
    <n v="414.74999999999966"/>
    <n v="8.7777777777777705E-2"/>
  </r>
  <r>
    <x v="7"/>
    <s v="FYERA"/>
    <d v="2023-05-23T00:00:00"/>
    <n v="195.65"/>
    <d v="2023-05-24T00:00:00"/>
    <n v="189.65"/>
    <n v="441.05"/>
    <n v="25"/>
    <n v="4891.25"/>
    <n v="9632.5"/>
    <n v="0"/>
    <n v="0"/>
    <n v="0"/>
    <n v="0"/>
    <n v="-150"/>
    <n v="-3.0667007411193457E-2"/>
  </r>
  <r>
    <x v="8"/>
    <s v="FYERA"/>
    <d v="2023-05-29T00:00:00"/>
    <n v="1456.9"/>
    <d v="2023-07-04T00:00:00"/>
    <n v="1601.5"/>
    <n v="2042"/>
    <n v="3"/>
    <n v="4370.7000000000007"/>
    <n v="9175.2000000000007"/>
    <n v="0"/>
    <n v="0"/>
    <n v="0"/>
    <n v="0"/>
    <n v="433.79999999999973"/>
    <n v="9.9251836090328713E-2"/>
  </r>
  <r>
    <x v="9"/>
    <s v="DHAN"/>
    <d v="2023-05-29T00:00:00"/>
    <n v="184.65"/>
    <d v="2023-07-04T00:00:00"/>
    <n v="202.2"/>
    <n v="292.89999999999998"/>
    <n v="25"/>
    <n v="4616.25"/>
    <n v="9671.25"/>
    <n v="0"/>
    <n v="0"/>
    <n v="0"/>
    <n v="0"/>
    <n v="438.74999999999955"/>
    <n v="9.5044679122664399E-2"/>
  </r>
  <r>
    <x v="10"/>
    <s v="DHAN"/>
    <d v="2023-06-01T00:00:00"/>
    <n v="3554.35"/>
    <d v="2023-08-01T00:00:00"/>
    <n v="3669"/>
    <n v="6480"/>
    <n v="1"/>
    <n v="3554.35"/>
    <n v="7223.35"/>
    <n v="0"/>
    <n v="0"/>
    <n v="0"/>
    <n v="0"/>
    <n v="114.65000000000009"/>
    <n v="3.2256249384556977E-2"/>
  </r>
  <r>
    <x v="11"/>
    <s v="DHAN"/>
    <d v="2023-06-07T00:00:00"/>
    <n v="133.5"/>
    <d v="2023-07-25T00:00:00"/>
    <n v="160.44999999999999"/>
    <n v="360"/>
    <n v="12"/>
    <n v="1602"/>
    <n v="3527.3999999999996"/>
    <n v="0"/>
    <n v="0"/>
    <n v="0"/>
    <n v="0"/>
    <n v="323.39999999999986"/>
    <n v="0.20187265917602987"/>
  </r>
  <r>
    <x v="12"/>
    <s v="DHAN"/>
    <d v="2023-06-14T00:00:00"/>
    <n v="113.8"/>
    <d v="2023-07-10T00:00:00"/>
    <n v="168.42"/>
    <n v="170.82"/>
    <n v="40"/>
    <n v="4552"/>
    <n v="11288.8"/>
    <n v="0"/>
    <n v="0"/>
    <n v="0"/>
    <n v="0"/>
    <n v="2184.7999999999997"/>
    <n v="0.47996485061511418"/>
  </r>
  <r>
    <x v="13"/>
    <s v="DHAN"/>
    <d v="2023-06-26T00:00:00"/>
    <n v="1021.5"/>
    <d v="2023-07-27T00:00:00"/>
    <n v="1149.8499999999999"/>
    <n v="1501.5"/>
    <n v="4"/>
    <n v="4086"/>
    <n v="8685.4"/>
    <n v="0"/>
    <n v="0"/>
    <n v="0"/>
    <n v="0"/>
    <n v="513.39999999999964"/>
    <n v="0.12564855604503172"/>
  </r>
  <r>
    <x v="14"/>
    <s v="DHAN"/>
    <d v="2023-07-23T00:00:00"/>
    <n v="221.8"/>
    <d v="2023-08-01T00:00:00"/>
    <n v="242"/>
    <n v="382.4"/>
    <n v="20"/>
    <n v="4436"/>
    <n v="9276"/>
    <n v="0"/>
    <n v="0"/>
    <n v="0"/>
    <n v="0"/>
    <n v="403.99999999999977"/>
    <n v="9.1073038773669915E-2"/>
  </r>
  <r>
    <x v="15"/>
    <s v="ESPRESSO"/>
    <d v="2023-08-07T00:00:00"/>
    <n v="411"/>
    <d v="2023-10-26T00:00:00"/>
    <n v="377.05"/>
    <n v="271.3"/>
    <n v="50"/>
    <n v="20550"/>
    <n v="39402.5"/>
    <n v="0"/>
    <n v="0"/>
    <n v="0"/>
    <n v="0"/>
    <n v="-1697.4999999999995"/>
    <n v="-8.2603406326034037E-2"/>
  </r>
  <r>
    <x v="2"/>
    <s v="ESPRESSO"/>
    <d v="2023-08-07T00:00:00"/>
    <n v="697.7"/>
    <d v="2023-08-14T00:00:00"/>
    <n v="647.70000000000005"/>
    <n v="512.29999999999995"/>
    <n v="21"/>
    <n v="14651.7"/>
    <n v="28253.4"/>
    <n v="0"/>
    <n v="0"/>
    <n v="0"/>
    <n v="0"/>
    <n v="-1050"/>
    <n v="-7.1664038985237197E-2"/>
  </r>
  <r>
    <x v="16"/>
    <s v="ESPRESSO"/>
    <d v="2023-08-21T00:00:00"/>
    <n v="3079.2"/>
    <d v="2023-09-04T00:00:00"/>
    <n v="3088.05"/>
    <n v="3916.6"/>
    <n v="5"/>
    <n v="15396"/>
    <n v="30836.25"/>
    <n v="0"/>
    <n v="0"/>
    <n v="0"/>
    <n v="0"/>
    <n v="44.250000000001819"/>
    <n v="2.8741231488699547E-3"/>
  </r>
  <r>
    <x v="17"/>
    <s v="Paytm"/>
    <d v="2023-08-30T00:00:00"/>
    <n v="639.4"/>
    <m/>
    <n v="0"/>
    <n v="763"/>
    <n v="11"/>
    <n v="7033.4"/>
    <n v="7033.4"/>
    <n v="1359.6000000000004"/>
    <n v="0.193306224585549"/>
    <n v="1.2"/>
    <n v="13.2"/>
    <n v="0"/>
    <n v="0"/>
  </r>
  <r>
    <x v="18"/>
    <s v="ESPRESSO"/>
    <m/>
    <n v="1"/>
    <m/>
    <n v="0"/>
    <n v="298.5"/>
    <n v="7"/>
    <n v="7"/>
    <n v="7"/>
    <n v="2082.5"/>
    <n v="297.5"/>
    <n v="-0.25"/>
    <n v="-1.75"/>
    <n v="0"/>
    <n v="0"/>
  </r>
  <r>
    <x v="19"/>
    <s v="DHAN"/>
    <d v="2023-10-03T00:00:00"/>
    <n v="252.7"/>
    <d v="2023-10-26T00:00:00"/>
    <n v="217.5"/>
    <n v="302.89999999999998"/>
    <n v="43"/>
    <n v="10866.1"/>
    <n v="20218.599999999999"/>
    <n v="0"/>
    <n v="0"/>
    <n v="0"/>
    <n v="0"/>
    <n v="-1513.5999999999995"/>
    <n v="-0.13929560743965172"/>
  </r>
  <r>
    <x v="20"/>
    <s v="DHAN"/>
    <d v="2023-10-03T00:00:00"/>
    <n v="704.4"/>
    <d v="2023-10-26T00:00:00"/>
    <n v="643.66999999999996"/>
    <n v="680.5"/>
    <n v="28"/>
    <n v="19723.2"/>
    <n v="37745.96"/>
    <n v="0"/>
    <n v="0"/>
    <n v="0"/>
    <n v="0"/>
    <n v="-1700.4400000000005"/>
    <n v="-8.621521862578084E-2"/>
  </r>
  <r>
    <x v="21"/>
    <s v="DHAN"/>
    <d v="2023-10-06T00:00:00"/>
    <n v="3602.4"/>
    <d v="2023-10-19T00:00:00"/>
    <n v="3464.5"/>
    <n v="3305.1"/>
    <n v="11"/>
    <n v="39626.400000000001"/>
    <n v="77735.899999999994"/>
    <n v="0"/>
    <n v="0"/>
    <n v="0"/>
    <n v="0"/>
    <n v="-1516.900000000001"/>
    <n v="-3.8280035531867665E-2"/>
  </r>
  <r>
    <x v="22"/>
    <s v="DHAN"/>
    <d v="2023-10-13T00:00:00"/>
    <n v="915.55"/>
    <d v="2023-12-29T00:00:00"/>
    <n v="1072.45"/>
    <n v="1185.2"/>
    <n v="23"/>
    <n v="21057.649999999998"/>
    <n v="45724"/>
    <n v="0"/>
    <n v="0"/>
    <n v="0"/>
    <n v="0"/>
    <n v="3608.7000000000021"/>
    <n v="0.17137239910436361"/>
  </r>
  <r>
    <x v="23"/>
    <s v="DHAN"/>
    <d v="2023-11-06T00:00:00"/>
    <n v="5325.9"/>
    <d v="2023-12-01T00:00:00"/>
    <n v="6007.19"/>
    <n v="12855"/>
    <n v="4"/>
    <n v="21303.599999999999"/>
    <n v="45332.36"/>
    <n v="0"/>
    <n v="0"/>
    <n v="0"/>
    <n v="0"/>
    <n v="2725.16"/>
    <n v="0.12792016372819617"/>
  </r>
  <r>
    <x v="24"/>
    <s v="DHAN"/>
    <d v="2023-11-06T00:00:00"/>
    <n v="2955"/>
    <d v="2023-12-28T00:00:00"/>
    <n v="3555.95"/>
    <n v="4070"/>
    <n v="5"/>
    <n v="14775"/>
    <n v="32554.75"/>
    <n v="0"/>
    <n v="0"/>
    <n v="0"/>
    <n v="0"/>
    <n v="3004.7499999999991"/>
    <n v="0.2033671742808798"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  <r>
    <x v="25"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x v="0"/>
    <x v="0"/>
    <d v="2023-01-18T00:00:00"/>
    <n v="2485.35"/>
    <m/>
    <n v="0"/>
    <n v="1569"/>
    <n v="5"/>
    <n v="12426.75"/>
    <n v="12426.75"/>
    <n v="-4581.75"/>
    <n v="-0.36870058543062345"/>
    <n v="-6.4"/>
    <n v="-32"/>
    <n v="0"/>
  </r>
  <r>
    <n v="2"/>
    <x v="1"/>
    <x v="0"/>
    <d v="2023-01-18T00:00:00"/>
    <n v="1685"/>
    <d v="2023-09-14T00:00:00"/>
    <n v="1923.7"/>
    <n v="2823.1"/>
    <n v="10"/>
    <n v="16850"/>
    <n v="36087"/>
    <n v="0"/>
    <n v="0"/>
    <n v="0"/>
    <n v="0"/>
    <n v="2387.0000000000005"/>
  </r>
  <r>
    <n v="3"/>
    <x v="0"/>
    <x v="0"/>
    <d v="2023-01-30T00:00:00"/>
    <n v="2334.75"/>
    <m/>
    <n v="0"/>
    <n v="1569"/>
    <n v="2"/>
    <n v="4669.5"/>
    <n v="4669.5"/>
    <n v="-1531.5"/>
    <n v="-0.32797944105364601"/>
    <n v="-6.4"/>
    <n v="-12.8"/>
    <n v="0"/>
  </r>
  <r>
    <n v="4"/>
    <x v="2"/>
    <x v="0"/>
    <d v="2023-02-01T00:00:00"/>
    <n v="638.25"/>
    <d v="2023-08-14T00:00:00"/>
    <n v="647.70000000000005"/>
    <n v="512.29999999999995"/>
    <n v="4"/>
    <n v="2553"/>
    <n v="5143.8"/>
    <n v="0"/>
    <n v="0"/>
    <n v="0"/>
    <n v="0"/>
    <n v="37.800000000000182"/>
  </r>
  <r>
    <n v="5"/>
    <x v="3"/>
    <x v="0"/>
    <d v="2023-02-03T00:00:00"/>
    <n v="327.72"/>
    <m/>
    <n v="0"/>
    <n v="369.7"/>
    <n v="10"/>
    <n v="3277.2000000000003"/>
    <n v="3277.2000000000003"/>
    <n v="419.79999999999961"/>
    <n v="0.12809715610887329"/>
    <n v="-0.2"/>
    <n v="-2"/>
    <n v="0"/>
  </r>
  <r>
    <n v="6"/>
    <x v="4"/>
    <x v="1"/>
    <d v="2023-04-24T00:00:00"/>
    <n v="878.5"/>
    <d v="2023-04-28T00:00:00"/>
    <n v="855.55"/>
    <n v="1224.5"/>
    <n v="5"/>
    <n v="4392.5"/>
    <n v="8670.25"/>
    <n v="0"/>
    <n v="0"/>
    <n v="0"/>
    <n v="0"/>
    <n v="-114.75000000000023"/>
  </r>
  <r>
    <n v="7"/>
    <x v="5"/>
    <x v="2"/>
    <d v="2023-05-02T00:00:00"/>
    <n v="590.75"/>
    <d v="2023-05-12T00:00:00"/>
    <n v="577"/>
    <n v="1014"/>
    <n v="8"/>
    <n v="4726"/>
    <n v="9342"/>
    <n v="0"/>
    <n v="0"/>
    <n v="0"/>
    <n v="0"/>
    <n v="-110"/>
  </r>
  <r>
    <n v="8"/>
    <x v="6"/>
    <x v="0"/>
    <d v="2023-05-16T00:00:00"/>
    <n v="315"/>
    <d v="2023-05-19T00:00:00"/>
    <n v="342.65"/>
    <n v="948"/>
    <n v="15"/>
    <n v="4725"/>
    <n v="9864.75"/>
    <n v="0"/>
    <n v="0"/>
    <n v="0"/>
    <n v="0"/>
    <n v="414.74999999999966"/>
  </r>
  <r>
    <n v="9"/>
    <x v="7"/>
    <x v="3"/>
    <d v="2023-05-23T00:00:00"/>
    <n v="195.65"/>
    <d v="2023-05-24T00:00:00"/>
    <n v="189.65"/>
    <n v="441.05"/>
    <n v="25"/>
    <n v="4891.25"/>
    <n v="9632.5"/>
    <n v="0"/>
    <n v="0"/>
    <n v="0"/>
    <n v="0"/>
    <n v="-150"/>
  </r>
  <r>
    <n v="10"/>
    <x v="8"/>
    <x v="3"/>
    <d v="2023-05-29T00:00:00"/>
    <n v="1456.9"/>
    <d v="2023-07-04T00:00:00"/>
    <n v="1601.5"/>
    <n v="2042"/>
    <n v="3"/>
    <n v="4370.7000000000007"/>
    <n v="9175.2000000000007"/>
    <n v="0"/>
    <n v="0"/>
    <n v="0"/>
    <n v="0"/>
    <n v="433.79999999999973"/>
  </r>
  <r>
    <n v="11"/>
    <x v="9"/>
    <x v="1"/>
    <d v="2023-05-29T00:00:00"/>
    <n v="184.65"/>
    <d v="2023-07-04T00:00:00"/>
    <n v="202.2"/>
    <n v="292.89999999999998"/>
    <n v="25"/>
    <n v="4616.25"/>
    <n v="9671.25"/>
    <n v="0"/>
    <n v="0"/>
    <n v="0"/>
    <n v="0"/>
    <n v="438.74999999999955"/>
  </r>
  <r>
    <n v="12"/>
    <x v="10"/>
    <x v="1"/>
    <d v="2023-06-01T00:00:00"/>
    <n v="3554.35"/>
    <d v="2023-08-01T00:00:00"/>
    <n v="3669"/>
    <n v="6480"/>
    <n v="1"/>
    <n v="3554.35"/>
    <n v="7223.35"/>
    <n v="0"/>
    <n v="0"/>
    <n v="0"/>
    <n v="0"/>
    <n v="114.65000000000009"/>
  </r>
  <r>
    <n v="13"/>
    <x v="11"/>
    <x v="1"/>
    <d v="2023-06-07T00:00:00"/>
    <n v="133.5"/>
    <d v="2023-07-25T00:00:00"/>
    <n v="160.44999999999999"/>
    <n v="360"/>
    <n v="12"/>
    <n v="1602"/>
    <n v="3527.3999999999996"/>
    <n v="0"/>
    <n v="0"/>
    <n v="0"/>
    <n v="0"/>
    <n v="323.39999999999986"/>
  </r>
  <r>
    <n v="14"/>
    <x v="12"/>
    <x v="1"/>
    <d v="2023-06-14T00:00:00"/>
    <n v="113.8"/>
    <d v="2023-07-10T00:00:00"/>
    <n v="168.42"/>
    <n v="170.82"/>
    <n v="40"/>
    <n v="4552"/>
    <n v="11288.8"/>
    <n v="0"/>
    <n v="0"/>
    <n v="0"/>
    <n v="0"/>
    <n v="2184.7999999999997"/>
  </r>
  <r>
    <n v="15"/>
    <x v="13"/>
    <x v="1"/>
    <d v="2023-06-26T00:00:00"/>
    <n v="1021.5"/>
    <d v="2023-07-27T00:00:00"/>
    <n v="1149.8499999999999"/>
    <n v="1501.5"/>
    <n v="4"/>
    <n v="4086"/>
    <n v="8685.4"/>
    <n v="0"/>
    <n v="0"/>
    <n v="0"/>
    <n v="0"/>
    <n v="513.39999999999964"/>
  </r>
  <r>
    <n v="16"/>
    <x v="14"/>
    <x v="1"/>
    <d v="2023-07-23T00:00:00"/>
    <n v="221.8"/>
    <d v="2023-08-01T00:00:00"/>
    <n v="242"/>
    <n v="382.4"/>
    <n v="20"/>
    <n v="4436"/>
    <n v="9276"/>
    <n v="0"/>
    <n v="0"/>
    <n v="0"/>
    <n v="0"/>
    <n v="403.99999999999977"/>
  </r>
  <r>
    <n v="17"/>
    <x v="15"/>
    <x v="0"/>
    <d v="2023-08-07T00:00:00"/>
    <n v="411"/>
    <d v="2023-10-26T00:00:00"/>
    <n v="377.05"/>
    <n v="271.3"/>
    <n v="50"/>
    <n v="20550"/>
    <n v="39402.5"/>
    <n v="0"/>
    <n v="0"/>
    <n v="0"/>
    <n v="0"/>
    <n v="-1697.4999999999995"/>
  </r>
  <r>
    <n v="18"/>
    <x v="2"/>
    <x v="0"/>
    <d v="2023-08-07T00:00:00"/>
    <n v="697.7"/>
    <d v="2023-08-14T00:00:00"/>
    <n v="647.70000000000005"/>
    <n v="512.29999999999995"/>
    <n v="21"/>
    <n v="14651.7"/>
    <n v="28253.4"/>
    <n v="0"/>
    <n v="0"/>
    <n v="0"/>
    <n v="0"/>
    <n v="-1050"/>
  </r>
  <r>
    <n v="19"/>
    <x v="16"/>
    <x v="0"/>
    <d v="2023-08-21T00:00:00"/>
    <n v="3079.2"/>
    <d v="2023-09-04T00:00:00"/>
    <n v="3088.05"/>
    <n v="3916.6"/>
    <n v="5"/>
    <n v="15396"/>
    <n v="30836.25"/>
    <n v="0"/>
    <n v="0"/>
    <n v="0"/>
    <n v="0"/>
    <n v="44.250000000001819"/>
  </r>
  <r>
    <n v="20"/>
    <x v="17"/>
    <x v="4"/>
    <d v="2023-08-30T00:00:00"/>
    <n v="639.4"/>
    <m/>
    <n v="0"/>
    <n v="763"/>
    <n v="11"/>
    <n v="7033.4"/>
    <n v="7033.4"/>
    <n v="1359.6000000000004"/>
    <n v="0.193306224585549"/>
    <n v="1.2"/>
    <n v="13.2"/>
    <n v="0"/>
  </r>
  <r>
    <n v="21"/>
    <x v="18"/>
    <x v="0"/>
    <m/>
    <n v="1"/>
    <m/>
    <n v="0"/>
    <n v="298.5"/>
    <n v="7"/>
    <n v="7"/>
    <n v="7"/>
    <n v="2082.5"/>
    <n v="297.5"/>
    <n v="-0.25"/>
    <n v="-1.75"/>
    <n v="0"/>
  </r>
  <r>
    <n v="22"/>
    <x v="19"/>
    <x v="1"/>
    <d v="2023-10-03T00:00:00"/>
    <n v="252.7"/>
    <d v="2023-10-26T00:00:00"/>
    <n v="217.5"/>
    <n v="302.89999999999998"/>
    <n v="43"/>
    <n v="10866.1"/>
    <n v="20218.599999999999"/>
    <n v="0"/>
    <n v="0"/>
    <n v="0"/>
    <n v="0"/>
    <n v="-1513.5999999999995"/>
  </r>
  <r>
    <n v="24"/>
    <x v="20"/>
    <x v="1"/>
    <d v="2023-10-03T00:00:00"/>
    <n v="704.4"/>
    <d v="2023-10-26T00:00:00"/>
    <n v="643.66999999999996"/>
    <n v="680.5"/>
    <n v="28"/>
    <n v="19723.2"/>
    <n v="37745.96"/>
    <n v="0"/>
    <n v="0"/>
    <n v="0"/>
    <n v="0"/>
    <n v="-1700.4400000000005"/>
  </r>
  <r>
    <n v="25"/>
    <x v="21"/>
    <x v="1"/>
    <d v="2023-10-06T00:00:00"/>
    <n v="3602.4"/>
    <d v="2023-10-19T00:00:00"/>
    <n v="3464.5"/>
    <n v="3305.1"/>
    <n v="11"/>
    <n v="39626.400000000001"/>
    <n v="77735.899999999994"/>
    <n v="0"/>
    <n v="0"/>
    <n v="0"/>
    <n v="0"/>
    <n v="-1516.900000000001"/>
  </r>
  <r>
    <n v="26"/>
    <x v="22"/>
    <x v="1"/>
    <d v="2023-10-13T00:00:00"/>
    <n v="915.55"/>
    <d v="2023-12-29T00:00:00"/>
    <n v="1072.45"/>
    <n v="1185.2"/>
    <n v="23"/>
    <n v="21057.649999999998"/>
    <n v="45724"/>
    <n v="0"/>
    <n v="0"/>
    <n v="0"/>
    <n v="0"/>
    <n v="3608.7000000000021"/>
  </r>
  <r>
    <n v="27"/>
    <x v="23"/>
    <x v="1"/>
    <d v="2023-11-06T00:00:00"/>
    <n v="5325.9"/>
    <d v="2023-12-01T00:00:00"/>
    <n v="6007.19"/>
    <n v="12855"/>
    <n v="4"/>
    <n v="21303.599999999999"/>
    <n v="45332.36"/>
    <n v="0"/>
    <n v="0"/>
    <n v="0"/>
    <n v="0"/>
    <n v="2725.16"/>
  </r>
  <r>
    <n v="28"/>
    <x v="24"/>
    <x v="1"/>
    <d v="2023-11-06T00:00:00"/>
    <n v="2955"/>
    <d v="2023-12-28T00:00:00"/>
    <n v="3555.95"/>
    <n v="4070"/>
    <n v="5"/>
    <n v="14775"/>
    <n v="32554.75"/>
    <n v="0"/>
    <n v="0"/>
    <n v="0"/>
    <n v="0"/>
    <n v="3004.7499999999991"/>
  </r>
  <r>
    <n v="29"/>
    <x v="25"/>
    <x v="5"/>
    <m/>
    <m/>
    <m/>
    <m/>
    <m/>
    <m/>
    <m/>
    <m/>
    <m/>
    <m/>
    <m/>
    <m/>
    <m/>
  </r>
  <r>
    <n v="30"/>
    <x v="25"/>
    <x v="5"/>
    <m/>
    <m/>
    <m/>
    <m/>
    <m/>
    <m/>
    <m/>
    <m/>
    <m/>
    <m/>
    <m/>
    <m/>
    <m/>
  </r>
  <r>
    <n v="31"/>
    <x v="25"/>
    <x v="5"/>
    <m/>
    <m/>
    <m/>
    <m/>
    <m/>
    <m/>
    <m/>
    <m/>
    <m/>
    <m/>
    <m/>
    <m/>
    <m/>
  </r>
  <r>
    <n v="32"/>
    <x v="25"/>
    <x v="5"/>
    <m/>
    <m/>
    <m/>
    <m/>
    <m/>
    <m/>
    <m/>
    <m/>
    <m/>
    <m/>
    <m/>
    <m/>
    <m/>
  </r>
  <r>
    <n v="33"/>
    <x v="25"/>
    <x v="5"/>
    <m/>
    <m/>
    <m/>
    <m/>
    <m/>
    <m/>
    <m/>
    <m/>
    <m/>
    <m/>
    <m/>
    <m/>
    <m/>
  </r>
  <r>
    <n v="34"/>
    <x v="25"/>
    <x v="5"/>
    <m/>
    <m/>
    <m/>
    <m/>
    <m/>
    <m/>
    <m/>
    <m/>
    <m/>
    <m/>
    <m/>
    <m/>
    <m/>
  </r>
  <r>
    <n v="35"/>
    <x v="25"/>
    <x v="5"/>
    <m/>
    <m/>
    <m/>
    <m/>
    <m/>
    <m/>
    <m/>
    <m/>
    <m/>
    <m/>
    <m/>
    <m/>
    <m/>
  </r>
  <r>
    <n v="36"/>
    <x v="25"/>
    <x v="5"/>
    <m/>
    <m/>
    <m/>
    <m/>
    <m/>
    <m/>
    <m/>
    <m/>
    <m/>
    <m/>
    <m/>
    <m/>
    <m/>
  </r>
  <r>
    <n v="37"/>
    <x v="25"/>
    <x v="5"/>
    <m/>
    <m/>
    <m/>
    <m/>
    <m/>
    <m/>
    <m/>
    <m/>
    <m/>
    <m/>
    <m/>
    <m/>
    <m/>
  </r>
  <r>
    <n v="38"/>
    <x v="25"/>
    <x v="5"/>
    <m/>
    <m/>
    <m/>
    <m/>
    <m/>
    <m/>
    <m/>
    <m/>
    <m/>
    <m/>
    <m/>
    <m/>
    <m/>
  </r>
  <r>
    <n v="39"/>
    <x v="25"/>
    <x v="5"/>
    <m/>
    <m/>
    <m/>
    <m/>
    <m/>
    <m/>
    <m/>
    <m/>
    <m/>
    <m/>
    <m/>
    <m/>
    <m/>
  </r>
  <r>
    <n v="40"/>
    <x v="25"/>
    <x v="5"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s v="TATACHEM"/>
    <s v="DHAN"/>
    <d v="2024-03-06T00:00:00"/>
    <n v="1075"/>
    <x v="0"/>
    <n v="1344.5"/>
    <n v="776.9"/>
    <n v="10"/>
    <n v="10750"/>
    <n v="24195"/>
    <n v="0"/>
    <n v="0"/>
    <n v="0"/>
    <n v="0"/>
    <n v="2695"/>
    <n v="0.25069767441860463"/>
  </r>
  <r>
    <n v="2"/>
    <s v="CHAMBLFERT"/>
    <s v="DHAN"/>
    <d v="2024-03-11T00:00:00"/>
    <n v="376"/>
    <x v="1"/>
    <n v="497.15"/>
    <n v="468.95"/>
    <n v="10"/>
    <n v="3760"/>
    <n v="8731.5"/>
    <n v="0"/>
    <n v="0"/>
    <n v="0"/>
    <n v="0"/>
    <n v="1211.4999999999998"/>
    <n v="0.3222074468085106"/>
  </r>
  <r>
    <n v="3"/>
    <s v="CHAMBLFERT"/>
    <s v="DHAN"/>
    <d v="2024-03-11T00:00:00"/>
    <n v="376"/>
    <x v="2"/>
    <n v="355.1"/>
    <n v="468.95"/>
    <n v="33"/>
    <n v="12408"/>
    <n v="24126.3"/>
    <n v="0"/>
    <n v="0"/>
    <n v="0"/>
    <n v="0"/>
    <n v="-689.69999999999925"/>
    <n v="-5.5585106382978665E-2"/>
  </r>
  <r>
    <n v="4"/>
    <s v="CHAMBLFERT"/>
    <s v="DHAN"/>
    <d v="2024-03-11T00:00:00"/>
    <n v="376"/>
    <x v="3"/>
    <n v="495.6"/>
    <n v="468.95"/>
    <n v="32"/>
    <n v="12032"/>
    <n v="27891.200000000001"/>
    <n v="0"/>
    <n v="0"/>
    <n v="0"/>
    <n v="0"/>
    <n v="3827.2000000000007"/>
    <n v="0.31808510638297877"/>
  </r>
  <r>
    <n v="5"/>
    <s v="HDFCLIFE"/>
    <s v="DHAN"/>
    <d v="2024-03-26T00:00:00"/>
    <n v="632"/>
    <x v="4"/>
    <n v="709.3"/>
    <n v="763"/>
    <n v="30"/>
    <n v="18960"/>
    <n v="40239"/>
    <n v="0"/>
    <n v="0"/>
    <n v="0"/>
    <n v="0"/>
    <n v="2318.9999999999986"/>
    <n v="0.12231012658227841"/>
  </r>
  <r>
    <n v="6"/>
    <s v="SAIL"/>
    <s v="DHAN"/>
    <d v="2024-03-26T00:00:00"/>
    <n v="131.19999999999999"/>
    <x v="5"/>
    <n v="164.4"/>
    <n v="133"/>
    <n v="100"/>
    <n v="13119.999999999998"/>
    <n v="29560.000000000004"/>
    <n v="0"/>
    <n v="0"/>
    <n v="0"/>
    <n v="0"/>
    <n v="3320.0000000000018"/>
    <n v="0.25304878048780505"/>
  </r>
  <r>
    <n v="7"/>
    <s v="INDGN"/>
    <s v="RAM"/>
    <d v="2024-05-13T00:00:00"/>
    <n v="452"/>
    <x v="6"/>
    <n v="606.4"/>
    <n v="532"/>
    <n v="33"/>
    <n v="14916"/>
    <n v="34927.200000000004"/>
    <n v="0"/>
    <n v="0"/>
    <n v="0"/>
    <n v="0"/>
    <n v="5095.1999999999989"/>
    <n v="0.34159292035398225"/>
  </r>
  <r>
    <n v="8"/>
    <s v="INDGN"/>
    <s v="KAMAL"/>
    <d v="2024-05-13T00:00:00"/>
    <n v="452"/>
    <x v="6"/>
    <n v="586"/>
    <n v="532"/>
    <n v="33"/>
    <n v="14916"/>
    <n v="34254"/>
    <n v="0"/>
    <n v="0"/>
    <n v="0"/>
    <n v="0"/>
    <n v="4422"/>
    <n v="0.29646017699115046"/>
  </r>
  <r>
    <n v="9"/>
    <s v="INDGN"/>
    <s v="ESPRESSO"/>
    <d v="2024-05-13T00:00:00"/>
    <n v="452"/>
    <x v="6"/>
    <n v="607"/>
    <n v="532"/>
    <n v="23"/>
    <n v="10396"/>
    <n v="24357"/>
    <n v="0"/>
    <n v="0"/>
    <n v="0"/>
    <n v="0"/>
    <n v="3565"/>
    <n v="0.34292035398230086"/>
  </r>
  <r>
    <n v="10"/>
    <s v="JSWSTEEL"/>
    <s v="DHAN"/>
    <d v="2024-04-29T00:00:00"/>
    <n v="897"/>
    <x v="7"/>
    <n v="945"/>
    <n v="1095.9000000000001"/>
    <n v="10"/>
    <n v="8970"/>
    <n v="18420"/>
    <n v="0"/>
    <n v="0"/>
    <n v="0"/>
    <n v="0"/>
    <n v="480"/>
    <n v="5.3511705685618728E-2"/>
  </r>
  <r>
    <n v="11"/>
    <s v="HINDALCO"/>
    <s v="DHAN"/>
    <d v="2024-05-23T00:00:00"/>
    <n v="675"/>
    <x v="8"/>
    <m/>
    <n v="863.85"/>
    <n v="10"/>
    <n v="6750"/>
    <n v="6750"/>
    <n v="1888.5000000000002"/>
    <n v="0.27977777777777779"/>
    <n v="-0.7"/>
    <n v="-7"/>
    <n v="0"/>
    <n v="0"/>
  </r>
  <r>
    <n v="12"/>
    <s v="OIL"/>
    <s v="DHAN"/>
    <d v="2024-05-27T00:00:00"/>
    <n v="445.33"/>
    <x v="9"/>
    <n v="673.4"/>
    <n v="411.7"/>
    <n v="12"/>
    <n v="5343.96"/>
    <n v="13424.76"/>
    <n v="0"/>
    <n v="0"/>
    <n v="0"/>
    <n v="0"/>
    <n v="2736.84"/>
    <n v="0.51213706689421323"/>
  </r>
  <r>
    <n v="13"/>
    <s v="CHOLAFIN"/>
    <s v="DHAN"/>
    <d v="2024-06-10T00:00:00"/>
    <n v="1358.9"/>
    <x v="10"/>
    <n v="1597.48"/>
    <n v="1678.4"/>
    <n v="10"/>
    <n v="13589"/>
    <n v="29563.800000000003"/>
    <n v="0"/>
    <n v="0"/>
    <n v="0"/>
    <n v="0"/>
    <n v="2385.7999999999993"/>
    <n v="0.17556847450143492"/>
  </r>
  <r>
    <n v="14"/>
    <s v="JSWSTEEL"/>
    <s v="DHAN"/>
    <d v="2024-06-21T00:00:00"/>
    <n v="937.85"/>
    <x v="7"/>
    <n v="945"/>
    <n v="1095.9000000000001"/>
    <n v="10"/>
    <n v="9378.5"/>
    <n v="18828.5"/>
    <n v="0"/>
    <n v="0"/>
    <n v="0"/>
    <n v="0"/>
    <n v="71.499999999999773"/>
    <n v="7.6238204403689044E-3"/>
  </r>
  <r>
    <n v="15"/>
    <s v="GLENMARK"/>
    <s v="FYERS"/>
    <d v="2024-07-03T00:00:00"/>
    <n v="1255.9000000000001"/>
    <x v="11"/>
    <n v="1414.75"/>
    <n v="2046.5"/>
    <n v="13"/>
    <n v="16326.7"/>
    <n v="34718.450000000004"/>
    <n v="0"/>
    <n v="0"/>
    <n v="0"/>
    <n v="0"/>
    <n v="2065.0499999999988"/>
    <n v="0.12648300023887243"/>
  </r>
  <r>
    <n v="16"/>
    <s v="LICHSGFIN"/>
    <s v="FYERS"/>
    <d v="2024-07-03T00:00:00"/>
    <n v="800.25"/>
    <x v="12"/>
    <n v="584.6"/>
    <n v="534.25"/>
    <n v="10"/>
    <n v="8002.5"/>
    <n v="13848.5"/>
    <n v="0"/>
    <n v="0"/>
    <n v="0"/>
    <n v="0"/>
    <n v="-2156.5"/>
    <n v="-0.26947828803498902"/>
  </r>
  <r>
    <n v="17"/>
    <s v="OIL"/>
    <s v="DHAN"/>
    <d v="2024-05-27T00:00:00"/>
    <n v="445.33"/>
    <x v="9"/>
    <n v="673.4"/>
    <n v="411.7"/>
    <n v="6"/>
    <n v="2671.98"/>
    <n v="6712.38"/>
    <n v="0"/>
    <n v="0"/>
    <n v="0"/>
    <n v="0"/>
    <n v="1368.42"/>
    <n v="0.51213706689421323"/>
  </r>
  <r>
    <n v="18"/>
    <s v="ITC"/>
    <s v="DHAN"/>
    <d v="2024-07-09T00:00:00"/>
    <n v="452.3"/>
    <x v="8"/>
    <m/>
    <n v="408.85"/>
    <n v="20"/>
    <n v="9046"/>
    <n v="9046"/>
    <n v="-868.99999999999977"/>
    <n v="-9.6064558921070062E-2"/>
    <n v="6.15"/>
    <n v="123"/>
    <n v="0"/>
    <n v="0"/>
  </r>
  <r>
    <n v="19"/>
    <s v="LAURUSLABS"/>
    <s v="DHAN"/>
    <d v="2024-07-10T00:00:00"/>
    <n v="481.05"/>
    <x v="13"/>
    <n v="579"/>
    <n v="1072.0999999999999"/>
    <n v="15"/>
    <n v="7215.75"/>
    <n v="15900.75"/>
    <n v="0"/>
    <n v="0"/>
    <n v="0"/>
    <n v="0"/>
    <n v="1469.2499999999998"/>
    <n v="0.20361708762082942"/>
  </r>
  <r>
    <n v="20"/>
    <s v="AARTIIND"/>
    <s v="DHAN"/>
    <d v="2024-12-04T00:00:00"/>
    <n v="564.1"/>
    <x v="1"/>
    <n v="684.3"/>
    <n v="380.6"/>
    <n v="8"/>
    <n v="4512.8"/>
    <n v="9987.2000000000007"/>
    <n v="0"/>
    <n v="0"/>
    <n v="0"/>
    <n v="0"/>
    <n v="961.59999999999945"/>
    <n v="0.21308278673993961"/>
  </r>
  <r>
    <n v="21"/>
    <s v="ZYDUSLIFE"/>
    <s v="FYERS"/>
    <d v="2024-07-26T00:00:00"/>
    <n v="1210.1500000000001"/>
    <x v="8"/>
    <m/>
    <n v="929.45"/>
    <n v="9"/>
    <n v="10891.35"/>
    <n v="10891.35"/>
    <n v="-2526.3000000000002"/>
    <n v="-0.23195471635747636"/>
    <n v="11.25"/>
    <n v="101.25"/>
    <n v="0"/>
    <n v="0"/>
  </r>
  <r>
    <n v="22"/>
    <s v="NORTHARC"/>
    <s v="Paytm"/>
    <d v="2024-09-24T00:00:00"/>
    <n v="263"/>
    <x v="14"/>
    <n v="333.9"/>
    <n v="253.65"/>
    <n v="57"/>
    <n v="14991"/>
    <n v="34023.299999999996"/>
    <n v="0"/>
    <n v="0"/>
    <n v="0"/>
    <n v="0"/>
    <n v="4041.2999999999988"/>
    <n v="0.26958174904942955"/>
  </r>
  <r>
    <n v="23"/>
    <s v="NORTHARC"/>
    <s v="ESPRESSO"/>
    <d v="2024-09-24T00:00:00"/>
    <n v="263"/>
    <x v="8"/>
    <n v="0"/>
    <n v="253.65"/>
    <n v="57"/>
    <n v="14991"/>
    <n v="14991"/>
    <n v="-532.9499999999997"/>
    <n v="-3.5551330798479067E-2"/>
    <n v="1.35"/>
    <n v="76.95"/>
    <n v="0"/>
    <n v="0"/>
  </r>
  <r>
    <n v="24"/>
    <s v="DALBHARAT"/>
    <s v="DHAN"/>
    <d v="2024-10-01T00:00:00"/>
    <n v="1951"/>
    <x v="8"/>
    <n v="0"/>
    <n v="2059"/>
    <n v="5"/>
    <n v="9755"/>
    <n v="9755"/>
    <n v="540"/>
    <n v="5.5356227575602254E-2"/>
    <n v="44.8"/>
    <n v="224"/>
    <n v="0"/>
    <n v="0"/>
  </r>
  <r>
    <n v="25"/>
    <s v="INDIGOPNTS"/>
    <s v="Paytm"/>
    <d v="2024-10-21T00:00:00"/>
    <n v="1646.15"/>
    <x v="8"/>
    <n v="0"/>
    <n v="1170.2"/>
    <n v="5"/>
    <n v="8230.75"/>
    <n v="8230.75"/>
    <n v="-2379.75"/>
    <n v="-0.28912918020836498"/>
    <n v="-10"/>
    <n v="-50"/>
    <n v="0"/>
    <n v="0"/>
  </r>
  <r>
    <n v="26"/>
    <s v="HDFCBANK"/>
    <s v="DHAN"/>
    <d v="2024-04-02T00:00:00"/>
    <n v="1489.55"/>
    <x v="7"/>
    <n v="1714.85"/>
    <n v="997"/>
    <n v="5"/>
    <n v="7447.75"/>
    <n v="16021.999999999998"/>
    <n v="0"/>
    <n v="0"/>
    <n v="0"/>
    <n v="0"/>
    <n v="1126.4999999999998"/>
    <n v="0.15125373434930009"/>
  </r>
  <r>
    <n v="27"/>
    <s v="VMM"/>
    <s v="RAM"/>
    <d v="2024-12-18T00:00:00"/>
    <n v="78"/>
    <x v="15"/>
    <n v="106.04"/>
    <n v="136.78"/>
    <n v="190"/>
    <n v="14820"/>
    <n v="34967.600000000006"/>
    <n v="0"/>
    <n v="0"/>
    <n v="0"/>
    <n v="0"/>
    <n v="5327.6000000000013"/>
    <n v="0.35948717948717956"/>
  </r>
  <r>
    <n v="28"/>
    <s v="IGIL"/>
    <s v="RAM"/>
    <d v="2024-12-20T00:00:00"/>
    <n v="417"/>
    <x v="16"/>
    <n v="510.14"/>
    <n v="325.10000000000002"/>
    <n v="35"/>
    <n v="14595"/>
    <n v="32449.899999999998"/>
    <n v="0"/>
    <n v="0"/>
    <n v="0"/>
    <n v="0"/>
    <n v="3259.8999999999996"/>
    <n v="0.22335731414868101"/>
  </r>
  <r>
    <n v="29"/>
    <s v="ANGELONE"/>
    <s v="DHAN"/>
    <d v="2025-01-01T00:00:00"/>
    <n v="3006.15"/>
    <x v="8"/>
    <m/>
    <n v="2543.1999999999998"/>
    <n v="3"/>
    <n v="9018.4500000000007"/>
    <n v="9018.4500000000007"/>
    <n v="-1388.8500000000008"/>
    <n v="-0.15400096468905419"/>
    <n v="-38.4"/>
    <n v="-115.19999999999999"/>
    <n v="0"/>
    <n v="0"/>
  </r>
  <r>
    <n v="30"/>
    <s v="JIOFIN"/>
    <s v="DHAN"/>
    <d v="2025-05-14T00:00:00"/>
    <n v="267"/>
    <x v="8"/>
    <m/>
    <n v="298.5"/>
    <n v="18"/>
    <n v="4806"/>
    <n v="4806"/>
    <n v="567"/>
    <n v="0.11797752808988764"/>
    <n v="-0.25"/>
    <n v="-4.5"/>
    <n v="0"/>
    <n v="0"/>
  </r>
  <r>
    <n v="31"/>
    <s v="TATAMOTORS"/>
    <s v="DHAN"/>
    <d v="2025-05-20T00:00:00"/>
    <n v="733"/>
    <x v="8"/>
    <m/>
    <s v=""/>
    <n v="6"/>
    <n v="4398"/>
    <n v="4398"/>
    <e v="#VALUE!"/>
    <n v="0"/>
    <n v="0"/>
    <n v="0"/>
    <n v="0"/>
    <n v="0"/>
  </r>
  <r>
    <n v="32"/>
    <s v="HINDZINC"/>
    <s v="ANGELONE"/>
    <d v="2025-06-05T00:00:00"/>
    <n v="475"/>
    <x v="12"/>
    <n v="446"/>
    <n v="610.20000000000005"/>
    <n v="30"/>
    <n v="14250"/>
    <n v="27630"/>
    <n v="0"/>
    <n v="0"/>
    <n v="0"/>
    <n v="0"/>
    <n v="-870"/>
    <n v="-6.1052631578947365E-2"/>
  </r>
  <r>
    <n v="33"/>
    <s v="IREDA"/>
    <s v="DHAN"/>
    <d v="2025-06-05T00:00:00"/>
    <n v="176.2"/>
    <x v="8"/>
    <n v="0"/>
    <n v="139"/>
    <n v="50"/>
    <n v="8810"/>
    <n v="8810"/>
    <n v="-1859.9999999999995"/>
    <n v="-0.21112372304199767"/>
    <n v="3.33"/>
    <n v="166.5"/>
    <n v="0"/>
    <n v="0"/>
  </r>
  <r>
    <n v="34"/>
    <s v="GODREJPROP"/>
    <s v="RAM"/>
    <d v="2025-06-03T00:00:00"/>
    <n v="2294.8000000000002"/>
    <x v="8"/>
    <n v="0"/>
    <n v="2019"/>
    <n v="5"/>
    <n v="11474"/>
    <n v="11474"/>
    <n v="-1379.0000000000009"/>
    <n v="-0.12018476555691135"/>
    <n v="-11.4"/>
    <n v="-57"/>
    <n v="0"/>
    <n v="0"/>
  </r>
  <r>
    <n v="35"/>
    <m/>
    <m/>
    <m/>
    <m/>
    <x v="8"/>
    <m/>
    <s v=""/>
    <m/>
    <n v="0"/>
    <n v="0"/>
    <e v="#VALUE!"/>
    <n v="0"/>
    <n v="0"/>
    <n v="0"/>
    <n v="0"/>
    <n v="0"/>
  </r>
  <r>
    <n v="36"/>
    <m/>
    <m/>
    <m/>
    <m/>
    <x v="8"/>
    <m/>
    <s v=""/>
    <m/>
    <n v="0"/>
    <n v="0"/>
    <e v="#VALUE!"/>
    <n v="0"/>
    <n v="0"/>
    <n v="0"/>
    <n v="0"/>
    <n v="0"/>
  </r>
  <r>
    <n v="37"/>
    <m/>
    <m/>
    <m/>
    <m/>
    <x v="8"/>
    <m/>
    <s v=""/>
    <m/>
    <n v="0"/>
    <n v="0"/>
    <e v="#VALUE!"/>
    <n v="0"/>
    <n v="0"/>
    <n v="0"/>
    <n v="0"/>
    <n v="0"/>
  </r>
  <r>
    <n v="38"/>
    <m/>
    <m/>
    <m/>
    <m/>
    <x v="8"/>
    <m/>
    <s v=""/>
    <m/>
    <n v="0"/>
    <n v="0"/>
    <e v="#VALUE!"/>
    <n v="0"/>
    <n v="0"/>
    <n v="0"/>
    <n v="0"/>
    <n v="0"/>
  </r>
  <r>
    <n v="39"/>
    <m/>
    <m/>
    <m/>
    <m/>
    <x v="8"/>
    <m/>
    <s v=""/>
    <m/>
    <n v="0"/>
    <n v="0"/>
    <e v="#VALUE!"/>
    <n v="0"/>
    <n v="0"/>
    <n v="0"/>
    <n v="0"/>
    <n v="0"/>
  </r>
  <r>
    <n v="40"/>
    <m/>
    <m/>
    <m/>
    <m/>
    <x v="8"/>
    <m/>
    <s v=""/>
    <m/>
    <n v="0"/>
    <n v="0"/>
    <e v="#VALUE!"/>
    <n v="0"/>
    <n v="0"/>
    <n v="0"/>
    <n v="0"/>
    <n v="0"/>
  </r>
  <r>
    <n v="41"/>
    <m/>
    <m/>
    <m/>
    <m/>
    <x v="8"/>
    <m/>
    <s v=""/>
    <m/>
    <n v="0"/>
    <n v="0"/>
    <e v="#VALUE!"/>
    <n v="0"/>
    <n v="0"/>
    <n v="0"/>
    <n v="0"/>
    <n v="0"/>
  </r>
  <r>
    <n v="42"/>
    <m/>
    <m/>
    <m/>
    <m/>
    <x v="8"/>
    <m/>
    <s v=""/>
    <m/>
    <n v="0"/>
    <n v="0"/>
    <e v="#VALUE!"/>
    <n v="0"/>
    <n v="0"/>
    <n v="0"/>
    <n v="0"/>
    <n v="0"/>
  </r>
  <r>
    <n v="43"/>
    <m/>
    <m/>
    <m/>
    <m/>
    <x v="8"/>
    <m/>
    <s v=""/>
    <m/>
    <n v="0"/>
    <n v="0"/>
    <e v="#VALUE!"/>
    <n v="0"/>
    <n v="0"/>
    <n v="0"/>
    <n v="0"/>
    <n v="0"/>
  </r>
  <r>
    <n v="44"/>
    <m/>
    <m/>
    <m/>
    <m/>
    <x v="8"/>
    <m/>
    <s v=""/>
    <m/>
    <n v="0"/>
    <n v="0"/>
    <e v="#VALUE!"/>
    <n v="0"/>
    <n v="0"/>
    <n v="0"/>
    <n v="0"/>
    <n v="0"/>
  </r>
  <r>
    <n v="45"/>
    <m/>
    <m/>
    <m/>
    <m/>
    <x v="8"/>
    <m/>
    <s v=""/>
    <m/>
    <n v="0"/>
    <n v="0"/>
    <e v="#VALUE!"/>
    <n v="0"/>
    <n v="0"/>
    <n v="0"/>
    <n v="0"/>
    <n v="0"/>
  </r>
  <r>
    <n v="46"/>
    <m/>
    <m/>
    <m/>
    <m/>
    <x v="8"/>
    <m/>
    <s v=""/>
    <m/>
    <n v="0"/>
    <n v="0"/>
    <e v="#VALUE!"/>
    <n v="0"/>
    <n v="0"/>
    <n v="0"/>
    <n v="0"/>
    <n v="0"/>
  </r>
  <r>
    <n v="47"/>
    <m/>
    <m/>
    <m/>
    <m/>
    <x v="8"/>
    <m/>
    <s v=""/>
    <m/>
    <n v="0"/>
    <n v="0"/>
    <e v="#VALUE!"/>
    <n v="0"/>
    <n v="0"/>
    <n v="0"/>
    <n v="0"/>
    <n v="0"/>
  </r>
  <r>
    <n v="48"/>
    <m/>
    <m/>
    <m/>
    <m/>
    <x v="8"/>
    <m/>
    <s v=""/>
    <m/>
    <n v="0"/>
    <n v="0"/>
    <e v="#VALUE!"/>
    <n v="0"/>
    <n v="0"/>
    <n v="0"/>
    <n v="0"/>
    <n v="0"/>
  </r>
  <r>
    <n v="49"/>
    <m/>
    <m/>
    <m/>
    <m/>
    <x v="8"/>
    <m/>
    <s v=""/>
    <m/>
    <n v="0"/>
    <n v="0"/>
    <e v="#VALUE!"/>
    <n v="0"/>
    <n v="0"/>
    <n v="0"/>
    <n v="0"/>
    <n v="0"/>
  </r>
  <r>
    <n v="50"/>
    <m/>
    <m/>
    <m/>
    <m/>
    <x v="8"/>
    <m/>
    <s v=""/>
    <m/>
    <n v="0"/>
    <n v="0"/>
    <e v="#VALUE!"/>
    <n v="0"/>
    <n v="0"/>
    <n v="0"/>
    <n v="0"/>
    <n v="0"/>
  </r>
  <r>
    <n v="51"/>
    <m/>
    <m/>
    <m/>
    <m/>
    <x v="8"/>
    <m/>
    <s v=""/>
    <m/>
    <n v="0"/>
    <n v="0"/>
    <e v="#VALUE!"/>
    <n v="0"/>
    <n v="0"/>
    <n v="0"/>
    <n v="0"/>
    <n v="0"/>
  </r>
  <r>
    <n v="52"/>
    <m/>
    <m/>
    <m/>
    <m/>
    <x v="8"/>
    <m/>
    <s v=""/>
    <m/>
    <n v="0"/>
    <n v="0"/>
    <e v="#VALUE!"/>
    <n v="0"/>
    <n v="0"/>
    <n v="0"/>
    <n v="0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DHAN"/>
    <d v="2024-03-06T00:00:00"/>
    <n v="1075"/>
    <d v="2024-03-07T00:00:00"/>
    <n v="1344.5"/>
    <n v="776.9"/>
    <n v="10"/>
    <n v="10750"/>
    <n v="24195"/>
    <n v="0"/>
    <n v="0"/>
    <n v="0"/>
    <n v="0"/>
    <n v="2695"/>
    <n v="0.25069767441860463"/>
  </r>
  <r>
    <x v="1"/>
    <s v="DHAN"/>
    <d v="2024-03-11T00:00:00"/>
    <n v="376"/>
    <d v="2024-07-19T00:00:00"/>
    <n v="497.15"/>
    <n v="468.95"/>
    <n v="10"/>
    <n v="3760"/>
    <n v="8731.5"/>
    <n v="0"/>
    <n v="0"/>
    <n v="0"/>
    <n v="0"/>
    <n v="1211.4999999999998"/>
    <n v="0.3222074468085106"/>
  </r>
  <r>
    <x v="1"/>
    <s v="DHAN"/>
    <d v="2024-03-11T00:00:00"/>
    <n v="376"/>
    <d v="2024-03-13T00:00:00"/>
    <n v="355.1"/>
    <n v="468.95"/>
    <n v="33"/>
    <n v="12408"/>
    <n v="24126.3"/>
    <n v="0"/>
    <n v="0"/>
    <n v="0"/>
    <n v="0"/>
    <n v="-689.69999999999925"/>
    <n v="-5.5585106382978665E-2"/>
  </r>
  <r>
    <x v="1"/>
    <s v="DHAN"/>
    <d v="2024-03-11T00:00:00"/>
    <n v="376"/>
    <d v="2024-06-20T00:00:00"/>
    <n v="495.6"/>
    <n v="468.95"/>
    <n v="32"/>
    <n v="12032"/>
    <n v="27891.200000000001"/>
    <n v="0"/>
    <n v="0"/>
    <n v="0"/>
    <n v="0"/>
    <n v="3827.2000000000007"/>
    <n v="0.31808510638297877"/>
  </r>
  <r>
    <x v="2"/>
    <s v="DHAN"/>
    <d v="2024-03-26T00:00:00"/>
    <n v="632"/>
    <d v="2024-10-01T00:00:00"/>
    <n v="709.3"/>
    <n v="763"/>
    <n v="30"/>
    <n v="18960"/>
    <n v="40239"/>
    <n v="0"/>
    <n v="0"/>
    <n v="0"/>
    <n v="0"/>
    <n v="2318.9999999999986"/>
    <n v="0.12231012658227841"/>
  </r>
  <r>
    <x v="3"/>
    <s v="DHAN"/>
    <d v="2024-03-26T00:00:00"/>
    <n v="131.19999999999999"/>
    <d v="2024-04-26T00:00:00"/>
    <n v="164.4"/>
    <n v="133"/>
    <n v="100"/>
    <n v="13119.999999999998"/>
    <n v="29560.000000000004"/>
    <n v="0"/>
    <n v="0"/>
    <n v="0"/>
    <n v="0"/>
    <n v="3320.0000000000018"/>
    <n v="0.25304878048780505"/>
  </r>
  <r>
    <x v="4"/>
    <s v="RAM"/>
    <d v="2024-05-13T00:00:00"/>
    <n v="452"/>
    <d v="2024-05-13T00:00:00"/>
    <n v="606.4"/>
    <n v="532"/>
    <n v="33"/>
    <n v="14916"/>
    <n v="34927.200000000004"/>
    <n v="0"/>
    <n v="0"/>
    <n v="0"/>
    <n v="0"/>
    <n v="5095.1999999999989"/>
    <n v="0.34159292035398225"/>
  </r>
  <r>
    <x v="4"/>
    <s v="KAMAL"/>
    <d v="2024-05-13T00:00:00"/>
    <n v="452"/>
    <d v="2024-05-13T00:00:00"/>
    <n v="586"/>
    <n v="532"/>
    <n v="33"/>
    <n v="14916"/>
    <n v="34254"/>
    <n v="0"/>
    <n v="0"/>
    <n v="0"/>
    <n v="0"/>
    <n v="4422"/>
    <n v="0.29646017699115046"/>
  </r>
  <r>
    <x v="4"/>
    <s v="ESPRESSO"/>
    <d v="2024-05-13T00:00:00"/>
    <n v="452"/>
    <d v="2024-05-13T00:00:00"/>
    <n v="607"/>
    <n v="532"/>
    <n v="23"/>
    <n v="10396"/>
    <n v="24357"/>
    <n v="0"/>
    <n v="0"/>
    <n v="0"/>
    <n v="0"/>
    <n v="3565"/>
    <n v="0.34292035398230086"/>
  </r>
  <r>
    <x v="5"/>
    <s v="DHAN"/>
    <d v="2024-04-29T00:00:00"/>
    <n v="897"/>
    <d v="2024-11-04T00:00:00"/>
    <n v="945"/>
    <n v="1095.9000000000001"/>
    <n v="10"/>
    <n v="8970"/>
    <n v="18420"/>
    <n v="0"/>
    <n v="0"/>
    <n v="0"/>
    <n v="0"/>
    <n v="480"/>
    <n v="5.3511705685618728E-2"/>
  </r>
  <r>
    <x v="6"/>
    <s v="DHAN"/>
    <d v="2024-05-23T00:00:00"/>
    <n v="675"/>
    <m/>
    <m/>
    <n v="863.85"/>
    <n v="10"/>
    <n v="6750"/>
    <n v="6750"/>
    <n v="1888.5000000000002"/>
    <n v="0.27977777777777779"/>
    <n v="-0.7"/>
    <n v="-7"/>
    <n v="0"/>
    <n v="0"/>
  </r>
  <r>
    <x v="7"/>
    <s v="DHAN"/>
    <d v="2024-05-27T00:00:00"/>
    <n v="445.33"/>
    <d v="2024-08-20T00:00:00"/>
    <n v="673.4"/>
    <n v="411.7"/>
    <n v="12"/>
    <n v="5343.96"/>
    <n v="13424.76"/>
    <n v="0"/>
    <n v="0"/>
    <n v="0"/>
    <n v="0"/>
    <n v="2736.84"/>
    <n v="0.51213706689421323"/>
  </r>
  <r>
    <x v="8"/>
    <s v="DHAN"/>
    <d v="2024-06-10T00:00:00"/>
    <n v="1358.9"/>
    <d v="2025-05-30T00:00:00"/>
    <n v="1597.48"/>
    <n v="1678.4"/>
    <n v="10"/>
    <n v="13589"/>
    <n v="29563.800000000003"/>
    <n v="0"/>
    <n v="0"/>
    <n v="0"/>
    <n v="0"/>
    <n v="2385.7999999999993"/>
    <n v="0.17556847450143492"/>
  </r>
  <r>
    <x v="5"/>
    <s v="DHAN"/>
    <d v="2024-06-21T00:00:00"/>
    <n v="937.85"/>
    <d v="2024-11-04T00:00:00"/>
    <n v="945"/>
    <n v="1095.9000000000001"/>
    <n v="10"/>
    <n v="9378.5"/>
    <n v="18828.5"/>
    <n v="0"/>
    <n v="0"/>
    <n v="0"/>
    <n v="0"/>
    <n v="71.499999999999773"/>
    <n v="7.6238204403689044E-3"/>
  </r>
  <r>
    <x v="9"/>
    <s v="FYERS"/>
    <d v="2024-07-03T00:00:00"/>
    <n v="1255.9000000000001"/>
    <d v="2024-07-25T00:00:00"/>
    <n v="1414.75"/>
    <n v="2046.5"/>
    <n v="13"/>
    <n v="16326.7"/>
    <n v="34718.450000000004"/>
    <n v="0"/>
    <n v="0"/>
    <n v="0"/>
    <n v="0"/>
    <n v="2065.0499999999988"/>
    <n v="0.12648300023887243"/>
  </r>
  <r>
    <x v="10"/>
    <s v="FYERS"/>
    <d v="2024-07-03T00:00:00"/>
    <n v="800.25"/>
    <d v="2025-06-19T00:00:00"/>
    <n v="584.6"/>
    <n v="534.25"/>
    <n v="10"/>
    <n v="8002.5"/>
    <n v="13848.5"/>
    <n v="0"/>
    <n v="0"/>
    <n v="0"/>
    <n v="0"/>
    <n v="-2156.5"/>
    <n v="-0.26947828803498902"/>
  </r>
  <r>
    <x v="7"/>
    <s v="DHAN"/>
    <d v="2024-05-27T00:00:00"/>
    <n v="445.33"/>
    <d v="2024-08-20T00:00:00"/>
    <n v="673.4"/>
    <n v="411.7"/>
    <n v="6"/>
    <n v="2671.98"/>
    <n v="6712.38"/>
    <n v="0"/>
    <n v="0"/>
    <n v="0"/>
    <n v="0"/>
    <n v="1368.42"/>
    <n v="0.51213706689421323"/>
  </r>
  <r>
    <x v="11"/>
    <s v="DHAN"/>
    <d v="2024-07-09T00:00:00"/>
    <n v="452.3"/>
    <m/>
    <m/>
    <n v="408.85"/>
    <n v="20"/>
    <n v="9046"/>
    <n v="9046"/>
    <n v="-868.99999999999977"/>
    <n v="-9.6064558921070062E-2"/>
    <n v="6.15"/>
    <n v="123"/>
    <n v="0"/>
    <n v="0"/>
  </r>
  <r>
    <x v="12"/>
    <s v="DHAN"/>
    <d v="2024-07-10T00:00:00"/>
    <n v="481.05"/>
    <d v="2025-01-13T00:00:00"/>
    <n v="579"/>
    <n v="1072.0999999999999"/>
    <n v="15"/>
    <n v="7215.75"/>
    <n v="15900.75"/>
    <n v="0"/>
    <n v="0"/>
    <n v="0"/>
    <n v="0"/>
    <n v="1469.2499999999998"/>
    <n v="0.20361708762082942"/>
  </r>
  <r>
    <x v="13"/>
    <s v="DHAN"/>
    <d v="2024-12-04T00:00:00"/>
    <n v="564.1"/>
    <d v="2024-07-19T00:00:00"/>
    <n v="684.3"/>
    <n v="380.6"/>
    <n v="8"/>
    <n v="4512.8"/>
    <n v="9987.2000000000007"/>
    <n v="0"/>
    <n v="0"/>
    <n v="0"/>
    <n v="0"/>
    <n v="961.59999999999945"/>
    <n v="0.21308278673993961"/>
  </r>
  <r>
    <x v="14"/>
    <s v="FYERS"/>
    <d v="2024-07-26T00:00:00"/>
    <n v="1210.1500000000001"/>
    <m/>
    <m/>
    <n v="929.45"/>
    <n v="9"/>
    <n v="10891.35"/>
    <n v="10891.35"/>
    <n v="-2526.3000000000002"/>
    <n v="-0.23195471635747636"/>
    <n v="11.25"/>
    <n v="101.25"/>
    <n v="0"/>
    <n v="0"/>
  </r>
  <r>
    <x v="15"/>
    <s v="Paytm"/>
    <d v="2024-09-24T00:00:00"/>
    <n v="263"/>
    <d v="2024-09-24T00:00:00"/>
    <n v="333.9"/>
    <n v="253.65"/>
    <n v="57"/>
    <n v="14991"/>
    <n v="34023.299999999996"/>
    <n v="0"/>
    <n v="0"/>
    <n v="0"/>
    <n v="0"/>
    <n v="4041.2999999999988"/>
    <n v="0.26958174904942955"/>
  </r>
  <r>
    <x v="15"/>
    <s v="ESPRESSO"/>
    <d v="2024-09-24T00:00:00"/>
    <n v="263"/>
    <m/>
    <n v="0"/>
    <n v="253.65"/>
    <n v="57"/>
    <n v="14991"/>
    <n v="14991"/>
    <n v="-532.9499999999997"/>
    <n v="-3.5551330798479067E-2"/>
    <n v="1.35"/>
    <n v="76.95"/>
    <n v="0"/>
    <n v="0"/>
  </r>
  <r>
    <x v="16"/>
    <s v="DHAN"/>
    <d v="2024-10-01T00:00:00"/>
    <n v="1951"/>
    <m/>
    <n v="0"/>
    <n v="2059"/>
    <n v="5"/>
    <n v="9755"/>
    <n v="9755"/>
    <n v="540"/>
    <n v="5.5356227575602254E-2"/>
    <n v="44.8"/>
    <n v="224"/>
    <n v="0"/>
    <n v="0"/>
  </r>
  <r>
    <x v="17"/>
    <s v="Paytm"/>
    <d v="2024-10-21T00:00:00"/>
    <n v="1646.15"/>
    <m/>
    <n v="0"/>
    <n v="1170.2"/>
    <n v="5"/>
    <n v="8230.75"/>
    <n v="8230.75"/>
    <n v="-2379.75"/>
    <n v="-0.28912918020836498"/>
    <n v="-10"/>
    <n v="-50"/>
    <n v="0"/>
    <n v="0"/>
  </r>
  <r>
    <x v="18"/>
    <s v="DHAN"/>
    <d v="2024-04-02T00:00:00"/>
    <n v="1489.55"/>
    <d v="2024-11-04T00:00:00"/>
    <n v="1714.85"/>
    <n v="997"/>
    <n v="5"/>
    <n v="7447.75"/>
    <n v="16021.999999999998"/>
    <n v="0"/>
    <n v="0"/>
    <n v="0"/>
    <n v="0"/>
    <n v="1126.4999999999998"/>
    <n v="0.15125373434930009"/>
  </r>
  <r>
    <x v="19"/>
    <s v="RAM"/>
    <d v="2024-12-18T00:00:00"/>
    <n v="78"/>
    <d v="2024-12-18T00:00:00"/>
    <n v="106.04"/>
    <n v="136.78"/>
    <n v="190"/>
    <n v="14820"/>
    <n v="34967.600000000006"/>
    <n v="0"/>
    <n v="0"/>
    <n v="0"/>
    <n v="0"/>
    <n v="5327.6000000000013"/>
    <n v="0.35948717948717956"/>
  </r>
  <r>
    <x v="20"/>
    <s v="RAM"/>
    <d v="2024-12-20T00:00:00"/>
    <n v="417"/>
    <d v="2024-12-20T00:00:00"/>
    <n v="510.14"/>
    <n v="325.10000000000002"/>
    <n v="35"/>
    <n v="14595"/>
    <n v="32449.899999999998"/>
    <n v="0"/>
    <n v="0"/>
    <n v="0"/>
    <n v="0"/>
    <n v="3259.8999999999996"/>
    <n v="0.22335731414868101"/>
  </r>
  <r>
    <x v="21"/>
    <s v="DHAN"/>
    <d v="2025-01-01T00:00:00"/>
    <n v="3006.15"/>
    <m/>
    <m/>
    <n v="2543.1999999999998"/>
    <n v="3"/>
    <n v="9018.4500000000007"/>
    <n v="9018.4500000000007"/>
    <n v="-1388.8500000000008"/>
    <n v="-0.15400096468905419"/>
    <n v="-38.4"/>
    <n v="-115.19999999999999"/>
    <n v="0"/>
    <n v="0"/>
  </r>
  <r>
    <x v="22"/>
    <s v="DHAN"/>
    <d v="2025-05-14T00:00:00"/>
    <n v="267"/>
    <m/>
    <m/>
    <n v="298.5"/>
    <n v="18"/>
    <n v="4806"/>
    <n v="4806"/>
    <n v="567"/>
    <n v="0.11797752808988764"/>
    <n v="-0.25"/>
    <n v="-4.5"/>
    <n v="0"/>
    <n v="0"/>
  </r>
  <r>
    <x v="23"/>
    <s v="DHAN"/>
    <d v="2025-05-20T00:00:00"/>
    <n v="733"/>
    <m/>
    <m/>
    <s v=""/>
    <n v="6"/>
    <n v="4398"/>
    <n v="4398"/>
    <e v="#VALUE!"/>
    <n v="0"/>
    <n v="0"/>
    <n v="0"/>
    <n v="0"/>
    <n v="0"/>
  </r>
  <r>
    <x v="24"/>
    <s v="ANGELONE"/>
    <d v="2025-06-05T00:00:00"/>
    <n v="475"/>
    <d v="2025-06-19T00:00:00"/>
    <n v="446"/>
    <n v="610.20000000000005"/>
    <n v="30"/>
    <n v="14250"/>
    <n v="27630"/>
    <n v="0"/>
    <n v="0"/>
    <n v="0"/>
    <n v="0"/>
    <n v="-870"/>
    <n v="-6.1052631578947365E-2"/>
  </r>
  <r>
    <x v="25"/>
    <s v="DHAN"/>
    <d v="2025-06-05T00:00:00"/>
    <n v="176.2"/>
    <m/>
    <n v="0"/>
    <n v="139"/>
    <n v="50"/>
    <n v="8810"/>
    <n v="8810"/>
    <n v="-1859.9999999999995"/>
    <n v="-0.21112372304199767"/>
    <n v="3.33"/>
    <n v="166.5"/>
    <n v="0"/>
    <n v="0"/>
  </r>
  <r>
    <x v="26"/>
    <s v="RAM"/>
    <d v="2025-06-03T00:00:00"/>
    <n v="2294.8000000000002"/>
    <m/>
    <n v="0"/>
    <n v="2019"/>
    <n v="5"/>
    <n v="11474"/>
    <n v="11474"/>
    <n v="-1379.0000000000009"/>
    <n v="-0.12018476555691135"/>
    <n v="-11.4"/>
    <n v="-57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  <r>
    <x v="27"/>
    <m/>
    <m/>
    <m/>
    <m/>
    <m/>
    <s v=""/>
    <m/>
    <n v="0"/>
    <n v="0"/>
    <e v="#VALUE!"/>
    <n v="0"/>
    <n v="0"/>
    <n v="0"/>
    <n v="0"/>
    <n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d v="2024-03-06T00:00:00"/>
    <n v="1075"/>
    <d v="2024-03-07T00:00:00"/>
    <n v="1344.5"/>
    <n v="776.9"/>
    <n v="10"/>
    <n v="10750"/>
    <n v="24195"/>
    <n v="0"/>
    <n v="0"/>
    <n v="0"/>
    <n v="0"/>
    <n v="2695"/>
  </r>
  <r>
    <n v="2"/>
    <x v="1"/>
    <x v="0"/>
    <d v="2024-03-11T00:00:00"/>
    <n v="376"/>
    <d v="2024-07-19T00:00:00"/>
    <n v="497.15"/>
    <n v="468.95"/>
    <n v="10"/>
    <n v="3760"/>
    <n v="8731.5"/>
    <n v="0"/>
    <n v="0"/>
    <n v="0"/>
    <n v="0"/>
    <n v="1211.4999999999998"/>
  </r>
  <r>
    <n v="3"/>
    <x v="1"/>
    <x v="0"/>
    <d v="2024-03-11T00:00:00"/>
    <n v="376"/>
    <d v="2024-03-13T00:00:00"/>
    <n v="355.1"/>
    <n v="468.95"/>
    <n v="33"/>
    <n v="12408"/>
    <n v="24126.3"/>
    <n v="0"/>
    <n v="0"/>
    <n v="0"/>
    <n v="0"/>
    <n v="-689.69999999999925"/>
  </r>
  <r>
    <n v="4"/>
    <x v="1"/>
    <x v="0"/>
    <d v="2024-03-11T00:00:00"/>
    <n v="376"/>
    <d v="2024-06-20T00:00:00"/>
    <n v="495.6"/>
    <n v="468.95"/>
    <n v="32"/>
    <n v="12032"/>
    <n v="27891.200000000001"/>
    <n v="0"/>
    <n v="0"/>
    <n v="0"/>
    <n v="0"/>
    <n v="3827.2000000000007"/>
  </r>
  <r>
    <n v="5"/>
    <x v="2"/>
    <x v="0"/>
    <d v="2024-03-26T00:00:00"/>
    <n v="632"/>
    <d v="2024-10-01T00:00:00"/>
    <n v="709.3"/>
    <n v="763"/>
    <n v="30"/>
    <n v="18960"/>
    <n v="40239"/>
    <n v="0"/>
    <n v="0"/>
    <n v="0"/>
    <n v="0"/>
    <n v="2318.9999999999986"/>
  </r>
  <r>
    <n v="6"/>
    <x v="3"/>
    <x v="0"/>
    <d v="2024-03-26T00:00:00"/>
    <n v="131.19999999999999"/>
    <d v="2024-04-26T00:00:00"/>
    <n v="164.4"/>
    <n v="133"/>
    <n v="100"/>
    <n v="13119.999999999998"/>
    <n v="29560.000000000004"/>
    <n v="0"/>
    <n v="0"/>
    <n v="0"/>
    <n v="0"/>
    <n v="3320.0000000000018"/>
  </r>
  <r>
    <n v="7"/>
    <x v="4"/>
    <x v="1"/>
    <d v="2024-05-13T00:00:00"/>
    <n v="452"/>
    <d v="2024-05-13T00:00:00"/>
    <n v="606.4"/>
    <n v="532"/>
    <n v="33"/>
    <n v="14916"/>
    <n v="34927.200000000004"/>
    <n v="0"/>
    <n v="0"/>
    <n v="0"/>
    <n v="0"/>
    <n v="5095.1999999999989"/>
  </r>
  <r>
    <n v="8"/>
    <x v="4"/>
    <x v="2"/>
    <d v="2024-05-13T00:00:00"/>
    <n v="452"/>
    <d v="2024-05-13T00:00:00"/>
    <n v="586"/>
    <n v="532"/>
    <n v="33"/>
    <n v="14916"/>
    <n v="34254"/>
    <n v="0"/>
    <n v="0"/>
    <n v="0"/>
    <n v="0"/>
    <n v="4422"/>
  </r>
  <r>
    <n v="9"/>
    <x v="4"/>
    <x v="3"/>
    <d v="2024-05-13T00:00:00"/>
    <n v="452"/>
    <d v="2024-05-13T00:00:00"/>
    <n v="607"/>
    <n v="532"/>
    <n v="23"/>
    <n v="10396"/>
    <n v="24357"/>
    <n v="0"/>
    <n v="0"/>
    <n v="0"/>
    <n v="0"/>
    <n v="3565"/>
  </r>
  <r>
    <n v="10"/>
    <x v="5"/>
    <x v="0"/>
    <d v="2024-04-29T00:00:00"/>
    <n v="897"/>
    <d v="2024-11-04T00:00:00"/>
    <n v="945"/>
    <n v="1095.9000000000001"/>
    <n v="10"/>
    <n v="8970"/>
    <n v="18420"/>
    <n v="0"/>
    <n v="0"/>
    <n v="0"/>
    <n v="0"/>
    <n v="480"/>
  </r>
  <r>
    <n v="11"/>
    <x v="6"/>
    <x v="0"/>
    <d v="2024-05-23T00:00:00"/>
    <n v="675"/>
    <m/>
    <m/>
    <n v="863.85"/>
    <n v="10"/>
    <n v="6750"/>
    <n v="6750"/>
    <n v="1888.5000000000002"/>
    <n v="0.27977777777777779"/>
    <n v="-0.7"/>
    <n v="-7"/>
    <n v="0"/>
  </r>
  <r>
    <n v="12"/>
    <x v="7"/>
    <x v="0"/>
    <d v="2024-05-27T00:00:00"/>
    <n v="445.33"/>
    <d v="2024-08-20T00:00:00"/>
    <n v="673.4"/>
    <n v="411.7"/>
    <n v="12"/>
    <n v="5343.96"/>
    <n v="13424.76"/>
    <n v="0"/>
    <n v="0"/>
    <n v="0"/>
    <n v="0"/>
    <n v="2736.84"/>
  </r>
  <r>
    <n v="13"/>
    <x v="8"/>
    <x v="0"/>
    <d v="2024-06-10T00:00:00"/>
    <n v="1358.9"/>
    <d v="2025-05-30T00:00:00"/>
    <n v="1597.48"/>
    <n v="1678.4"/>
    <n v="10"/>
    <n v="13589"/>
    <n v="29563.800000000003"/>
    <n v="0"/>
    <n v="0"/>
    <n v="0"/>
    <n v="0"/>
    <n v="2385.7999999999993"/>
  </r>
  <r>
    <n v="14"/>
    <x v="5"/>
    <x v="0"/>
    <d v="2024-06-21T00:00:00"/>
    <n v="937.85"/>
    <d v="2024-11-04T00:00:00"/>
    <n v="945"/>
    <n v="1095.9000000000001"/>
    <n v="10"/>
    <n v="9378.5"/>
    <n v="18828.5"/>
    <n v="0"/>
    <n v="0"/>
    <n v="0"/>
    <n v="0"/>
    <n v="71.499999999999773"/>
  </r>
  <r>
    <n v="15"/>
    <x v="9"/>
    <x v="4"/>
    <d v="2024-07-03T00:00:00"/>
    <n v="1255.9000000000001"/>
    <d v="2024-07-25T00:00:00"/>
    <n v="1414.75"/>
    <n v="2046.5"/>
    <n v="13"/>
    <n v="16326.7"/>
    <n v="34718.450000000004"/>
    <n v="0"/>
    <n v="0"/>
    <n v="0"/>
    <n v="0"/>
    <n v="2065.0499999999988"/>
  </r>
  <r>
    <n v="16"/>
    <x v="10"/>
    <x v="4"/>
    <d v="2024-07-03T00:00:00"/>
    <n v="800.25"/>
    <d v="2025-06-19T00:00:00"/>
    <n v="584.6"/>
    <n v="534.25"/>
    <n v="10"/>
    <n v="8002.5"/>
    <n v="13848.5"/>
    <n v="0"/>
    <n v="0"/>
    <n v="0"/>
    <n v="0"/>
    <n v="-2156.5"/>
  </r>
  <r>
    <n v="17"/>
    <x v="7"/>
    <x v="0"/>
    <d v="2024-05-27T00:00:00"/>
    <n v="445.33"/>
    <d v="2024-08-20T00:00:00"/>
    <n v="673.4"/>
    <n v="411.7"/>
    <n v="6"/>
    <n v="2671.98"/>
    <n v="6712.38"/>
    <n v="0"/>
    <n v="0"/>
    <n v="0"/>
    <n v="0"/>
    <n v="1368.42"/>
  </r>
  <r>
    <n v="18"/>
    <x v="11"/>
    <x v="0"/>
    <d v="2024-07-09T00:00:00"/>
    <n v="452.3"/>
    <m/>
    <m/>
    <n v="408.85"/>
    <n v="20"/>
    <n v="9046"/>
    <n v="9046"/>
    <n v="-868.99999999999977"/>
    <n v="-9.6064558921070062E-2"/>
    <n v="6.15"/>
    <n v="123"/>
    <n v="0"/>
  </r>
  <r>
    <n v="19"/>
    <x v="12"/>
    <x v="0"/>
    <d v="2024-07-10T00:00:00"/>
    <n v="481.05"/>
    <d v="2025-01-13T00:00:00"/>
    <n v="579"/>
    <n v="1072.0999999999999"/>
    <n v="15"/>
    <n v="7215.75"/>
    <n v="15900.75"/>
    <n v="0"/>
    <n v="0"/>
    <n v="0"/>
    <n v="0"/>
    <n v="1469.2499999999998"/>
  </r>
  <r>
    <n v="20"/>
    <x v="13"/>
    <x v="0"/>
    <d v="2024-12-04T00:00:00"/>
    <n v="564.1"/>
    <d v="2024-07-19T00:00:00"/>
    <n v="684.3"/>
    <n v="380.6"/>
    <n v="8"/>
    <n v="4512.8"/>
    <n v="9987.2000000000007"/>
    <n v="0"/>
    <n v="0"/>
    <n v="0"/>
    <n v="0"/>
    <n v="961.59999999999945"/>
  </r>
  <r>
    <n v="21"/>
    <x v="14"/>
    <x v="4"/>
    <d v="2024-07-26T00:00:00"/>
    <n v="1210.1500000000001"/>
    <m/>
    <m/>
    <n v="929.45"/>
    <n v="9"/>
    <n v="10891.35"/>
    <n v="10891.35"/>
    <n v="-2526.3000000000002"/>
    <n v="-0.23195471635747636"/>
    <n v="11.25"/>
    <n v="101.25"/>
    <n v="0"/>
  </r>
  <r>
    <n v="22"/>
    <x v="15"/>
    <x v="5"/>
    <d v="2024-09-24T00:00:00"/>
    <n v="263"/>
    <d v="2024-09-24T00:00:00"/>
    <n v="333.9"/>
    <n v="253.65"/>
    <n v="57"/>
    <n v="14991"/>
    <n v="34023.299999999996"/>
    <n v="0"/>
    <n v="0"/>
    <n v="0"/>
    <n v="0"/>
    <n v="4041.2999999999988"/>
  </r>
  <r>
    <n v="23"/>
    <x v="15"/>
    <x v="3"/>
    <d v="2024-09-24T00:00:00"/>
    <n v="263"/>
    <m/>
    <n v="0"/>
    <n v="253.65"/>
    <n v="57"/>
    <n v="14991"/>
    <n v="14991"/>
    <n v="-532.9499999999997"/>
    <n v="-3.5551330798479067E-2"/>
    <n v="1.35"/>
    <n v="76.95"/>
    <n v="0"/>
  </r>
  <r>
    <n v="24"/>
    <x v="16"/>
    <x v="0"/>
    <d v="2024-10-01T00:00:00"/>
    <n v="1951"/>
    <m/>
    <n v="0"/>
    <n v="2059"/>
    <n v="5"/>
    <n v="9755"/>
    <n v="9755"/>
    <n v="540"/>
    <n v="5.5356227575602254E-2"/>
    <n v="44.8"/>
    <n v="224"/>
    <n v="0"/>
  </r>
  <r>
    <n v="25"/>
    <x v="17"/>
    <x v="5"/>
    <d v="2024-10-21T00:00:00"/>
    <n v="1646.15"/>
    <m/>
    <n v="0"/>
    <n v="1170.2"/>
    <n v="5"/>
    <n v="8230.75"/>
    <n v="8230.75"/>
    <n v="-2379.75"/>
    <n v="-0.28912918020836498"/>
    <n v="-10"/>
    <n v="-50"/>
    <n v="0"/>
  </r>
  <r>
    <n v="26"/>
    <x v="18"/>
    <x v="0"/>
    <d v="2024-04-02T00:00:00"/>
    <n v="1489.55"/>
    <d v="2024-11-04T00:00:00"/>
    <n v="1714.85"/>
    <n v="997"/>
    <n v="5"/>
    <n v="7447.75"/>
    <n v="16021.999999999998"/>
    <n v="0"/>
    <n v="0"/>
    <n v="0"/>
    <n v="0"/>
    <n v="1126.4999999999998"/>
  </r>
  <r>
    <n v="27"/>
    <x v="19"/>
    <x v="1"/>
    <d v="2024-12-18T00:00:00"/>
    <n v="78"/>
    <d v="2024-12-18T00:00:00"/>
    <n v="106.04"/>
    <n v="136.78"/>
    <n v="190"/>
    <n v="14820"/>
    <n v="34967.600000000006"/>
    <n v="0"/>
    <n v="0"/>
    <n v="0"/>
    <n v="0"/>
    <n v="5327.6000000000013"/>
  </r>
  <r>
    <n v="28"/>
    <x v="20"/>
    <x v="1"/>
    <d v="2024-12-20T00:00:00"/>
    <n v="417"/>
    <d v="2024-12-20T00:00:00"/>
    <n v="510.14"/>
    <n v="325.10000000000002"/>
    <n v="35"/>
    <n v="14595"/>
    <n v="32449.899999999998"/>
    <n v="0"/>
    <n v="0"/>
    <n v="0"/>
    <n v="0"/>
    <n v="3259.8999999999996"/>
  </r>
  <r>
    <n v="29"/>
    <x v="21"/>
    <x v="0"/>
    <d v="2025-01-01T00:00:00"/>
    <n v="3006.15"/>
    <m/>
    <m/>
    <n v="2543.1999999999998"/>
    <n v="3"/>
    <n v="9018.4500000000007"/>
    <n v="9018.4500000000007"/>
    <n v="-1388.8500000000008"/>
    <n v="-0.15400096468905419"/>
    <n v="-38.4"/>
    <n v="-115.19999999999999"/>
    <n v="0"/>
  </r>
  <r>
    <n v="30"/>
    <x v="22"/>
    <x v="0"/>
    <d v="2025-05-14T00:00:00"/>
    <n v="267"/>
    <m/>
    <m/>
    <n v="298.5"/>
    <n v="18"/>
    <n v="4806"/>
    <n v="4806"/>
    <n v="567"/>
    <n v="0.11797752808988764"/>
    <n v="-0.25"/>
    <n v="-4.5"/>
    <n v="0"/>
  </r>
  <r>
    <n v="31"/>
    <x v="23"/>
    <x v="0"/>
    <d v="2025-05-20T00:00:00"/>
    <n v="733"/>
    <m/>
    <m/>
    <s v=""/>
    <n v="6"/>
    <n v="4398"/>
    <n v="4398"/>
    <e v="#VALUE!"/>
    <n v="0"/>
    <n v="0"/>
    <n v="0"/>
    <n v="0"/>
  </r>
  <r>
    <n v="32"/>
    <x v="24"/>
    <x v="6"/>
    <d v="2025-06-05T00:00:00"/>
    <n v="475"/>
    <d v="2025-06-19T00:00:00"/>
    <n v="446"/>
    <n v="610.20000000000005"/>
    <n v="30"/>
    <n v="14250"/>
    <n v="27630"/>
    <n v="0"/>
    <n v="0"/>
    <n v="0"/>
    <n v="0"/>
    <n v="-870"/>
  </r>
  <r>
    <n v="33"/>
    <x v="25"/>
    <x v="0"/>
    <d v="2025-06-05T00:00:00"/>
    <n v="176.2"/>
    <m/>
    <n v="0"/>
    <n v="139"/>
    <n v="50"/>
    <n v="8810"/>
    <n v="8810"/>
    <n v="-1859.9999999999995"/>
    <n v="-0.21112372304199767"/>
    <n v="3.33"/>
    <n v="166.5"/>
    <n v="0"/>
  </r>
  <r>
    <n v="34"/>
    <x v="26"/>
    <x v="1"/>
    <d v="2025-06-03T00:00:00"/>
    <n v="2294.8000000000002"/>
    <m/>
    <n v="0"/>
    <n v="2019"/>
    <n v="5"/>
    <n v="11474"/>
    <n v="11474"/>
    <n v="-1379.0000000000009"/>
    <n v="-0.12018476555691135"/>
    <n v="-11.4"/>
    <n v="-57"/>
    <n v="0"/>
  </r>
  <r>
    <n v="35"/>
    <x v="27"/>
    <x v="7"/>
    <m/>
    <m/>
    <m/>
    <m/>
    <s v=""/>
    <m/>
    <n v="0"/>
    <n v="0"/>
    <e v="#VALUE!"/>
    <n v="0"/>
    <n v="0"/>
    <n v="0"/>
    <n v="0"/>
  </r>
  <r>
    <n v="36"/>
    <x v="27"/>
    <x v="7"/>
    <m/>
    <m/>
    <m/>
    <m/>
    <s v=""/>
    <m/>
    <n v="0"/>
    <n v="0"/>
    <e v="#VALUE!"/>
    <n v="0"/>
    <n v="0"/>
    <n v="0"/>
    <n v="0"/>
  </r>
  <r>
    <n v="37"/>
    <x v="27"/>
    <x v="7"/>
    <m/>
    <m/>
    <m/>
    <m/>
    <s v=""/>
    <m/>
    <n v="0"/>
    <n v="0"/>
    <e v="#VALUE!"/>
    <n v="0"/>
    <n v="0"/>
    <n v="0"/>
    <n v="0"/>
  </r>
  <r>
    <n v="38"/>
    <x v="27"/>
    <x v="7"/>
    <m/>
    <m/>
    <m/>
    <m/>
    <s v=""/>
    <m/>
    <n v="0"/>
    <n v="0"/>
    <e v="#VALUE!"/>
    <n v="0"/>
    <n v="0"/>
    <n v="0"/>
    <n v="0"/>
  </r>
  <r>
    <n v="39"/>
    <x v="27"/>
    <x v="7"/>
    <m/>
    <m/>
    <m/>
    <m/>
    <s v=""/>
    <m/>
    <n v="0"/>
    <n v="0"/>
    <e v="#VALUE!"/>
    <n v="0"/>
    <n v="0"/>
    <n v="0"/>
    <n v="0"/>
  </r>
  <r>
    <n v="40"/>
    <x v="27"/>
    <x v="7"/>
    <m/>
    <m/>
    <m/>
    <m/>
    <s v=""/>
    <m/>
    <n v="0"/>
    <n v="0"/>
    <e v="#VALUE!"/>
    <n v="0"/>
    <n v="0"/>
    <n v="0"/>
    <n v="0"/>
  </r>
  <r>
    <n v="41"/>
    <x v="27"/>
    <x v="7"/>
    <m/>
    <m/>
    <m/>
    <m/>
    <s v=""/>
    <m/>
    <n v="0"/>
    <n v="0"/>
    <e v="#VALUE!"/>
    <n v="0"/>
    <n v="0"/>
    <n v="0"/>
    <n v="0"/>
  </r>
  <r>
    <n v="42"/>
    <x v="27"/>
    <x v="7"/>
    <m/>
    <m/>
    <m/>
    <m/>
    <s v=""/>
    <m/>
    <n v="0"/>
    <n v="0"/>
    <e v="#VALUE!"/>
    <n v="0"/>
    <n v="0"/>
    <n v="0"/>
    <n v="0"/>
  </r>
  <r>
    <n v="43"/>
    <x v="27"/>
    <x v="7"/>
    <m/>
    <m/>
    <m/>
    <m/>
    <s v=""/>
    <m/>
    <n v="0"/>
    <n v="0"/>
    <e v="#VALUE!"/>
    <n v="0"/>
    <n v="0"/>
    <n v="0"/>
    <n v="0"/>
  </r>
  <r>
    <n v="44"/>
    <x v="27"/>
    <x v="7"/>
    <m/>
    <m/>
    <m/>
    <m/>
    <s v=""/>
    <m/>
    <n v="0"/>
    <n v="0"/>
    <e v="#VALUE!"/>
    <n v="0"/>
    <n v="0"/>
    <n v="0"/>
    <n v="0"/>
  </r>
  <r>
    <n v="45"/>
    <x v="27"/>
    <x v="7"/>
    <m/>
    <m/>
    <m/>
    <m/>
    <s v=""/>
    <m/>
    <n v="0"/>
    <n v="0"/>
    <e v="#VALUE!"/>
    <n v="0"/>
    <n v="0"/>
    <n v="0"/>
    <n v="0"/>
  </r>
  <r>
    <n v="46"/>
    <x v="27"/>
    <x v="7"/>
    <m/>
    <m/>
    <m/>
    <m/>
    <s v=""/>
    <m/>
    <n v="0"/>
    <n v="0"/>
    <e v="#VALUE!"/>
    <n v="0"/>
    <n v="0"/>
    <n v="0"/>
    <n v="0"/>
  </r>
  <r>
    <n v="47"/>
    <x v="27"/>
    <x v="7"/>
    <m/>
    <m/>
    <m/>
    <m/>
    <s v=""/>
    <m/>
    <n v="0"/>
    <n v="0"/>
    <e v="#VALUE!"/>
    <n v="0"/>
    <n v="0"/>
    <n v="0"/>
    <n v="0"/>
  </r>
  <r>
    <n v="48"/>
    <x v="27"/>
    <x v="7"/>
    <m/>
    <m/>
    <m/>
    <m/>
    <s v=""/>
    <m/>
    <n v="0"/>
    <n v="0"/>
    <e v="#VALUE!"/>
    <n v="0"/>
    <n v="0"/>
    <n v="0"/>
    <n v="0"/>
  </r>
  <r>
    <n v="49"/>
    <x v="27"/>
    <x v="7"/>
    <m/>
    <m/>
    <m/>
    <m/>
    <s v=""/>
    <m/>
    <n v="0"/>
    <n v="0"/>
    <e v="#VALUE!"/>
    <n v="0"/>
    <n v="0"/>
    <n v="0"/>
    <n v="0"/>
  </r>
  <r>
    <n v="50"/>
    <x v="27"/>
    <x v="7"/>
    <m/>
    <m/>
    <m/>
    <m/>
    <s v=""/>
    <m/>
    <n v="0"/>
    <n v="0"/>
    <e v="#VALUE!"/>
    <n v="0"/>
    <n v="0"/>
    <n v="0"/>
    <n v="0"/>
  </r>
  <r>
    <n v="51"/>
    <x v="27"/>
    <x v="7"/>
    <m/>
    <m/>
    <m/>
    <m/>
    <s v=""/>
    <m/>
    <n v="0"/>
    <n v="0"/>
    <e v="#VALUE!"/>
    <n v="0"/>
    <n v="0"/>
    <n v="0"/>
    <n v="0"/>
  </r>
  <r>
    <n v="52"/>
    <x v="27"/>
    <x v="7"/>
    <m/>
    <m/>
    <m/>
    <m/>
    <s v=""/>
    <m/>
    <n v="0"/>
    <n v="0"/>
    <e v="#VALUE!"/>
    <n v="0"/>
    <n v="0"/>
    <n v="0"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m/>
    <x v="0"/>
    <s v="HCLTECH"/>
    <n v="306"/>
  </r>
  <r>
    <x v="1"/>
    <m/>
    <x v="0"/>
    <s v="TATACONSUM"/>
    <n v="72.599999999999994"/>
  </r>
  <r>
    <x v="2"/>
    <m/>
    <x v="0"/>
    <s v="CAMS"/>
    <n v="36"/>
  </r>
  <r>
    <x v="3"/>
    <m/>
    <x v="0"/>
    <s v="HCLTECH"/>
    <n v="170"/>
  </r>
  <r>
    <x v="4"/>
    <m/>
    <x v="0"/>
    <s v="CAMS"/>
    <n v="20.25"/>
  </r>
  <r>
    <x v="5"/>
    <m/>
    <x v="0"/>
    <s v="HCLTECH"/>
    <n v="170"/>
  </r>
  <r>
    <x v="6"/>
    <m/>
    <x v="0"/>
    <s v="CAMS"/>
    <n v="25.5"/>
  </r>
  <r>
    <x v="7"/>
    <m/>
    <x v="0"/>
    <s v="HCLTECH"/>
    <n v="170"/>
  </r>
  <r>
    <x v="8"/>
    <m/>
    <x v="0"/>
    <s v="CAMS"/>
    <n v="31.5"/>
  </r>
  <r>
    <x v="9"/>
    <m/>
    <x v="1"/>
    <s v="HCLTECH"/>
    <n v="198"/>
  </r>
  <r>
    <x v="9"/>
    <m/>
    <x v="0"/>
    <s v="HCLTECH"/>
    <n v="306"/>
  </r>
  <r>
    <x v="10"/>
    <m/>
    <x v="0"/>
    <s v="TATACONSUM"/>
    <n v="101.4"/>
  </r>
  <r>
    <x v="11"/>
    <m/>
    <x v="2"/>
    <s v="TATAPOWER"/>
    <n v="54"/>
  </r>
  <r>
    <x v="12"/>
    <m/>
    <x v="3"/>
    <s v="TATASTEEL"/>
    <n v="144"/>
  </r>
  <r>
    <x v="13"/>
    <m/>
    <x v="1"/>
    <s v="TATACHEM"/>
    <n v="262.5"/>
  </r>
  <r>
    <x v="13"/>
    <d v="2023-07-19T00:00:00"/>
    <x v="3"/>
    <s v="BOB"/>
    <n v="137.5"/>
  </r>
  <r>
    <x v="14"/>
    <m/>
    <x v="1"/>
    <s v="HCLTECH"/>
    <n v="110"/>
  </r>
  <r>
    <x v="14"/>
    <m/>
    <x v="0"/>
    <s v="HCLTECH"/>
    <n v="170"/>
  </r>
  <r>
    <x v="15"/>
    <d v="2023-08-11T00:00:00"/>
    <x v="3"/>
    <s v="CIPLA"/>
    <n v="34"/>
  </r>
  <r>
    <x v="16"/>
    <m/>
    <x v="2"/>
    <s v="TATAMOTORS"/>
    <n v="8"/>
  </r>
  <r>
    <x v="16"/>
    <m/>
    <x v="2"/>
    <s v="EXIDE"/>
    <n v="100"/>
  </r>
  <r>
    <x v="17"/>
    <m/>
    <x v="1"/>
    <s v="HDFCBANK"/>
    <n v="171"/>
  </r>
  <r>
    <x v="18"/>
    <m/>
    <x v="0"/>
    <s v="CAMS"/>
    <n v="24"/>
  </r>
  <r>
    <x v="19"/>
    <m/>
    <x v="2"/>
    <s v="GRASIM"/>
    <n v="100"/>
  </r>
  <r>
    <x v="19"/>
    <m/>
    <x v="2"/>
    <s v="RELIANCE"/>
    <n v="63"/>
  </r>
  <r>
    <x v="20"/>
    <m/>
    <x v="0"/>
    <s v="CAMS"/>
    <n v="36"/>
  </r>
  <r>
    <x v="21"/>
    <m/>
    <x v="1"/>
    <s v="ICICIBANK"/>
    <n v="176"/>
  </r>
  <r>
    <x v="22"/>
    <m/>
    <x v="1"/>
    <s v="BPCL"/>
    <n v="240"/>
  </r>
  <r>
    <x v="22"/>
    <m/>
    <x v="2"/>
    <s v="BPCL"/>
    <n v="132"/>
  </r>
  <r>
    <x v="23"/>
    <m/>
    <x v="1"/>
    <s v="IRCTC"/>
    <n v="44"/>
  </r>
  <r>
    <x v="24"/>
    <m/>
    <x v="1"/>
    <s v="RAILTEL"/>
    <n v="78.75"/>
  </r>
  <r>
    <x v="25"/>
    <m/>
    <x v="1"/>
    <s v="HCLTECH"/>
    <n v="132"/>
  </r>
  <r>
    <x v="25"/>
    <m/>
    <x v="0"/>
    <s v="HCLTECH"/>
    <n v="204"/>
  </r>
  <r>
    <x v="26"/>
    <d v="2023-11-07T00:00:00"/>
    <x v="3"/>
    <s v="TCS"/>
    <n v="99"/>
  </r>
  <r>
    <x v="27"/>
    <m/>
    <x v="1"/>
    <s v="RAILTEL"/>
    <n v="48"/>
  </r>
  <r>
    <x v="28"/>
    <m/>
    <x v="1"/>
    <s v="IRCTC"/>
    <n v="55"/>
  </r>
  <r>
    <x v="29"/>
    <m/>
    <x v="1"/>
    <s v="BPCL"/>
    <n v="1260"/>
  </r>
  <r>
    <x v="29"/>
    <m/>
    <x v="2"/>
    <s v="BPCL"/>
    <n v="693"/>
  </r>
  <r>
    <x v="30"/>
    <m/>
    <x v="1"/>
    <s v="HCLTECH"/>
    <n v="132"/>
  </r>
  <r>
    <x v="30"/>
    <m/>
    <x v="0"/>
    <s v="HCLTECH"/>
    <n v="204"/>
  </r>
  <r>
    <x v="31"/>
    <m/>
    <x v="2"/>
    <s v="WIPRO"/>
    <n v="18"/>
  </r>
  <r>
    <x v="32"/>
    <d v="2024-03-11T00:00:00"/>
    <x v="3"/>
    <s v="SAIL"/>
    <n v="20"/>
  </r>
  <r>
    <x v="33"/>
    <m/>
    <x v="3"/>
    <s v="HDFCBANK"/>
    <n v="97.5"/>
  </r>
  <r>
    <x v="34"/>
    <m/>
    <x v="0"/>
    <s v="HCLTECH"/>
    <n v="306"/>
  </r>
  <r>
    <x v="35"/>
    <m/>
    <x v="3"/>
    <s v="TATACHEM"/>
    <n v="60"/>
  </r>
  <r>
    <x v="36"/>
    <m/>
    <x v="0"/>
    <s v="TATACONSUM"/>
    <n v="93"/>
  </r>
  <r>
    <x v="37"/>
    <m/>
    <x v="4"/>
    <s v="SBI"/>
    <n v="11.3"/>
  </r>
  <r>
    <x v="38"/>
    <m/>
    <x v="4"/>
    <s v="TATASTEEL"/>
    <n v="363.6"/>
  </r>
  <r>
    <x v="39"/>
    <m/>
    <x v="4"/>
    <s v="AXISBANK"/>
    <n v="10"/>
  </r>
  <r>
    <x v="21"/>
    <m/>
    <x v="4"/>
    <s v="ICICIBANK"/>
    <n v="160"/>
  </r>
  <r>
    <x v="23"/>
    <m/>
    <x v="4"/>
    <s v="IRCTC"/>
    <n v="22"/>
  </r>
  <r>
    <x v="23"/>
    <m/>
    <x v="4"/>
    <s v="COALINDIA"/>
    <n v="132"/>
  </r>
  <r>
    <x v="28"/>
    <m/>
    <x v="4"/>
    <s v="IRCTC"/>
    <n v="27.5"/>
  </r>
  <r>
    <x v="40"/>
    <m/>
    <x v="4"/>
    <s v="COALINDIA"/>
    <n v="503"/>
  </r>
  <r>
    <x v="41"/>
    <m/>
    <x v="4"/>
    <s v="COALINDIA"/>
    <n v="173"/>
  </r>
  <r>
    <x v="42"/>
    <m/>
    <x v="2"/>
    <s v="SBIN"/>
    <n v="13.7"/>
  </r>
  <r>
    <x v="43"/>
    <m/>
    <x v="2"/>
    <s v="TATAMOTORS"/>
    <n v="114"/>
  </r>
  <r>
    <x v="44"/>
    <m/>
    <x v="2"/>
    <s v="TATATECH"/>
    <n v="201"/>
  </r>
  <r>
    <x v="45"/>
    <m/>
    <x v="2"/>
    <s v="LT"/>
    <n v="140"/>
  </r>
  <r>
    <x v="46"/>
    <m/>
    <x v="2"/>
    <s v="POLYCAB"/>
    <n v="30"/>
  </r>
  <r>
    <x v="47"/>
    <d v="2024-07-18T00:00:00"/>
    <x v="3"/>
    <s v="HDFCLIFE"/>
    <n v="60"/>
  </r>
  <r>
    <x v="48"/>
    <d v="2024-07-18T00:00:00"/>
    <x v="2"/>
    <s v="TATAPOWER"/>
    <n v="54"/>
  </r>
  <r>
    <x v="47"/>
    <d v="2024-07-19T00:00:00"/>
    <x v="3"/>
    <s v="TATASTEEL"/>
    <n v="144"/>
  </r>
  <r>
    <x v="48"/>
    <d v="2024-07-19T00:00:00"/>
    <x v="2"/>
    <s v="TATASTEEL"/>
    <n v="381.6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d v="2022-03-11T00:00:00"/>
    <m/>
    <x v="0"/>
    <x v="0"/>
    <n v="306"/>
  </r>
  <r>
    <d v="2022-06-29T00:00:00"/>
    <m/>
    <x v="0"/>
    <x v="1"/>
    <n v="72.599999999999994"/>
  </r>
  <r>
    <d v="2022-07-08T00:00:00"/>
    <m/>
    <x v="0"/>
    <x v="2"/>
    <n v="36"/>
  </r>
  <r>
    <d v="2022-08-02T00:00:00"/>
    <m/>
    <x v="0"/>
    <x v="0"/>
    <n v="170"/>
  </r>
  <r>
    <d v="2022-08-26T00:00:00"/>
    <m/>
    <x v="0"/>
    <x v="2"/>
    <n v="20.25"/>
  </r>
  <r>
    <d v="2022-11-02T00:00:00"/>
    <m/>
    <x v="0"/>
    <x v="0"/>
    <n v="170"/>
  </r>
  <r>
    <d v="2022-11-28T00:00:00"/>
    <m/>
    <x v="0"/>
    <x v="2"/>
    <n v="25.5"/>
  </r>
  <r>
    <d v="2023-02-01T00:00:00"/>
    <m/>
    <x v="0"/>
    <x v="0"/>
    <n v="170"/>
  </r>
  <r>
    <d v="2023-02-24T00:00:00"/>
    <m/>
    <x v="0"/>
    <x v="2"/>
    <n v="31.5"/>
  </r>
  <r>
    <d v="2023-05-09T00:00:00"/>
    <m/>
    <x v="1"/>
    <x v="0"/>
    <n v="198"/>
  </r>
  <r>
    <d v="2023-05-09T00:00:00"/>
    <m/>
    <x v="0"/>
    <x v="0"/>
    <n v="306"/>
  </r>
  <r>
    <d v="2023-06-08T00:00:00"/>
    <m/>
    <x v="0"/>
    <x v="1"/>
    <n v="101.4"/>
  </r>
  <r>
    <d v="2023-06-21T00:00:00"/>
    <m/>
    <x v="2"/>
    <x v="3"/>
    <n v="54"/>
  </r>
  <r>
    <d v="2023-06-22T00:00:00"/>
    <m/>
    <x v="3"/>
    <x v="4"/>
    <n v="144"/>
  </r>
  <r>
    <d v="2023-06-30T00:00:00"/>
    <m/>
    <x v="1"/>
    <x v="5"/>
    <n v="262.5"/>
  </r>
  <r>
    <d v="2023-06-30T00:00:00"/>
    <d v="2023-07-19T00:00:00"/>
    <x v="3"/>
    <x v="6"/>
    <n v="137.5"/>
  </r>
  <r>
    <d v="2023-08-01T00:00:00"/>
    <m/>
    <x v="1"/>
    <x v="0"/>
    <n v="110"/>
  </r>
  <r>
    <d v="2023-08-01T00:00:00"/>
    <m/>
    <x v="0"/>
    <x v="0"/>
    <n v="170"/>
  </r>
  <r>
    <d v="2023-07-21T00:00:00"/>
    <d v="2023-08-11T00:00:00"/>
    <x v="3"/>
    <x v="7"/>
    <n v="34"/>
  </r>
  <r>
    <d v="2023-08-11T00:00:00"/>
    <m/>
    <x v="2"/>
    <x v="8"/>
    <n v="8"/>
  </r>
  <r>
    <d v="2023-08-11T00:00:00"/>
    <m/>
    <x v="2"/>
    <x v="9"/>
    <n v="100"/>
  </r>
  <r>
    <d v="2023-08-14T00:00:00"/>
    <m/>
    <x v="1"/>
    <x v="10"/>
    <n v="171"/>
  </r>
  <r>
    <d v="2023-08-25T00:00:00"/>
    <m/>
    <x v="0"/>
    <x v="2"/>
    <n v="24"/>
  </r>
  <r>
    <d v="2023-08-28T00:00:00"/>
    <m/>
    <x v="2"/>
    <x v="11"/>
    <n v="100"/>
  </r>
  <r>
    <d v="2023-08-28T00:00:00"/>
    <m/>
    <x v="2"/>
    <x v="12"/>
    <n v="63"/>
  </r>
  <r>
    <d v="2023-08-29T00:00:00"/>
    <m/>
    <x v="0"/>
    <x v="2"/>
    <n v="36"/>
  </r>
  <r>
    <d v="2023-09-01T00:00:00"/>
    <m/>
    <x v="1"/>
    <x v="13"/>
    <n v="176"/>
  </r>
  <r>
    <d v="2023-09-05T00:00:00"/>
    <m/>
    <x v="1"/>
    <x v="14"/>
    <n v="240"/>
  </r>
  <r>
    <d v="2023-09-05T00:00:00"/>
    <m/>
    <x v="2"/>
    <x v="14"/>
    <n v="132"/>
  </r>
  <r>
    <d v="2023-09-18T00:00:00"/>
    <m/>
    <x v="1"/>
    <x v="15"/>
    <n v="44"/>
  </r>
  <r>
    <d v="2023-09-25T00:00:00"/>
    <m/>
    <x v="1"/>
    <x v="16"/>
    <n v="78.75"/>
  </r>
  <r>
    <d v="2023-10-31T00:00:00"/>
    <m/>
    <x v="1"/>
    <x v="0"/>
    <n v="132"/>
  </r>
  <r>
    <d v="2023-10-31T00:00:00"/>
    <m/>
    <x v="0"/>
    <x v="0"/>
    <n v="204"/>
  </r>
  <r>
    <d v="2023-10-19T00:00:00"/>
    <d v="2023-11-07T00:00:00"/>
    <x v="3"/>
    <x v="17"/>
    <n v="99"/>
  </r>
  <r>
    <d v="2023-11-23T00:00:00"/>
    <m/>
    <x v="1"/>
    <x v="16"/>
    <n v="48"/>
  </r>
  <r>
    <d v="2023-12-01T00:00:00"/>
    <m/>
    <x v="1"/>
    <x v="15"/>
    <n v="55"/>
  </r>
  <r>
    <d v="2023-12-22T00:00:00"/>
    <m/>
    <x v="1"/>
    <x v="14"/>
    <n v="1260"/>
  </r>
  <r>
    <d v="2023-12-22T00:00:00"/>
    <m/>
    <x v="2"/>
    <x v="14"/>
    <n v="693"/>
  </r>
  <r>
    <d v="2024-01-31T00:00:00"/>
    <m/>
    <x v="1"/>
    <x v="0"/>
    <n v="132"/>
  </r>
  <r>
    <d v="2024-01-31T00:00:00"/>
    <m/>
    <x v="0"/>
    <x v="0"/>
    <n v="204"/>
  </r>
  <r>
    <d v="2024-02-06T00:00:00"/>
    <m/>
    <x v="2"/>
    <x v="18"/>
    <n v="18"/>
  </r>
  <r>
    <d v="2024-02-20T00:00:00"/>
    <d v="2024-03-11T00:00:00"/>
    <x v="3"/>
    <x v="19"/>
    <n v="20"/>
  </r>
  <r>
    <d v="2024-05-10T00:00:00"/>
    <m/>
    <x v="3"/>
    <x v="10"/>
    <n v="97.5"/>
  </r>
  <r>
    <d v="2024-05-15T00:00:00"/>
    <m/>
    <x v="0"/>
    <x v="0"/>
    <n v="306"/>
  </r>
  <r>
    <d v="2024-06-12T00:00:00"/>
    <m/>
    <x v="3"/>
    <x v="5"/>
    <n v="60"/>
  </r>
  <r>
    <d v="2024-06-18T00:00:00"/>
    <m/>
    <x v="0"/>
    <x v="1"/>
    <n v="93"/>
  </r>
  <r>
    <d v="2023-06-14T00:00:00"/>
    <m/>
    <x v="4"/>
    <x v="20"/>
    <n v="11.3"/>
  </r>
  <r>
    <d v="2023-07-10T00:00:00"/>
    <m/>
    <x v="4"/>
    <x v="4"/>
    <n v="363.6"/>
  </r>
  <r>
    <d v="2023-08-02T00:00:00"/>
    <m/>
    <x v="4"/>
    <x v="21"/>
    <n v="10"/>
  </r>
  <r>
    <d v="2023-09-01T00:00:00"/>
    <m/>
    <x v="4"/>
    <x v="13"/>
    <n v="160"/>
  </r>
  <r>
    <d v="2023-09-18T00:00:00"/>
    <m/>
    <x v="4"/>
    <x v="15"/>
    <n v="22"/>
  </r>
  <r>
    <d v="2023-09-18T00:00:00"/>
    <m/>
    <x v="4"/>
    <x v="22"/>
    <n v="132"/>
  </r>
  <r>
    <d v="2023-12-01T00:00:00"/>
    <m/>
    <x v="4"/>
    <x v="15"/>
    <n v="27.5"/>
  </r>
  <r>
    <d v="2023-12-07T00:00:00"/>
    <m/>
    <x v="4"/>
    <x v="22"/>
    <n v="503"/>
  </r>
  <r>
    <d v="2024-03-06T00:00:00"/>
    <m/>
    <x v="4"/>
    <x v="22"/>
    <n v="173"/>
  </r>
  <r>
    <d v="2024-06-05T00:00:00"/>
    <m/>
    <x v="2"/>
    <x v="23"/>
    <n v="13.7"/>
  </r>
  <r>
    <d v="2024-06-25T00:00:00"/>
    <m/>
    <x v="2"/>
    <x v="8"/>
    <n v="114"/>
  </r>
  <r>
    <d v="2024-06-26T00:00:00"/>
    <m/>
    <x v="2"/>
    <x v="24"/>
    <n v="201"/>
  </r>
  <r>
    <d v="2024-07-09T00:00:00"/>
    <m/>
    <x v="2"/>
    <x v="25"/>
    <n v="140"/>
  </r>
  <r>
    <d v="2024-07-16T00:00:00"/>
    <m/>
    <x v="2"/>
    <x v="26"/>
    <n v="30"/>
  </r>
  <r>
    <d v="2024-06-21T00:00:00"/>
    <d v="2024-07-18T00:00:00"/>
    <x v="3"/>
    <x v="27"/>
    <n v="60"/>
  </r>
  <r>
    <m/>
    <d v="2024-07-18T00:00:00"/>
    <x v="2"/>
    <x v="3"/>
    <n v="54"/>
  </r>
  <r>
    <d v="2024-06-21T00:00:00"/>
    <d v="2024-07-19T00:00:00"/>
    <x v="3"/>
    <x v="4"/>
    <n v="144"/>
  </r>
  <r>
    <m/>
    <d v="2024-07-19T00:00:00"/>
    <x v="2"/>
    <x v="4"/>
    <n v="381.6"/>
  </r>
  <r>
    <d v="2024-07-19T00:00:00"/>
    <m/>
    <x v="3"/>
    <x v="28"/>
    <n v="7"/>
  </r>
  <r>
    <d v="2024-07-18T00:00:00"/>
    <m/>
    <x v="0"/>
    <x v="27"/>
    <n v="22"/>
  </r>
  <r>
    <d v="2024-07-19T00:00:00"/>
    <m/>
    <x v="0"/>
    <x v="4"/>
    <n v="32.4"/>
  </r>
  <r>
    <d v="2024-08-01T00:00:00"/>
    <m/>
    <x v="0"/>
    <x v="0"/>
    <n v="204"/>
  </r>
  <r>
    <d v="2024-08-30T00:00:00"/>
    <m/>
    <x v="0"/>
    <x v="0"/>
    <n v="204"/>
  </r>
  <r>
    <d v="2024-07-29T00:00:00"/>
    <m/>
    <x v="3"/>
    <x v="29"/>
    <n v="24"/>
  </r>
  <r>
    <d v="2024-08-07T00:00:00"/>
    <m/>
    <x v="3"/>
    <x v="30"/>
    <n v="51"/>
  </r>
  <r>
    <d v="2024-08-09T00:00:00"/>
    <m/>
    <x v="3"/>
    <x v="31"/>
    <n v="35"/>
  </r>
  <r>
    <d v="2024-09-19T00:00:00"/>
    <m/>
    <x v="3"/>
    <x v="19"/>
    <n v="20"/>
  </r>
  <r>
    <d v="2024-11-06T00:00:00"/>
    <m/>
    <x v="3"/>
    <x v="32"/>
    <n v="6"/>
  </r>
  <r>
    <d v="2024-10-25T00:00:00"/>
    <m/>
    <x v="3"/>
    <x v="33"/>
    <n v="20"/>
  </r>
  <r>
    <d v="2024-07-09T00:00:00"/>
    <m/>
    <x v="3"/>
    <x v="34"/>
    <n v="146"/>
  </r>
  <r>
    <m/>
    <d v="2024-11-28T00:00:00"/>
    <x v="2"/>
    <x v="15"/>
    <n v="40"/>
  </r>
  <r>
    <m/>
    <d v="2024-11-21T00:00:00"/>
    <x v="2"/>
    <x v="22"/>
    <n v="520"/>
  </r>
  <r>
    <m/>
    <d v="2024-08-01T00:00:00"/>
    <x v="2"/>
    <x v="9"/>
    <n v="100"/>
  </r>
  <r>
    <m/>
    <d v="2024-07-31T00:00:00"/>
    <x v="2"/>
    <x v="21"/>
    <n v="10"/>
  </r>
  <r>
    <m/>
    <d v="2024-08-12T00:00:00"/>
    <x v="3"/>
    <x v="10"/>
    <n v="98"/>
  </r>
  <r>
    <m/>
    <d v="2024-08-29T00:00:00"/>
    <x v="2"/>
    <x v="12"/>
    <n v="70"/>
  </r>
  <r>
    <m/>
    <d v="2024-08-30T00:00:00"/>
    <x v="2"/>
    <x v="14"/>
    <n v="693"/>
  </r>
  <r>
    <m/>
    <d v="2024-09-02T00:00:00"/>
    <x v="2"/>
    <x v="13"/>
    <n v="200"/>
  </r>
  <r>
    <m/>
    <d v="2024-09-10T00:00:00"/>
    <x v="2"/>
    <x v="22"/>
    <n v="165"/>
  </r>
  <r>
    <m/>
    <d v="2024-09-23T00:00:00"/>
    <x v="2"/>
    <x v="15"/>
    <n v="4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d v="2023-01-18T00:00:00"/>
    <n v="1242.675"/>
    <m/>
    <n v="0"/>
    <n v="1569"/>
    <n v="5"/>
    <n v="6213.375"/>
    <n v="6213.375"/>
    <n v="1631.6250000000002"/>
    <n v="0.26259882913875315"/>
    <n v="-6.4"/>
    <n v="-32"/>
    <n v="0"/>
    <n v="0"/>
  </r>
  <r>
    <x v="1"/>
    <x v="0"/>
    <d v="2023-01-18T00:00:00"/>
    <n v="1685"/>
    <d v="2023-09-14T00:00:00"/>
    <n v="1923.7"/>
    <n v="2823.1"/>
    <n v="10"/>
    <n v="16850"/>
    <n v="36087"/>
    <n v="0"/>
    <n v="0"/>
    <n v="0"/>
    <n v="0"/>
    <n v="2387.0000000000005"/>
    <n v="0.14166172106824929"/>
  </r>
  <r>
    <x v="0"/>
    <x v="0"/>
    <d v="2023-01-30T00:00:00"/>
    <n v="1167.375"/>
    <m/>
    <n v="0"/>
    <n v="1569"/>
    <n v="2"/>
    <n v="2334.75"/>
    <n v="2334.75"/>
    <n v="803.25"/>
    <n v="0.34404111789270803"/>
    <n v="-6.4"/>
    <n v="-12.8"/>
    <n v="0"/>
    <n v="0"/>
  </r>
  <r>
    <x v="2"/>
    <x v="0"/>
    <d v="2023-02-03T00:00:00"/>
    <n v="327.72"/>
    <m/>
    <n v="0"/>
    <n v="369.7"/>
    <n v="10"/>
    <n v="3277.2000000000003"/>
    <n v="3277.2000000000003"/>
    <n v="419.79999999999961"/>
    <n v="0.12809715610887329"/>
    <n v="-0.2"/>
    <n v="-2"/>
    <n v="0"/>
    <n v="0"/>
  </r>
  <r>
    <x v="3"/>
    <x v="1"/>
    <d v="2023-02-15T00:00:00"/>
    <n v="49.48"/>
    <d v="2025-01-03T00:00:00"/>
    <n v="82.2"/>
    <n v="83.27"/>
    <n v="65"/>
    <n v="3216.2"/>
    <n v="8559.2000000000007"/>
    <n v="0"/>
    <n v="0"/>
    <n v="0"/>
    <n v="0"/>
    <n v="2126.8000000000002"/>
    <n v="0.66127728375101069"/>
  </r>
  <r>
    <x v="4"/>
    <x v="2"/>
    <d v="2023-02-15T00:00:00"/>
    <n v="57.93"/>
    <m/>
    <n v="0"/>
    <n v="116.72"/>
    <n v="60"/>
    <n v="3475.8"/>
    <n v="3475.8"/>
    <n v="3527.4"/>
    <n v="1.0148455031935093"/>
    <n v="0.57999999999999996"/>
    <n v="34.799999999999997"/>
    <n v="0"/>
    <n v="0"/>
  </r>
  <r>
    <x v="5"/>
    <x v="1"/>
    <d v="2023-02-15T00:00:00"/>
    <n v="41.54"/>
    <d v="2023-10-05T00:00:00"/>
    <n v="44.66"/>
    <n v="48.75"/>
    <n v="80"/>
    <n v="3323.2"/>
    <n v="6895.9999999999991"/>
    <n v="0"/>
    <n v="0"/>
    <n v="0"/>
    <n v="0"/>
    <n v="249.5999999999998"/>
    <n v="7.5108329321136189E-2"/>
  </r>
  <r>
    <x v="6"/>
    <x v="3"/>
    <d v="2023-06-14T00:00:00"/>
    <n v="113.8"/>
    <d v="2024-07-10T00:00:00"/>
    <n v="168.42"/>
    <n v="170.82"/>
    <n v="40"/>
    <n v="4552"/>
    <n v="11288.8"/>
    <n v="0"/>
    <n v="0"/>
    <n v="0"/>
    <n v="0"/>
    <n v="2184.7999999999997"/>
    <n v="0.47996485061511418"/>
  </r>
  <r>
    <x v="4"/>
    <x v="2"/>
    <d v="2023-08-07T00:00:00"/>
    <n v="69.86"/>
    <m/>
    <n v="0"/>
    <n v="116.72"/>
    <n v="45"/>
    <n v="3143.7"/>
    <n v="3143.7"/>
    <n v="2108.6999999999998"/>
    <n v="0.67077011165187517"/>
    <n v="0.57999999999999996"/>
    <n v="26.099999999999998"/>
    <n v="0"/>
    <n v="0"/>
  </r>
  <r>
    <x v="7"/>
    <x v="4"/>
    <d v="2023-08-30T00:00:00"/>
    <n v="639.4"/>
    <m/>
    <n v="0"/>
    <n v="763"/>
    <n v="11"/>
    <n v="7033.4"/>
    <n v="7033.4"/>
    <n v="1359.6000000000004"/>
    <n v="0.193306224585549"/>
    <n v="1.2"/>
    <n v="13.2"/>
    <n v="0"/>
    <n v="0"/>
  </r>
  <r>
    <x v="8"/>
    <x v="0"/>
    <m/>
    <n v="1"/>
    <m/>
    <n v="0"/>
    <n v="298.5"/>
    <n v="7"/>
    <n v="7"/>
    <n v="7"/>
    <n v="2082.5"/>
    <n v="297.5"/>
    <n v="-0.25"/>
    <n v="-1.75"/>
    <n v="0"/>
    <n v="0"/>
  </r>
  <r>
    <x v="9"/>
    <x v="5"/>
    <d v="2017-08-03T00:00:00"/>
    <n v="263.63"/>
    <d v="2024-02-26T00:00:00"/>
    <n v="443"/>
    <n v="400.65"/>
    <n v="30"/>
    <n v="7908.9"/>
    <n v="21198.9"/>
    <n v="0"/>
    <n v="0"/>
    <n v="0"/>
    <n v="0"/>
    <n v="5381.1"/>
    <n v="0.6803853886128286"/>
  </r>
  <r>
    <x v="10"/>
    <x v="5"/>
    <d v="2020-01-28T00:00:00"/>
    <n v="187.15"/>
    <d v="2021-06-16T00:00:00"/>
    <n v="1200"/>
    <n v="1017"/>
    <n v="10"/>
    <n v="1871.5"/>
    <n v="13871.5"/>
    <n v="0"/>
    <n v="0"/>
    <n v="0"/>
    <n v="0"/>
    <n v="10128.5"/>
    <n v="5.4119690088164569"/>
  </r>
  <r>
    <x v="11"/>
    <x v="5"/>
    <d v="2020-02-12T00:00:00"/>
    <n v="324.7"/>
    <d v="2024-02-23T00:00:00"/>
    <n v="759.4"/>
    <n v="971.25"/>
    <n v="1"/>
    <n v="324.7"/>
    <n v="1084.0999999999999"/>
    <n v="0"/>
    <n v="0"/>
    <n v="0"/>
    <n v="0"/>
    <n v="434.7"/>
    <n v="1.3387742531567601"/>
  </r>
  <r>
    <x v="12"/>
    <x v="5"/>
    <d v="2021-02-26T00:00:00"/>
    <n v="595.9"/>
    <d v="2024-04-22T00:00:00"/>
    <n v="1087.05"/>
    <n v="1362.4"/>
    <n v="20"/>
    <n v="11918"/>
    <n v="33659"/>
    <n v="0"/>
    <n v="0"/>
    <n v="0"/>
    <n v="0"/>
    <n v="9823"/>
    <n v="0.82421547239469706"/>
  </r>
  <r>
    <x v="13"/>
    <x v="5"/>
    <d v="2021-03-22T00:00:00"/>
    <n v="722.5"/>
    <d v="2021-05-28T00:00:00"/>
    <n v="782.5"/>
    <n v="1492.8"/>
    <n v="5"/>
    <n v="3612.5"/>
    <n v="7525"/>
    <n v="0"/>
    <n v="0"/>
    <n v="0"/>
    <n v="0"/>
    <n v="300"/>
    <n v="8.3044982698961933E-2"/>
  </r>
  <r>
    <x v="14"/>
    <x v="5"/>
    <d v="2021-05-07T00:00:00"/>
    <n v="48.6"/>
    <d v="2024-04-22T00:00:00"/>
    <n v="95.89"/>
    <n v="168.98"/>
    <n v="102"/>
    <n v="4957.2"/>
    <n v="14737.980000000001"/>
    <n v="0"/>
    <n v="0"/>
    <n v="0"/>
    <n v="0"/>
    <n v="4823.58"/>
    <n v="0.97304526748971187"/>
  </r>
  <r>
    <x v="15"/>
    <x v="5"/>
    <d v="2021-07-29T00:00:00"/>
    <n v="723"/>
    <d v="2024-04-22T00:00:00"/>
    <n v="1053.95"/>
    <n v="1224.5"/>
    <n v="10"/>
    <n v="7230"/>
    <n v="17769.5"/>
    <n v="0"/>
    <n v="0"/>
    <n v="0"/>
    <n v="0"/>
    <n v="3309.5000000000005"/>
    <n v="0.45774550484094056"/>
  </r>
  <r>
    <x v="16"/>
    <x v="5"/>
    <d v="2021-11-08T00:00:00"/>
    <n v="833.3"/>
    <d v="2024-04-22T00:00:00"/>
    <n v="1000.05"/>
    <n v="680.5"/>
    <n v="11"/>
    <n v="9166.2999999999993"/>
    <n v="20166.849999999999"/>
    <n v="0"/>
    <n v="0"/>
    <n v="0"/>
    <n v="0"/>
    <n v="1834.25"/>
    <n v="0.20010800432017281"/>
  </r>
  <r>
    <x v="9"/>
    <x v="5"/>
    <d v="2021-12-22T00:00:00"/>
    <n v="145.55000000000001"/>
    <d v="2024-02-26T00:00:00"/>
    <n v="443"/>
    <n v="400.65"/>
    <n v="3"/>
    <n v="436.65000000000003"/>
    <n v="1765.6499999999999"/>
    <n v="0"/>
    <n v="0"/>
    <n v="0"/>
    <n v="0"/>
    <n v="892.34999999999991"/>
    <n v="2.0436276193747851"/>
  </r>
  <r>
    <x v="14"/>
    <x v="5"/>
    <d v="2022-11-09T00:00:00"/>
    <n v="35.229999999999997"/>
    <d v="2024-04-22T00:00:00"/>
    <n v="95.89"/>
    <n v="168.98"/>
    <n v="52"/>
    <n v="1831.9599999999998"/>
    <n v="6818.24"/>
    <n v="0"/>
    <n v="0"/>
    <n v="0"/>
    <n v="0"/>
    <n v="3154.32"/>
    <n v="1.7218279875106446"/>
  </r>
  <r>
    <x v="6"/>
    <x v="5"/>
    <d v="2022-07-28T00:00:00"/>
    <n v="98.1"/>
    <d v="2024-02-26T00:00:00"/>
    <n v="142.65"/>
    <n v="170.82"/>
    <n v="50"/>
    <n v="4905"/>
    <n v="12037.5"/>
    <n v="0"/>
    <n v="0"/>
    <n v="0"/>
    <n v="0"/>
    <n v="2227.5000000000005"/>
    <n v="0.45412844036697264"/>
  </r>
  <r>
    <x v="6"/>
    <x v="5"/>
    <d v="2022-10-24T00:00:00"/>
    <n v="101.25"/>
    <d v="2024-02-26T00:00:00"/>
    <n v="142.65"/>
    <n v="170.82"/>
    <n v="51"/>
    <n v="5163.75"/>
    <n v="12438.9"/>
    <n v="0"/>
    <n v="0"/>
    <n v="0"/>
    <n v="0"/>
    <n v="2111.4"/>
    <n v="0.40888888888888897"/>
  </r>
  <r>
    <x v="17"/>
    <x v="4"/>
    <m/>
    <n v="835.68"/>
    <m/>
    <n v="0"/>
    <n v="1185.2"/>
    <n v="11"/>
    <n v="9192.48"/>
    <n v="9192.48"/>
    <n v="3844.7200000000012"/>
    <n v="0.41824621864828654"/>
    <n v="6.4"/>
    <n v="70.400000000000006"/>
    <n v="0"/>
    <n v="0"/>
  </r>
  <r>
    <x v="18"/>
    <x v="4"/>
    <d v="2023-01-02T00:00:00"/>
    <n v="1211.3599999999999"/>
    <m/>
    <n v="0"/>
    <n v="1674.8"/>
    <n v="10"/>
    <n v="12113.599999999999"/>
    <n v="12113.599999999999"/>
    <n v="4634.4000000000005"/>
    <n v="0.38257825914674426"/>
    <n v="4.5"/>
    <n v="45"/>
    <n v="0"/>
    <n v="0"/>
  </r>
  <r>
    <x v="6"/>
    <x v="4"/>
    <m/>
    <n v="115.47"/>
    <m/>
    <n v="0"/>
    <n v="170.82"/>
    <n v="11"/>
    <n v="1270.17"/>
    <n v="1270.17"/>
    <n v="608.84999999999991"/>
    <n v="0.47934528448947772"/>
    <n v="1.6"/>
    <n v="17.600000000000001"/>
    <n v="0"/>
    <n v="0"/>
  </r>
  <r>
    <x v="18"/>
    <x v="4"/>
    <d v="2023-01-28T00:00:00"/>
    <n v="1211.3599999999999"/>
    <m/>
    <n v="0"/>
    <n v="1674.8"/>
    <n v="7"/>
    <n v="8479.5199999999986"/>
    <n v="8479.5199999999986"/>
    <n v="3244.0800000000004"/>
    <n v="0.38257825914674426"/>
    <n v="4.5"/>
    <n v="31.5"/>
    <n v="0"/>
    <n v="0"/>
  </r>
  <r>
    <x v="2"/>
    <x v="0"/>
    <m/>
    <n v="223.25"/>
    <m/>
    <n v="0"/>
    <n v="369.7"/>
    <n v="23"/>
    <n v="5134.75"/>
    <n v="5134.75"/>
    <n v="3368.35"/>
    <n v="0.65599104143337061"/>
    <n v="-0.2"/>
    <n v="-4.6000000000000005"/>
    <n v="0"/>
    <n v="0"/>
  </r>
  <r>
    <x v="19"/>
    <x v="0"/>
    <d v="2021-03-04T00:00:00"/>
    <n v="210"/>
    <d v="2025-01-03T00:00:00"/>
    <n v="427"/>
    <n v="370.5"/>
    <n v="25"/>
    <n v="5250"/>
    <n v="15925"/>
    <n v="0"/>
    <n v="0"/>
    <n v="0"/>
    <n v="0"/>
    <n v="5425"/>
    <n v="1.0333333333333334"/>
  </r>
  <r>
    <x v="19"/>
    <x v="0"/>
    <d v="2021-03-04T00:00:00"/>
    <n v="210"/>
    <d v="2024-11-18T00:00:00"/>
    <n v="414.85"/>
    <n v="370.5"/>
    <n v="25"/>
    <n v="5250"/>
    <n v="15621.25"/>
    <n v="0"/>
    <n v="0"/>
    <n v="0"/>
    <n v="0"/>
    <n v="5121.2500000000009"/>
    <n v="0.97547619047619061"/>
  </r>
  <r>
    <x v="20"/>
    <x v="0"/>
    <m/>
    <n v="225.15"/>
    <m/>
    <n v="0"/>
    <n v="382.4"/>
    <n v="27"/>
    <n v="6079.05"/>
    <n v="6079.05"/>
    <n v="4245.7499999999991"/>
    <n v="0.69842327337330656"/>
    <n v="1.6"/>
    <n v="43.2"/>
    <n v="0"/>
    <n v="0"/>
  </r>
  <r>
    <x v="21"/>
    <x v="0"/>
    <m/>
    <n v="76"/>
    <m/>
    <n v="0"/>
    <n v="284.25"/>
    <n v="75"/>
    <n v="5700"/>
    <n v="5700"/>
    <n v="15618.75"/>
    <n v="2.7401315789473686"/>
    <n v="-2.4500000000000002"/>
    <n v="-183.75"/>
    <n v="0"/>
    <n v="0"/>
  </r>
  <r>
    <x v="22"/>
    <x v="0"/>
    <m/>
    <n v="501.65"/>
    <m/>
    <n v="0"/>
    <s v="#N/A"/>
    <n v="4"/>
    <n v="2006.6"/>
    <n v="2006.6"/>
    <e v="#VALUE!"/>
    <e v="#VALUE!"/>
    <s v="#N/A"/>
    <e v="#VALUE!"/>
    <n v="0"/>
    <n v="0"/>
  </r>
  <r>
    <x v="23"/>
    <x v="0"/>
    <m/>
    <n v="715"/>
    <d v="2025-06-05T00:00:00"/>
    <n v="495.7"/>
    <n v="271.3"/>
    <n v="18"/>
    <n v="12870"/>
    <n v="21792.600000000002"/>
    <e v="#NAME?"/>
    <e v="#NAME?"/>
    <n v="0"/>
    <n v="0"/>
    <n v="-3947.4"/>
    <n v="-0.30671328671328674"/>
  </r>
  <r>
    <x v="4"/>
    <x v="2"/>
    <d v="2023-10-05T00:00:00"/>
    <n v="74.69"/>
    <m/>
    <n v="0"/>
    <n v="116.72"/>
    <n v="48"/>
    <n v="3585.12"/>
    <n v="3585.12"/>
    <e v="#NAME?"/>
    <e v="#NAME?"/>
    <n v="0.57999999999999996"/>
    <n v="27.839999999999996"/>
    <n v="0"/>
    <n v="0"/>
  </r>
  <r>
    <x v="24"/>
    <x v="5"/>
    <d v="2023-11-29T00:00:00"/>
    <n v="32"/>
    <d v="2023-11-29T00:00:00"/>
    <n v="52.8"/>
    <n v="139"/>
    <n v="160"/>
    <n v="5120"/>
    <n v="13568"/>
    <e v="#NAME?"/>
    <e v="#NAME?"/>
    <n v="0"/>
    <n v="0"/>
    <n v="3327.9999999999995"/>
    <n v="0.64999999999999991"/>
  </r>
  <r>
    <x v="24"/>
    <x v="5"/>
    <d v="2023-11-29T00:00:00"/>
    <n v="32"/>
    <d v="2024-02-26T00:00:00"/>
    <n v="151.5"/>
    <n v="139"/>
    <n v="300"/>
    <n v="9600"/>
    <n v="55050"/>
    <e v="#NAME?"/>
    <e v="#NAME?"/>
    <n v="0"/>
    <n v="0"/>
    <n v="35850"/>
    <n v="3.734375"/>
  </r>
  <r>
    <x v="25"/>
    <x v="5"/>
    <d v="2023-11-30T00:00:00"/>
    <n v="500"/>
    <d v="2023-11-30T00:00:00"/>
    <n v="1305.4000000000001"/>
    <n v="661.1"/>
    <n v="10"/>
    <n v="5000"/>
    <n v="18054"/>
    <e v="#NAME?"/>
    <e v="#NAME?"/>
    <n v="0"/>
    <n v="0"/>
    <n v="8054.0000000000009"/>
    <n v="1.6108000000000002"/>
  </r>
  <r>
    <x v="25"/>
    <x v="5"/>
    <d v="2023-11-30T00:00:00"/>
    <n v="500"/>
    <d v="2024-04-22T00:00:00"/>
    <n v="1051.75"/>
    <n v="661.1"/>
    <n v="20"/>
    <n v="10000"/>
    <n v="31035"/>
    <e v="#NAME?"/>
    <e v="#NAME?"/>
    <n v="0"/>
    <n v="0"/>
    <n v="11035"/>
    <n v="1.1034999999999999"/>
  </r>
  <r>
    <x v="26"/>
    <x v="0"/>
    <d v="2023-12-01T00:00:00"/>
    <n v="86"/>
    <m/>
    <n v="0"/>
    <n v="84.9"/>
    <n v="35"/>
    <n v="3010"/>
    <n v="3010"/>
    <e v="#NAME?"/>
    <e v="#NAME?"/>
    <n v="-0.45"/>
    <n v="-15.75"/>
    <n v="0"/>
    <n v="0"/>
  </r>
  <r>
    <x v="26"/>
    <x v="0"/>
    <d v="2023-12-29T00:00:00"/>
    <n v="88.25"/>
    <m/>
    <n v="0"/>
    <n v="84.9"/>
    <n v="35"/>
    <n v="3088.75"/>
    <n v="3088.75"/>
    <e v="#NAME?"/>
    <e v="#NAME?"/>
    <n v="-0.45"/>
    <n v="-15.75"/>
    <n v="0"/>
    <n v="0"/>
  </r>
  <r>
    <x v="27"/>
    <x v="5"/>
    <d v="2023-12-27T00:00:00"/>
    <n v="850"/>
    <d v="2023-12-27T00:00:00"/>
    <n v="1010.45"/>
    <n v="1096"/>
    <n v="17"/>
    <n v="14450"/>
    <n v="31627.65"/>
    <e v="#NAME?"/>
    <e v="#NAME?"/>
    <n v="0"/>
    <n v="0"/>
    <n v="2727.6500000000005"/>
    <n v="0.188764705882353"/>
  </r>
  <r>
    <x v="28"/>
    <x v="0"/>
    <d v="2023-12-28T00:00:00"/>
    <n v="524"/>
    <d v="2023-12-28T00:00:00"/>
    <n v="722.75"/>
    <n v="1658"/>
    <n v="20"/>
    <n v="10480"/>
    <n v="24935"/>
    <n v="0"/>
    <n v="0"/>
    <n v="0"/>
    <n v="0"/>
    <n v="3975"/>
    <n v="0.37929389312977096"/>
  </r>
  <r>
    <x v="28"/>
    <x v="0"/>
    <d v="2023-12-28T00:00:00"/>
    <n v="524"/>
    <d v="2025-07-14T00:00:00"/>
    <n v="1549.15"/>
    <n v="1658"/>
    <n v="8"/>
    <n v="4192"/>
    <n v="16585.2"/>
    <n v="0"/>
    <n v="0"/>
    <n v="0"/>
    <n v="0"/>
    <n v="8201.2000000000007"/>
    <n v="1.9563931297709924"/>
  </r>
  <r>
    <x v="29"/>
    <x v="2"/>
    <d v="2023-12-19T00:00:00"/>
    <n v="790"/>
    <d v="2023-12-20T00:00:00"/>
    <n v="1405.25"/>
    <n v="2568"/>
    <n v="10"/>
    <n v="7900"/>
    <n v="21952.5"/>
    <n v="0"/>
    <n v="0"/>
    <n v="0"/>
    <n v="0"/>
    <n v="6152.5"/>
    <n v="0.77879746835443042"/>
  </r>
  <r>
    <x v="29"/>
    <x v="2"/>
    <d v="2023-12-19T00:00:00"/>
    <n v="790"/>
    <m/>
    <n v="0"/>
    <n v="2568"/>
    <n v="8"/>
    <n v="6320"/>
    <n v="6320"/>
    <n v="14224"/>
    <n v="2.2506329113924051"/>
    <n v="-9.1999999999999993"/>
    <n v="-73.599999999999994"/>
    <n v="0"/>
    <n v="0"/>
  </r>
  <r>
    <x v="30"/>
    <x v="0"/>
    <d v="2024-01-02T00:00:00"/>
    <n v="3480"/>
    <m/>
    <n v="0"/>
    <n v="4070"/>
    <n v="1"/>
    <n v="3480"/>
    <n v="3480"/>
    <n v="590"/>
    <n v="0.16954022988505746"/>
    <n v="-2.4"/>
    <n v="-2.4"/>
    <n v="0"/>
    <n v="0"/>
  </r>
  <r>
    <x v="31"/>
    <x v="0"/>
    <d v="2024-01-16T00:00:00"/>
    <n v="4322"/>
    <m/>
    <n v="0"/>
    <n v="7638"/>
    <n v="1"/>
    <n v="4322"/>
    <n v="4322"/>
    <n v="3316"/>
    <n v="0.76723739009717729"/>
    <n v="35"/>
    <n v="35"/>
    <n v="0"/>
    <n v="0"/>
  </r>
  <r>
    <x v="30"/>
    <x v="0"/>
    <d v="2024-01-20T00:00:00"/>
    <n v="3639.15"/>
    <m/>
    <n v="0"/>
    <n v="4070"/>
    <n v="1"/>
    <n v="3639.15"/>
    <n v="3639.15"/>
    <n v="430.84999999999991"/>
    <n v="0.1183930313397359"/>
    <n v="-2.4"/>
    <n v="-2.4"/>
    <n v="0"/>
    <n v="0"/>
  </r>
  <r>
    <x v="30"/>
    <x v="0"/>
    <d v="2024-01-31T00:00:00"/>
    <n v="3429.9"/>
    <m/>
    <n v="0"/>
    <n v="4070"/>
    <n v="1"/>
    <n v="3429.9"/>
    <n v="3429.9"/>
    <n v="640.09999999999991"/>
    <n v="0.18662351672060407"/>
    <n v="-2.4"/>
    <n v="-2.4"/>
    <n v="0"/>
    <n v="0"/>
  </r>
  <r>
    <x v="30"/>
    <x v="0"/>
    <d v="2024-02-13T00:00:00"/>
    <n v="3328.75"/>
    <m/>
    <n v="0"/>
    <n v="4070"/>
    <n v="1"/>
    <n v="3328.75"/>
    <n v="3328.75"/>
    <n v="741.25"/>
    <n v="0.22268118663161848"/>
    <n v="-2.4"/>
    <n v="-2.4"/>
    <n v="0"/>
    <n v="0"/>
  </r>
  <r>
    <x v="32"/>
    <x v="5"/>
    <d v="2024-02-09T00:00:00"/>
    <n v="1405.95"/>
    <m/>
    <n v="0"/>
    <n v="997"/>
    <n v="3"/>
    <n v="4217.8500000000004"/>
    <n v="4217.8500000000004"/>
    <n v="-1226.8500000000001"/>
    <n v="-0.29087094135637825"/>
    <n v="9.3000000000000007"/>
    <n v="27.900000000000002"/>
    <n v="0"/>
    <n v="0"/>
  </r>
  <r>
    <x v="33"/>
    <x v="3"/>
    <d v="2024-02-12T00:00:00"/>
    <n v="126.95"/>
    <m/>
    <n v="0"/>
    <n v="133"/>
    <n v="20"/>
    <n v="2539"/>
    <n v="2539"/>
    <n v="120.99999999999994"/>
    <n v="4.7656557699881821E-2"/>
    <n v="2.94"/>
    <n v="58.8"/>
    <n v="0"/>
    <n v="0"/>
  </r>
  <r>
    <x v="4"/>
    <x v="3"/>
    <d v="2024-02-23T00:00:00"/>
    <n v="101.2"/>
    <m/>
    <n v="0"/>
    <n v="116.72"/>
    <n v="100"/>
    <n v="10120"/>
    <n v="10120"/>
    <n v="1551.9999999999995"/>
    <n v="0.15335968379446635"/>
    <n v="0.57999999999999996"/>
    <n v="57.999999999999993"/>
    <n v="0"/>
    <n v="0"/>
  </r>
  <r>
    <x v="30"/>
    <x v="0"/>
    <d v="2024-02-27T00:00:00"/>
    <n v="3495"/>
    <m/>
    <n v="0"/>
    <n v="4070"/>
    <n v="1"/>
    <n v="3495"/>
    <n v="3495"/>
    <n v="575"/>
    <n v="0.16452074391988555"/>
    <n v="-2.4"/>
    <n v="-2.4"/>
    <n v="0"/>
    <n v="0"/>
  </r>
  <r>
    <x v="34"/>
    <x v="3"/>
    <d v="2024-03-06T00:00:00"/>
    <n v="1075"/>
    <m/>
    <n v="0"/>
    <n v="776.9"/>
    <n v="4"/>
    <n v="4300"/>
    <n v="4300"/>
    <n v="-1192.4000000000001"/>
    <n v="-0.27730232558139539"/>
    <n v="8.4"/>
    <n v="33.6"/>
    <n v="0"/>
    <n v="0"/>
  </r>
  <r>
    <x v="4"/>
    <x v="3"/>
    <d v="2024-03-26T00:00:00"/>
    <n v="99.5"/>
    <m/>
    <n v="0"/>
    <n v="116.72"/>
    <n v="50"/>
    <n v="4975"/>
    <n v="4975"/>
    <n v="861"/>
    <n v="0.17306532663316582"/>
    <n v="0.57999999999999996"/>
    <n v="28.999999999999996"/>
    <n v="0"/>
    <n v="0"/>
  </r>
  <r>
    <x v="35"/>
    <x v="3"/>
    <d v="2024-03-28T00:00:00"/>
    <n v="5600"/>
    <d v="2024-10-07T00:00:00"/>
    <n v="7983.95"/>
    <n v="1365.9"/>
    <n v="2"/>
    <n v="11200"/>
    <n v="27167.9"/>
    <n v="0"/>
    <n v="0"/>
    <n v="0"/>
    <n v="0"/>
    <n v="4767.8999999999996"/>
    <n v="0.42570535714285712"/>
  </r>
  <r>
    <x v="36"/>
    <x v="0"/>
    <d v="2024-05-13T00:00:00"/>
    <n v="452"/>
    <d v="2024-07-03T00:00:00"/>
    <n v="556"/>
    <n v="532"/>
    <n v="10"/>
    <n v="4520"/>
    <n v="10080"/>
    <n v="0"/>
    <n v="0"/>
    <n v="0"/>
    <n v="0"/>
    <n v="1040"/>
    <n v="0.23008849557522124"/>
  </r>
  <r>
    <x v="37"/>
    <x v="0"/>
    <d v="2024-05-16T00:00:00"/>
    <n v="11.77"/>
    <m/>
    <n v="0"/>
    <n v="21.49"/>
    <n v="500"/>
    <n v="5885"/>
    <n v="5885"/>
    <n v="4859.9999999999991"/>
    <n v="0.82582837723024627"/>
    <n v="0.34"/>
    <n v="170"/>
    <n v="0"/>
    <n v="0"/>
  </r>
  <r>
    <x v="38"/>
    <x v="3"/>
    <d v="2024-05-22T00:00:00"/>
    <n v="102.62"/>
    <m/>
    <n v="0"/>
    <n v="114.45"/>
    <n v="50"/>
    <n v="5131"/>
    <n v="5131"/>
    <n v="591.49999999999989"/>
    <n v="0.11527967257844472"/>
    <n v="0.42"/>
    <n v="21"/>
    <n v="0"/>
    <n v="0"/>
  </r>
  <r>
    <x v="14"/>
    <x v="0"/>
    <d v="2024-04-22T00:00:00"/>
    <n v="95.89"/>
    <m/>
    <n v="0"/>
    <n v="168.98"/>
    <n v="190"/>
    <n v="18219.099999999999"/>
    <n v="18219.099999999999"/>
    <n v="13887.099999999999"/>
    <n v="0.76222755240379592"/>
    <n v="2.12"/>
    <n v="402.8"/>
    <n v="0"/>
    <n v="0"/>
  </r>
  <r>
    <x v="15"/>
    <x v="0"/>
    <d v="2024-04-22T00:00:00"/>
    <n v="1053.95"/>
    <m/>
    <n v="0"/>
    <n v="1224.5"/>
    <n v="10"/>
    <n v="10539.5"/>
    <n v="10539.5"/>
    <n v="1705.4999999999995"/>
    <n v="0.16181982067460501"/>
    <n v="-8.6999999999999993"/>
    <n v="-87"/>
    <n v="0"/>
    <n v="0"/>
  </r>
  <r>
    <x v="16"/>
    <x v="0"/>
    <d v="2024-04-22T00:00:00"/>
    <n v="1000.05"/>
    <m/>
    <n v="0"/>
    <n v="680.5"/>
    <n v="10"/>
    <n v="10000.5"/>
    <n v="10000.5"/>
    <n v="-3195.4999999999995"/>
    <n v="-0.31953402329883501"/>
    <n v="-1.1499999999999999"/>
    <n v="-11.5"/>
    <n v="0"/>
    <n v="0"/>
  </r>
  <r>
    <x v="9"/>
    <x v="0"/>
    <d v="2024-02-26T00:00:00"/>
    <n v="443"/>
    <m/>
    <n v="0"/>
    <n v="400.65"/>
    <n v="33"/>
    <n v="14619"/>
    <n v="14619"/>
    <n v="-1397.5500000000006"/>
    <n v="-9.559819413092556E-2"/>
    <n v="14.4"/>
    <n v="475.2"/>
    <n v="0"/>
    <n v="0"/>
  </r>
  <r>
    <x v="24"/>
    <x v="0"/>
    <d v="2024-02-26T00:00:00"/>
    <n v="151.5"/>
    <d v="2024-07-12T00:00:00"/>
    <n v="294.77999999999997"/>
    <n v="139"/>
    <n v="150"/>
    <n v="22725"/>
    <n v="66942"/>
    <n v="0"/>
    <n v="0"/>
    <n v="0"/>
    <n v="0"/>
    <n v="21491.999999999996"/>
    <n v="0.94574257425742558"/>
  </r>
  <r>
    <x v="25"/>
    <x v="0"/>
    <d v="2024-04-22T00:00:00"/>
    <n v="1051.75"/>
    <m/>
    <n v="0"/>
    <n v="661.1"/>
    <n v="20"/>
    <n v="21035"/>
    <n v="21035"/>
    <n v="-7813"/>
    <n v="-0.37142857142857139"/>
    <n v="-2.2999999999999998"/>
    <n v="-46"/>
    <n v="0"/>
    <n v="0"/>
  </r>
  <r>
    <x v="12"/>
    <x v="0"/>
    <d v="2024-04-22T00:00:00"/>
    <n v="1087.05"/>
    <m/>
    <n v="0"/>
    <n v="1362.4"/>
    <n v="20"/>
    <n v="21741"/>
    <n v="21741"/>
    <n v="5507.0000000000027"/>
    <n v="0.25330021618140852"/>
    <n v="-6.1"/>
    <n v="-122"/>
    <n v="0"/>
    <n v="0"/>
  </r>
  <r>
    <x v="11"/>
    <x v="0"/>
    <d v="2024-02-23T00:00:00"/>
    <n v="759.4"/>
    <m/>
    <n v="0"/>
    <n v="971.25"/>
    <n v="1"/>
    <n v="759.4"/>
    <n v="759.4"/>
    <n v="211.85000000000002"/>
    <n v="0.27897023966289181"/>
    <n v="-3.05"/>
    <n v="-3.05"/>
    <n v="0"/>
    <n v="0"/>
  </r>
  <r>
    <x v="6"/>
    <x v="0"/>
    <d v="2024-02-26T00:00:00"/>
    <n v="142.65"/>
    <m/>
    <n v="0"/>
    <n v="170.82"/>
    <n v="106"/>
    <n v="15120.900000000001"/>
    <n v="15120.900000000001"/>
    <n v="2986.0199999999986"/>
    <n v="0.19747634069400621"/>
    <n v="1.6"/>
    <n v="169.60000000000002"/>
    <n v="0"/>
    <n v="0"/>
  </r>
  <r>
    <x v="11"/>
    <x v="0"/>
    <d v="2024-06-06T00:00:00"/>
    <n v="824"/>
    <m/>
    <n v="0"/>
    <n v="971.25"/>
    <n v="9"/>
    <n v="7416"/>
    <n v="7416"/>
    <n v="1325.25"/>
    <n v="0.1787014563106796"/>
    <n v="-3.05"/>
    <n v="-27.45"/>
    <n v="0"/>
    <n v="0"/>
  </r>
  <r>
    <x v="26"/>
    <x v="0"/>
    <d v="2024-07-04T00:00:00"/>
    <n v="80.989999999999995"/>
    <m/>
    <n v="0"/>
    <n v="84.9"/>
    <n v="70"/>
    <n v="5669.2999999999993"/>
    <n v="5669.2999999999993"/>
    <n v="273.70000000000073"/>
    <n v="4.8277565131497849E-2"/>
    <n v="-0.45"/>
    <n v="-31.5"/>
    <n v="0"/>
    <n v="0"/>
  </r>
  <r>
    <x v="39"/>
    <x v="0"/>
    <d v="2024-07-04T00:00:00"/>
    <n v="207.45"/>
    <m/>
    <n v="0"/>
    <s v="#N/A"/>
    <n v="27"/>
    <n v="5601.15"/>
    <n v="5601.15"/>
    <e v="#VALUE!"/>
    <e v="#VALUE!"/>
    <s v="#N/A"/>
    <e v="#VALUE!"/>
    <n v="0"/>
    <n v="0"/>
  </r>
  <r>
    <x v="40"/>
    <x v="0"/>
    <d v="2024-07-09T00:00:00"/>
    <n v="28.68"/>
    <m/>
    <n v="0"/>
    <n v="25.31"/>
    <n v="200"/>
    <n v="5736"/>
    <n v="5736"/>
    <n v="-674.00000000000023"/>
    <n v="-0.1175034867503487"/>
    <n v="-0.05"/>
    <n v="-10"/>
    <n v="0"/>
    <n v="0"/>
  </r>
  <r>
    <x v="40"/>
    <x v="5"/>
    <d v="2024-07-09T00:00:00"/>
    <n v="28.7"/>
    <m/>
    <n v="0"/>
    <n v="25.31"/>
    <n v="100"/>
    <n v="2870"/>
    <n v="2870"/>
    <n v="-339.00000000000006"/>
    <n v="-0.11811846689895472"/>
    <n v="-0.05"/>
    <n v="-5"/>
    <n v="0"/>
    <n v="0"/>
  </r>
  <r>
    <x v="41"/>
    <x v="5"/>
    <d v="2024-07-09T00:00:00"/>
    <n v="56.83"/>
    <m/>
    <n v="0"/>
    <n v="48.97"/>
    <n v="50"/>
    <n v="2841.5"/>
    <n v="2841.5"/>
    <n v="-393"/>
    <n v="-0.13830723209572407"/>
    <n v="-0.01"/>
    <n v="-0.5"/>
    <n v="0"/>
    <n v="0"/>
  </r>
  <r>
    <x v="24"/>
    <x v="0"/>
    <d v="2024-02-26T00:00:00"/>
    <n v="151.5"/>
    <m/>
    <n v="0"/>
    <n v="139"/>
    <n v="150"/>
    <n v="22725"/>
    <n v="22725"/>
    <n v="-1875"/>
    <n v="-8.2508250825082508E-2"/>
    <n v="3.33"/>
    <n v="499.5"/>
    <n v="0"/>
    <n v="0"/>
  </r>
  <r>
    <x v="40"/>
    <x v="0"/>
    <d v="2024-07-15T00:00:00"/>
    <n v="28.91"/>
    <m/>
    <n v="0"/>
    <n v="25.31"/>
    <n v="400"/>
    <n v="11564"/>
    <n v="11564"/>
    <n v="-1440.0000000000005"/>
    <n v="-0.12452438602559673"/>
    <n v="-0.05"/>
    <n v="-20"/>
    <n v="0"/>
    <n v="0"/>
  </r>
  <r>
    <x v="4"/>
    <x v="0"/>
    <d v="2024-07-15T00:00:00"/>
    <n v="118.15"/>
    <m/>
    <n v="0"/>
    <n v="116.72"/>
    <n v="100"/>
    <n v="11815"/>
    <n v="11815"/>
    <n v="-143.00000000000068"/>
    <n v="-1.2103258569614953E-2"/>
    <n v="0.57999999999999996"/>
    <n v="57.999999999999993"/>
    <n v="0"/>
    <n v="0"/>
  </r>
  <r>
    <x v="6"/>
    <x v="4"/>
    <d v="2024-07-16T00:00:00"/>
    <n v="169.45"/>
    <m/>
    <n v="0"/>
    <n v="170.82"/>
    <n v="1"/>
    <n v="169.45"/>
    <n v="169.45"/>
    <n v="1.3700000000000045"/>
    <n v="8.084980820301001E-3"/>
    <n v="1.6"/>
    <n v="1.6"/>
    <n v="0"/>
    <n v="0"/>
  </r>
  <r>
    <x v="42"/>
    <x v="4"/>
    <d v="2024-07-16T00:00:00"/>
    <n v="36.72"/>
    <m/>
    <n v="0"/>
    <n v="31.69"/>
    <n v="100"/>
    <n v="3672"/>
    <n v="3672"/>
    <n v="-502.99999999999977"/>
    <n v="-0.13698257080610016"/>
    <n v="-0.12"/>
    <n v="-12"/>
    <n v="0"/>
    <n v="0"/>
  </r>
  <r>
    <x v="2"/>
    <x v="0"/>
    <m/>
    <n v="223.25"/>
    <m/>
    <n v="0"/>
    <n v="369.7"/>
    <n v="23"/>
    <n v="5134.75"/>
    <n v="5134.75"/>
    <n v="3368.35"/>
    <n v="0.65599104143337061"/>
    <n v="-0.2"/>
    <n v="-4.6000000000000005"/>
    <n v="0"/>
    <n v="0"/>
  </r>
  <r>
    <x v="43"/>
    <x v="0"/>
    <d v="2024-07-26T00:00:00"/>
    <n v="247"/>
    <m/>
    <n v="0"/>
    <n v="178.1"/>
    <n v="14"/>
    <n v="3458"/>
    <n v="3458"/>
    <n v="-964.60000000000014"/>
    <n v="-0.27894736842105267"/>
    <n v="1.05"/>
    <n v="14.700000000000001"/>
    <n v="0"/>
    <n v="0"/>
  </r>
  <r>
    <x v="44"/>
    <x v="4"/>
    <d v="2024-08-20T00:00:00"/>
    <n v="42.36"/>
    <m/>
    <n v="0"/>
    <n v="40.99"/>
    <n v="50"/>
    <n v="2118"/>
    <n v="2118"/>
    <n v="-68.499999999999872"/>
    <n v="-3.234183191690268E-2"/>
    <n v="-0.34"/>
    <n v="-17"/>
    <n v="0"/>
    <n v="0"/>
  </r>
  <r>
    <x v="44"/>
    <x v="0"/>
    <d v="2024-08-21T00:00:00"/>
    <n v="42.26"/>
    <d v="2025-06-05T00:00:00"/>
    <n v="38.46"/>
    <n v="40.99"/>
    <n v="50"/>
    <n v="2113"/>
    <n v="4036"/>
    <n v="0"/>
    <n v="0"/>
    <n v="0"/>
    <n v="0"/>
    <n v="-189.99999999999986"/>
    <n v="-8.9919545669663925E-2"/>
  </r>
  <r>
    <x v="45"/>
    <x v="5"/>
    <d v="2024-08-29T00:00:00"/>
    <n v="574.5"/>
    <m/>
    <n v="0"/>
    <n v="780.7"/>
    <n v="8"/>
    <n v="4596"/>
    <n v="4596"/>
    <n v="1649.6000000000004"/>
    <n v="0.3589208006962577"/>
    <n v="4.1500000000000004"/>
    <n v="33.200000000000003"/>
    <n v="0"/>
    <n v="0"/>
  </r>
  <r>
    <x v="44"/>
    <x v="5"/>
    <d v="2024-08-29T00:00:00"/>
    <n v="43.27"/>
    <m/>
    <n v="0"/>
    <n v="40.99"/>
    <n v="8"/>
    <n v="346.16"/>
    <n v="346.16"/>
    <n v="-18.240000000000009"/>
    <n v="-5.2692396579616385E-2"/>
    <n v="-0.34"/>
    <n v="-2.72"/>
    <n v="0"/>
    <n v="0"/>
  </r>
  <r>
    <x v="46"/>
    <x v="5"/>
    <d v="2024-09-04T00:00:00"/>
    <n v="764.1"/>
    <m/>
    <n v="0"/>
    <n v="869"/>
    <n v="6"/>
    <n v="4584.6000000000004"/>
    <n v="4584.6000000000004"/>
    <n v="629.39999999999986"/>
    <n v="0.13728569558958248"/>
    <n v="-3.2"/>
    <n v="-19.200000000000003"/>
    <n v="0"/>
    <n v="0"/>
  </r>
  <r>
    <x v="45"/>
    <x v="5"/>
    <d v="2024-10-01T00:00:00"/>
    <n v="622.79999999999995"/>
    <m/>
    <n v="0"/>
    <n v="780.7"/>
    <n v="8"/>
    <n v="4982.3999999999996"/>
    <n v="4982.3999999999996"/>
    <n v="1263.2000000000007"/>
    <n v="0.25353243416827248"/>
    <n v="4.1500000000000004"/>
    <n v="33.200000000000003"/>
    <n v="0"/>
    <n v="0"/>
  </r>
  <r>
    <x v="38"/>
    <x v="5"/>
    <d v="2024-10-01T00:00:00"/>
    <n v="110.76"/>
    <m/>
    <n v="0"/>
    <n v="114.45"/>
    <n v="4"/>
    <n v="443.04"/>
    <n v="443.04"/>
    <n v="14.759999999999991"/>
    <n v="3.3315276273022727E-2"/>
    <n v="0.42"/>
    <n v="1.68"/>
    <n v="0"/>
    <n v="0"/>
  </r>
  <r>
    <x v="0"/>
    <x v="0"/>
    <d v="2024-10-28T00:00:00"/>
    <n v="1242.675"/>
    <m/>
    <n v="0"/>
    <n v="1569"/>
    <n v="5"/>
    <n v="6213.375"/>
    <n v="6213.375"/>
    <n v="1631.6250000000002"/>
    <n v="0.26259882913875315"/>
    <n v="-6.4"/>
    <n v="-32"/>
    <n v="0"/>
    <n v="0"/>
  </r>
  <r>
    <x v="0"/>
    <x v="0"/>
    <d v="2024-10-28T00:00:00"/>
    <n v="1167.375"/>
    <m/>
    <n v="0"/>
    <n v="1569"/>
    <n v="2"/>
    <n v="2334.75"/>
    <n v="2334.75"/>
    <n v="803.25"/>
    <n v="0.34404111789270803"/>
    <n v="-6.4"/>
    <n v="-12.8"/>
    <n v="0"/>
    <n v="0"/>
  </r>
  <r>
    <x v="40"/>
    <x v="0"/>
    <d v="2024-11-01T00:00:00"/>
    <n v="26.57"/>
    <m/>
    <n v="0"/>
    <n v="25.31"/>
    <n v="151"/>
    <n v="4012.07"/>
    <n v="4012.07"/>
    <n v="-190.26000000000025"/>
    <n v="-4.7421904403462611E-2"/>
    <n v="-0.05"/>
    <n v="-7.5500000000000007"/>
    <n v="0"/>
    <n v="0"/>
  </r>
  <r>
    <x v="42"/>
    <x v="4"/>
    <d v="2024-11-01T00:00:00"/>
    <n v="35.159999999999997"/>
    <m/>
    <n v="0"/>
    <n v="31.69"/>
    <n v="151"/>
    <n v="5309.16"/>
    <n v="5309.16"/>
    <n v="-523.96999999999935"/>
    <n v="-9.8691695108077238E-2"/>
    <n v="-0.12"/>
    <n v="-18.12"/>
    <n v="0"/>
    <n v="0"/>
  </r>
  <r>
    <x v="0"/>
    <x v="5"/>
    <d v="2024-11-01T00:00:00"/>
    <n v="1339.6"/>
    <m/>
    <n v="0"/>
    <n v="1569"/>
    <n v="3"/>
    <n v="4018.7999999999997"/>
    <n v="4018.7999999999997"/>
    <n v="688.20000000000027"/>
    <n v="0.17124514780531511"/>
    <n v="-6.4"/>
    <n v="-19.200000000000003"/>
    <n v="0"/>
    <n v="0"/>
  </r>
  <r>
    <x v="38"/>
    <x v="5"/>
    <d v="2024-11-01T00:00:00"/>
    <n v="102"/>
    <m/>
    <n v="0"/>
    <n v="114.45"/>
    <n v="6"/>
    <n v="612"/>
    <n v="612"/>
    <n v="74.700000000000017"/>
    <n v="0.12205882352941179"/>
    <n v="0.42"/>
    <n v="2.52"/>
    <n v="0"/>
    <n v="0"/>
  </r>
  <r>
    <x v="38"/>
    <x v="2"/>
    <d v="2024-11-01T00:00:00"/>
    <n v="102"/>
    <m/>
    <n v="0"/>
    <n v="114.45"/>
    <n v="51"/>
    <n v="5202"/>
    <n v="5202"/>
    <n v="634.95000000000016"/>
    <n v="0.12205882352941179"/>
    <n v="0.42"/>
    <n v="21.419999999999998"/>
    <n v="0"/>
    <n v="0"/>
  </r>
  <r>
    <x v="47"/>
    <x v="0"/>
    <d v="2024-11-21T00:00:00"/>
    <n v="66.56"/>
    <m/>
    <n v="0"/>
    <n v="116.68"/>
    <n v="100"/>
    <n v="6656"/>
    <n v="6656"/>
    <n v="5012"/>
    <n v="0.75300480769230771"/>
    <n v="1.7"/>
    <n v="170"/>
    <n v="0"/>
    <n v="0"/>
  </r>
  <r>
    <x v="0"/>
    <x v="0"/>
    <d v="2024-12-04T00:00:00"/>
    <n v="1311.65"/>
    <m/>
    <n v="0"/>
    <n v="1569"/>
    <n v="3"/>
    <n v="3934.9500000000003"/>
    <n v="3934.9500000000003"/>
    <n v="772.04999999999973"/>
    <n v="0.19620325544161926"/>
    <n v="-6.4"/>
    <n v="-19.200000000000003"/>
    <n v="0"/>
    <n v="0"/>
  </r>
  <r>
    <x v="37"/>
    <x v="3"/>
    <d v="2025-06-04T00:00:00"/>
    <n v="15.38"/>
    <m/>
    <n v="0"/>
    <n v="21.49"/>
    <n v="200"/>
    <n v="3076"/>
    <n v="3076"/>
    <n v="1221.9999999999995"/>
    <n v="0.39726918075422607"/>
    <n v="0.34"/>
    <n v="68"/>
    <n v="0"/>
    <n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d v="2023-01-18T00:00:00"/>
    <n v="1242.675"/>
    <m/>
    <n v="0"/>
    <n v="1569"/>
    <n v="5"/>
    <n v="6213.375"/>
    <n v="6213.375"/>
    <n v="1631.6250000000002"/>
    <n v="0.26259882913875315"/>
    <n v="-6.4"/>
    <n v="-32"/>
    <n v="0"/>
  </r>
  <r>
    <n v="2"/>
    <x v="1"/>
    <x v="0"/>
    <d v="2023-01-18T00:00:00"/>
    <n v="1685"/>
    <d v="2023-09-14T00:00:00"/>
    <n v="1923.7"/>
    <n v="2823.1"/>
    <n v="10"/>
    <n v="16850"/>
    <n v="36087"/>
    <n v="0"/>
    <n v="0"/>
    <n v="0"/>
    <n v="0"/>
    <n v="2387.0000000000005"/>
  </r>
  <r>
    <n v="3"/>
    <x v="0"/>
    <x v="0"/>
    <d v="2023-01-30T00:00:00"/>
    <n v="1167.375"/>
    <m/>
    <n v="0"/>
    <n v="1569"/>
    <n v="2"/>
    <n v="2334.75"/>
    <n v="2334.75"/>
    <n v="803.25"/>
    <n v="0.34404111789270803"/>
    <n v="-6.4"/>
    <n v="-12.8"/>
    <n v="0"/>
  </r>
  <r>
    <n v="4"/>
    <x v="2"/>
    <x v="0"/>
    <d v="2023-02-03T00:00:00"/>
    <n v="327.72"/>
    <m/>
    <n v="0"/>
    <n v="369.7"/>
    <n v="10"/>
    <n v="3277.2000000000003"/>
    <n v="3277.2000000000003"/>
    <n v="419.79999999999961"/>
    <n v="0.12809715610887329"/>
    <n v="-0.2"/>
    <n v="-2"/>
    <n v="0"/>
  </r>
  <r>
    <n v="5"/>
    <x v="3"/>
    <x v="1"/>
    <d v="2023-02-15T00:00:00"/>
    <n v="49.48"/>
    <d v="2025-01-03T00:00:00"/>
    <n v="82.2"/>
    <n v="83.27"/>
    <n v="65"/>
    <n v="3216.2"/>
    <n v="8559.2000000000007"/>
    <n v="0"/>
    <n v="0"/>
    <n v="0"/>
    <n v="0"/>
    <n v="2126.8000000000002"/>
  </r>
  <r>
    <n v="6"/>
    <x v="4"/>
    <x v="2"/>
    <d v="2023-02-15T00:00:00"/>
    <n v="57.93"/>
    <m/>
    <n v="0"/>
    <n v="116.72"/>
    <n v="60"/>
    <n v="3475.8"/>
    <n v="3475.8"/>
    <n v="3527.4"/>
    <n v="1.0148455031935093"/>
    <n v="0.57999999999999996"/>
    <n v="34.799999999999997"/>
    <n v="0"/>
  </r>
  <r>
    <n v="7"/>
    <x v="5"/>
    <x v="1"/>
    <d v="2023-02-15T00:00:00"/>
    <n v="41.54"/>
    <d v="2023-10-05T00:00:00"/>
    <n v="44.66"/>
    <n v="48.75"/>
    <n v="80"/>
    <n v="3323.2"/>
    <n v="6895.9999999999991"/>
    <n v="0"/>
    <n v="0"/>
    <n v="0"/>
    <n v="0"/>
    <n v="249.5999999999998"/>
  </r>
  <r>
    <n v="8"/>
    <x v="6"/>
    <x v="3"/>
    <d v="2023-06-14T00:00:00"/>
    <n v="113.8"/>
    <d v="2024-07-10T00:00:00"/>
    <n v="168.42"/>
    <n v="170.82"/>
    <n v="40"/>
    <n v="4552"/>
    <n v="11288.8"/>
    <n v="0"/>
    <n v="0"/>
    <n v="0"/>
    <n v="0"/>
    <n v="2184.7999999999997"/>
  </r>
  <r>
    <n v="9"/>
    <x v="4"/>
    <x v="2"/>
    <d v="2023-08-07T00:00:00"/>
    <n v="69.86"/>
    <m/>
    <n v="0"/>
    <n v="116.72"/>
    <n v="45"/>
    <n v="3143.7"/>
    <n v="3143.7"/>
    <n v="2108.6999999999998"/>
    <n v="0.67077011165187517"/>
    <n v="0.57999999999999996"/>
    <n v="26.099999999999998"/>
    <n v="0"/>
  </r>
  <r>
    <n v="10"/>
    <x v="7"/>
    <x v="4"/>
    <d v="2023-08-30T00:00:00"/>
    <n v="639.4"/>
    <m/>
    <n v="0"/>
    <n v="763"/>
    <n v="11"/>
    <n v="7033.4"/>
    <n v="7033.4"/>
    <n v="1359.6000000000004"/>
    <n v="0.193306224585549"/>
    <n v="1.2"/>
    <n v="13.2"/>
    <n v="0"/>
  </r>
  <r>
    <n v="11"/>
    <x v="8"/>
    <x v="0"/>
    <m/>
    <n v="1"/>
    <m/>
    <n v="0"/>
    <n v="298.5"/>
    <n v="7"/>
    <n v="7"/>
    <n v="7"/>
    <n v="2082.5"/>
    <n v="297.5"/>
    <n v="-0.25"/>
    <n v="-1.75"/>
    <n v="0"/>
  </r>
  <r>
    <n v="12"/>
    <x v="9"/>
    <x v="5"/>
    <d v="2017-08-03T00:00:00"/>
    <n v="263.63"/>
    <d v="2024-02-26T00:00:00"/>
    <n v="443"/>
    <n v="400.65"/>
    <n v="30"/>
    <n v="7908.9"/>
    <n v="21198.9"/>
    <n v="0"/>
    <n v="0"/>
    <n v="0"/>
    <n v="0"/>
    <n v="5381.1"/>
  </r>
  <r>
    <n v="13"/>
    <x v="10"/>
    <x v="5"/>
    <d v="2020-01-28T00:00:00"/>
    <n v="187.15"/>
    <d v="2021-06-16T00:00:00"/>
    <n v="1200"/>
    <n v="1017"/>
    <n v="10"/>
    <n v="1871.5"/>
    <n v="13871.5"/>
    <n v="0"/>
    <n v="0"/>
    <n v="0"/>
    <n v="0"/>
    <n v="10128.5"/>
  </r>
  <r>
    <n v="14"/>
    <x v="11"/>
    <x v="5"/>
    <d v="2020-02-12T00:00:00"/>
    <n v="324.7"/>
    <d v="2024-02-23T00:00:00"/>
    <n v="759.4"/>
    <n v="971.25"/>
    <n v="1"/>
    <n v="324.7"/>
    <n v="1084.0999999999999"/>
    <n v="0"/>
    <n v="0"/>
    <n v="0"/>
    <n v="0"/>
    <n v="434.7"/>
  </r>
  <r>
    <n v="15"/>
    <x v="12"/>
    <x v="5"/>
    <d v="2021-02-26T00:00:00"/>
    <n v="595.9"/>
    <d v="2024-04-22T00:00:00"/>
    <n v="1087.05"/>
    <n v="1362.4"/>
    <n v="20"/>
    <n v="11918"/>
    <n v="33659"/>
    <n v="0"/>
    <n v="0"/>
    <n v="0"/>
    <n v="0"/>
    <n v="9823"/>
  </r>
  <r>
    <n v="16"/>
    <x v="13"/>
    <x v="5"/>
    <d v="2021-03-22T00:00:00"/>
    <n v="722.5"/>
    <d v="2021-05-28T00:00:00"/>
    <n v="782.5"/>
    <n v="1492.8"/>
    <n v="5"/>
    <n v="3612.5"/>
    <n v="7525"/>
    <n v="0"/>
    <n v="0"/>
    <n v="0"/>
    <n v="0"/>
    <n v="300"/>
  </r>
  <r>
    <n v="17"/>
    <x v="14"/>
    <x v="5"/>
    <d v="2021-05-07T00:00:00"/>
    <n v="48.6"/>
    <d v="2024-04-22T00:00:00"/>
    <n v="95.89"/>
    <n v="168.98"/>
    <n v="102"/>
    <n v="4957.2"/>
    <n v="14737.980000000001"/>
    <n v="0"/>
    <n v="0"/>
    <n v="0"/>
    <n v="0"/>
    <n v="4823.58"/>
  </r>
  <r>
    <n v="18"/>
    <x v="15"/>
    <x v="5"/>
    <d v="2021-07-29T00:00:00"/>
    <n v="723"/>
    <d v="2024-04-22T00:00:00"/>
    <n v="1053.95"/>
    <n v="1224.5"/>
    <n v="10"/>
    <n v="7230"/>
    <n v="17769.5"/>
    <n v="0"/>
    <n v="0"/>
    <n v="0"/>
    <n v="0"/>
    <n v="3309.5000000000005"/>
  </r>
  <r>
    <n v="19"/>
    <x v="16"/>
    <x v="5"/>
    <d v="2021-11-08T00:00:00"/>
    <n v="833.3"/>
    <d v="2024-04-22T00:00:00"/>
    <n v="1000.05"/>
    <n v="680.5"/>
    <n v="11"/>
    <n v="9166.2999999999993"/>
    <n v="20166.849999999999"/>
    <n v="0"/>
    <n v="0"/>
    <n v="0"/>
    <n v="0"/>
    <n v="1834.25"/>
  </r>
  <r>
    <n v="20"/>
    <x v="9"/>
    <x v="5"/>
    <d v="2021-12-22T00:00:00"/>
    <n v="145.55000000000001"/>
    <d v="2024-02-26T00:00:00"/>
    <n v="443"/>
    <n v="400.65"/>
    <n v="3"/>
    <n v="436.65000000000003"/>
    <n v="1765.6499999999999"/>
    <n v="0"/>
    <n v="0"/>
    <n v="0"/>
    <n v="0"/>
    <n v="892.34999999999991"/>
  </r>
  <r>
    <n v="21"/>
    <x v="14"/>
    <x v="5"/>
    <d v="2022-11-09T00:00:00"/>
    <n v="35.229999999999997"/>
    <d v="2024-04-22T00:00:00"/>
    <n v="95.89"/>
    <n v="168.98"/>
    <n v="52"/>
    <n v="1831.9599999999998"/>
    <n v="6818.24"/>
    <n v="0"/>
    <n v="0"/>
    <n v="0"/>
    <n v="0"/>
    <n v="3154.32"/>
  </r>
  <r>
    <n v="22"/>
    <x v="6"/>
    <x v="5"/>
    <d v="2022-07-28T00:00:00"/>
    <n v="98.1"/>
    <d v="2024-02-26T00:00:00"/>
    <n v="142.65"/>
    <n v="170.82"/>
    <n v="50"/>
    <n v="4905"/>
    <n v="12037.5"/>
    <n v="0"/>
    <n v="0"/>
    <n v="0"/>
    <n v="0"/>
    <n v="2227.5000000000005"/>
  </r>
  <r>
    <n v="23"/>
    <x v="6"/>
    <x v="5"/>
    <d v="2022-10-24T00:00:00"/>
    <n v="101.25"/>
    <d v="2024-02-26T00:00:00"/>
    <n v="142.65"/>
    <n v="170.82"/>
    <n v="51"/>
    <n v="5163.75"/>
    <n v="12438.9"/>
    <n v="0"/>
    <n v="0"/>
    <n v="0"/>
    <n v="0"/>
    <n v="2111.4"/>
  </r>
  <r>
    <n v="24"/>
    <x v="17"/>
    <x v="4"/>
    <m/>
    <n v="835.68"/>
    <m/>
    <n v="0"/>
    <n v="1185.2"/>
    <n v="11"/>
    <n v="9192.48"/>
    <n v="9192.48"/>
    <n v="3844.7200000000012"/>
    <n v="0.41824621864828654"/>
    <n v="6.4"/>
    <n v="70.400000000000006"/>
    <n v="0"/>
  </r>
  <r>
    <n v="25"/>
    <x v="18"/>
    <x v="4"/>
    <d v="2023-01-02T00:00:00"/>
    <n v="1211.3599999999999"/>
    <m/>
    <n v="0"/>
    <n v="1674.8"/>
    <n v="10"/>
    <n v="12113.599999999999"/>
    <n v="12113.599999999999"/>
    <n v="4634.4000000000005"/>
    <n v="0.38257825914674426"/>
    <n v="4.5"/>
    <n v="45"/>
    <n v="0"/>
  </r>
  <r>
    <n v="26"/>
    <x v="6"/>
    <x v="4"/>
    <m/>
    <n v="115.47"/>
    <m/>
    <n v="0"/>
    <n v="170.82"/>
    <n v="11"/>
    <n v="1270.17"/>
    <n v="1270.17"/>
    <n v="608.84999999999991"/>
    <n v="0.47934528448947772"/>
    <n v="1.6"/>
    <n v="17.600000000000001"/>
    <n v="0"/>
  </r>
  <r>
    <n v="27"/>
    <x v="18"/>
    <x v="4"/>
    <d v="2023-01-28T00:00:00"/>
    <n v="1211.3599999999999"/>
    <m/>
    <n v="0"/>
    <n v="1674.8"/>
    <n v="7"/>
    <n v="8479.5199999999986"/>
    <n v="8479.5199999999986"/>
    <n v="3244.0800000000004"/>
    <n v="0.38257825914674426"/>
    <n v="4.5"/>
    <n v="31.5"/>
    <n v="0"/>
  </r>
  <r>
    <n v="28"/>
    <x v="2"/>
    <x v="0"/>
    <m/>
    <n v="223.25"/>
    <m/>
    <n v="0"/>
    <n v="369.7"/>
    <n v="23"/>
    <n v="5134.75"/>
    <n v="5134.75"/>
    <n v="3368.35"/>
    <n v="0.65599104143337061"/>
    <n v="-0.2"/>
    <n v="-4.6000000000000005"/>
    <n v="0"/>
  </r>
  <r>
    <n v="29"/>
    <x v="19"/>
    <x v="0"/>
    <d v="2021-03-04T00:00:00"/>
    <n v="210"/>
    <d v="2025-01-03T00:00:00"/>
    <n v="427"/>
    <n v="370.5"/>
    <n v="25"/>
    <n v="5250"/>
    <n v="15925"/>
    <n v="0"/>
    <n v="0"/>
    <n v="0"/>
    <n v="0"/>
    <n v="5425"/>
  </r>
  <r>
    <n v="30"/>
    <x v="19"/>
    <x v="0"/>
    <d v="2021-03-04T00:00:00"/>
    <n v="210"/>
    <d v="2024-11-18T00:00:00"/>
    <n v="414.85"/>
    <n v="370.5"/>
    <n v="25"/>
    <n v="5250"/>
    <n v="15621.25"/>
    <n v="0"/>
    <n v="0"/>
    <n v="0"/>
    <n v="0"/>
    <n v="5121.2500000000009"/>
  </r>
  <r>
    <n v="31"/>
    <x v="20"/>
    <x v="0"/>
    <m/>
    <n v="225.15"/>
    <m/>
    <n v="0"/>
    <n v="382.4"/>
    <n v="27"/>
    <n v="6079.05"/>
    <n v="6079.05"/>
    <n v="4245.7499999999991"/>
    <n v="0.69842327337330656"/>
    <n v="1.6"/>
    <n v="43.2"/>
    <n v="0"/>
  </r>
  <r>
    <n v="32"/>
    <x v="21"/>
    <x v="0"/>
    <m/>
    <n v="76"/>
    <m/>
    <n v="0"/>
    <n v="284.25"/>
    <n v="75"/>
    <n v="5700"/>
    <n v="5700"/>
    <n v="15618.75"/>
    <n v="2.7401315789473686"/>
    <n v="-2.4500000000000002"/>
    <n v="-183.75"/>
    <n v="0"/>
  </r>
  <r>
    <n v="33"/>
    <x v="22"/>
    <x v="0"/>
    <m/>
    <n v="501.65"/>
    <m/>
    <n v="0"/>
    <s v="#N/A"/>
    <n v="4"/>
    <n v="2006.6"/>
    <n v="2006.6"/>
    <e v="#VALUE!"/>
    <e v="#VALUE!"/>
    <s v="#N/A"/>
    <e v="#VALUE!"/>
    <n v="0"/>
  </r>
  <r>
    <n v="34"/>
    <x v="23"/>
    <x v="0"/>
    <m/>
    <n v="715"/>
    <d v="2025-06-05T00:00:00"/>
    <n v="495.7"/>
    <n v="271.3"/>
    <n v="18"/>
    <n v="12870"/>
    <n v="21792.600000000002"/>
    <e v="#NAME?"/>
    <e v="#NAME?"/>
    <n v="0"/>
    <n v="0"/>
    <n v="-3947.4"/>
  </r>
  <r>
    <n v="35"/>
    <x v="4"/>
    <x v="2"/>
    <d v="2023-10-05T00:00:00"/>
    <n v="74.69"/>
    <m/>
    <n v="0"/>
    <n v="116.72"/>
    <n v="48"/>
    <n v="3585.12"/>
    <n v="3585.12"/>
    <e v="#NAME?"/>
    <e v="#NAME?"/>
    <n v="0.57999999999999996"/>
    <n v="27.839999999999996"/>
    <n v="0"/>
  </r>
  <r>
    <n v="36"/>
    <x v="24"/>
    <x v="5"/>
    <d v="2023-11-29T00:00:00"/>
    <n v="32"/>
    <d v="2023-11-29T00:00:00"/>
    <n v="52.8"/>
    <n v="139"/>
    <n v="160"/>
    <n v="5120"/>
    <n v="13568"/>
    <e v="#NAME?"/>
    <e v="#NAME?"/>
    <n v="0"/>
    <n v="0"/>
    <n v="3327.9999999999995"/>
  </r>
  <r>
    <n v="37"/>
    <x v="24"/>
    <x v="5"/>
    <d v="2023-11-29T00:00:00"/>
    <n v="32"/>
    <d v="2024-02-26T00:00:00"/>
    <n v="151.5"/>
    <n v="139"/>
    <n v="300"/>
    <n v="9600"/>
    <n v="55050"/>
    <e v="#NAME?"/>
    <e v="#NAME?"/>
    <n v="0"/>
    <n v="0"/>
    <n v="35850"/>
  </r>
  <r>
    <n v="38"/>
    <x v="25"/>
    <x v="5"/>
    <d v="2023-11-30T00:00:00"/>
    <n v="500"/>
    <d v="2023-11-30T00:00:00"/>
    <n v="1305.4000000000001"/>
    <n v="661.1"/>
    <n v="10"/>
    <n v="5000"/>
    <n v="18054"/>
    <e v="#NAME?"/>
    <e v="#NAME?"/>
    <n v="0"/>
    <n v="0"/>
    <n v="8054.0000000000009"/>
  </r>
  <r>
    <n v="39"/>
    <x v="25"/>
    <x v="5"/>
    <d v="2023-11-30T00:00:00"/>
    <n v="500"/>
    <d v="2024-04-22T00:00:00"/>
    <n v="1051.75"/>
    <n v="661.1"/>
    <n v="20"/>
    <n v="10000"/>
    <n v="31035"/>
    <e v="#NAME?"/>
    <e v="#NAME?"/>
    <n v="0"/>
    <n v="0"/>
    <n v="11035"/>
  </r>
  <r>
    <n v="40"/>
    <x v="26"/>
    <x v="0"/>
    <d v="2023-12-01T00:00:00"/>
    <n v="86"/>
    <m/>
    <n v="0"/>
    <n v="84.9"/>
    <n v="35"/>
    <n v="3010"/>
    <n v="3010"/>
    <e v="#NAME?"/>
    <e v="#NAME?"/>
    <n v="-0.45"/>
    <n v="-15.75"/>
    <n v="0"/>
  </r>
  <r>
    <n v="41"/>
    <x v="26"/>
    <x v="0"/>
    <d v="2023-12-29T00:00:00"/>
    <n v="88.25"/>
    <m/>
    <n v="0"/>
    <n v="84.9"/>
    <n v="35"/>
    <n v="3088.75"/>
    <n v="3088.75"/>
    <e v="#NAME?"/>
    <e v="#NAME?"/>
    <n v="-0.45"/>
    <n v="-15.75"/>
    <n v="0"/>
  </r>
  <r>
    <n v="42"/>
    <x v="27"/>
    <x v="5"/>
    <d v="2023-12-27T00:00:00"/>
    <n v="850"/>
    <d v="2023-12-27T00:00:00"/>
    <n v="1010.45"/>
    <n v="1096"/>
    <n v="17"/>
    <n v="14450"/>
    <n v="31627.65"/>
    <e v="#NAME?"/>
    <e v="#NAME?"/>
    <n v="0"/>
    <n v="0"/>
    <n v="2727.6500000000005"/>
  </r>
  <r>
    <n v="43"/>
    <x v="28"/>
    <x v="0"/>
    <d v="2023-12-28T00:00:00"/>
    <n v="524"/>
    <d v="2023-12-28T00:00:00"/>
    <n v="722.75"/>
    <n v="1658"/>
    <n v="20"/>
    <n v="10480"/>
    <n v="24935"/>
    <n v="0"/>
    <n v="0"/>
    <n v="0"/>
    <n v="0"/>
    <n v="3975"/>
  </r>
  <r>
    <n v="44"/>
    <x v="28"/>
    <x v="0"/>
    <d v="2023-12-28T00:00:00"/>
    <n v="524"/>
    <d v="2025-07-14T00:00:00"/>
    <n v="1549.15"/>
    <n v="1658"/>
    <n v="8"/>
    <n v="4192"/>
    <n v="16585.2"/>
    <n v="0"/>
    <n v="0"/>
    <n v="0"/>
    <n v="0"/>
    <n v="8201.2000000000007"/>
  </r>
  <r>
    <n v="45"/>
    <x v="29"/>
    <x v="2"/>
    <d v="2023-12-19T00:00:00"/>
    <n v="790"/>
    <d v="2023-12-20T00:00:00"/>
    <n v="1405.25"/>
    <n v="2568"/>
    <n v="10"/>
    <n v="7900"/>
    <n v="21952.5"/>
    <n v="0"/>
    <n v="0"/>
    <n v="0"/>
    <n v="0"/>
    <n v="6152.5"/>
  </r>
  <r>
    <n v="46"/>
    <x v="29"/>
    <x v="2"/>
    <d v="2023-12-19T00:00:00"/>
    <n v="790"/>
    <m/>
    <n v="0"/>
    <n v="2568"/>
    <n v="8"/>
    <n v="6320"/>
    <n v="6320"/>
    <n v="14224"/>
    <n v="2.2506329113924051"/>
    <n v="-9.1999999999999993"/>
    <n v="-73.599999999999994"/>
    <n v="0"/>
  </r>
  <r>
    <n v="47"/>
    <x v="30"/>
    <x v="0"/>
    <d v="2024-01-02T00:00:00"/>
    <n v="3480"/>
    <m/>
    <n v="0"/>
    <n v="4070"/>
    <n v="1"/>
    <n v="3480"/>
    <n v="3480"/>
    <n v="590"/>
    <n v="0.16954022988505746"/>
    <n v="-2.4"/>
    <n v="-2.4"/>
    <n v="0"/>
  </r>
  <r>
    <n v="48"/>
    <x v="31"/>
    <x v="0"/>
    <d v="2024-01-16T00:00:00"/>
    <n v="4322"/>
    <m/>
    <n v="0"/>
    <n v="7638"/>
    <n v="1"/>
    <n v="4322"/>
    <n v="4322"/>
    <n v="3316"/>
    <n v="0.76723739009717729"/>
    <n v="35"/>
    <n v="35"/>
    <n v="0"/>
  </r>
  <r>
    <n v="49"/>
    <x v="30"/>
    <x v="0"/>
    <d v="2024-01-20T00:00:00"/>
    <n v="3639.15"/>
    <m/>
    <n v="0"/>
    <n v="4070"/>
    <n v="1"/>
    <n v="3639.15"/>
    <n v="3639.15"/>
    <n v="430.84999999999991"/>
    <n v="0.1183930313397359"/>
    <n v="-2.4"/>
    <n v="-2.4"/>
    <n v="0"/>
  </r>
  <r>
    <n v="50"/>
    <x v="30"/>
    <x v="0"/>
    <d v="2024-01-31T00:00:00"/>
    <n v="3429.9"/>
    <m/>
    <n v="0"/>
    <n v="4070"/>
    <n v="1"/>
    <n v="3429.9"/>
    <n v="3429.9"/>
    <n v="640.09999999999991"/>
    <n v="0.18662351672060407"/>
    <n v="-2.4"/>
    <n v="-2.4"/>
    <n v="0"/>
  </r>
  <r>
    <n v="51"/>
    <x v="30"/>
    <x v="0"/>
    <d v="2024-02-13T00:00:00"/>
    <n v="3328.75"/>
    <m/>
    <n v="0"/>
    <n v="4070"/>
    <n v="1"/>
    <n v="3328.75"/>
    <n v="3328.75"/>
    <n v="741.25"/>
    <n v="0.22268118663161848"/>
    <n v="-2.4"/>
    <n v="-2.4"/>
    <n v="0"/>
  </r>
  <r>
    <n v="52"/>
    <x v="32"/>
    <x v="5"/>
    <d v="2024-02-09T00:00:00"/>
    <n v="1405.95"/>
    <m/>
    <n v="0"/>
    <n v="997"/>
    <n v="3"/>
    <n v="4217.8500000000004"/>
    <n v="4217.8500000000004"/>
    <n v="-1226.8500000000001"/>
    <n v="-0.29087094135637825"/>
    <n v="9.3000000000000007"/>
    <n v="27.900000000000002"/>
    <n v="0"/>
  </r>
  <r>
    <n v="53"/>
    <x v="33"/>
    <x v="3"/>
    <d v="2024-02-12T00:00:00"/>
    <n v="126.95"/>
    <m/>
    <n v="0"/>
    <n v="133"/>
    <n v="20"/>
    <n v="2539"/>
    <n v="2539"/>
    <n v="120.99999999999994"/>
    <n v="4.7656557699881821E-2"/>
    <n v="2.94"/>
    <n v="58.8"/>
    <n v="0"/>
  </r>
  <r>
    <n v="54"/>
    <x v="4"/>
    <x v="3"/>
    <d v="2024-02-23T00:00:00"/>
    <n v="101.2"/>
    <m/>
    <n v="0"/>
    <n v="116.72"/>
    <n v="100"/>
    <n v="10120"/>
    <n v="10120"/>
    <n v="1551.9999999999995"/>
    <n v="0.15335968379446635"/>
    <n v="0.57999999999999996"/>
    <n v="57.999999999999993"/>
    <n v="0"/>
  </r>
  <r>
    <n v="55"/>
    <x v="30"/>
    <x v="0"/>
    <d v="2024-02-27T00:00:00"/>
    <n v="3495"/>
    <m/>
    <n v="0"/>
    <n v="4070"/>
    <n v="1"/>
    <n v="3495"/>
    <n v="3495"/>
    <n v="575"/>
    <n v="0.16452074391988555"/>
    <n v="-2.4"/>
    <n v="-2.4"/>
    <n v="0"/>
  </r>
  <r>
    <n v="56"/>
    <x v="34"/>
    <x v="3"/>
    <d v="2024-03-06T00:00:00"/>
    <n v="1075"/>
    <m/>
    <n v="0"/>
    <n v="776.9"/>
    <n v="4"/>
    <n v="4300"/>
    <n v="4300"/>
    <n v="-1192.4000000000001"/>
    <n v="-0.27730232558139539"/>
    <n v="8.4"/>
    <n v="33.6"/>
    <n v="0"/>
  </r>
  <r>
    <n v="57"/>
    <x v="4"/>
    <x v="3"/>
    <d v="2024-03-26T00:00:00"/>
    <n v="99.5"/>
    <m/>
    <n v="0"/>
    <n v="116.72"/>
    <n v="50"/>
    <n v="4975"/>
    <n v="4975"/>
    <n v="861"/>
    <n v="0.17306532663316582"/>
    <n v="0.57999999999999996"/>
    <n v="28.999999999999996"/>
    <n v="0"/>
  </r>
  <r>
    <n v="58"/>
    <x v="35"/>
    <x v="3"/>
    <d v="2024-03-28T00:00:00"/>
    <n v="5600"/>
    <d v="2024-10-07T00:00:00"/>
    <n v="7983.95"/>
    <n v="1365.9"/>
    <n v="2"/>
    <n v="11200"/>
    <n v="27167.9"/>
    <n v="0"/>
    <n v="0"/>
    <n v="0"/>
    <n v="0"/>
    <n v="4767.8999999999996"/>
  </r>
  <r>
    <n v="59"/>
    <x v="36"/>
    <x v="0"/>
    <d v="2024-05-13T00:00:00"/>
    <n v="452"/>
    <d v="2024-07-03T00:00:00"/>
    <n v="556"/>
    <n v="532"/>
    <n v="10"/>
    <n v="4520"/>
    <n v="10080"/>
    <n v="0"/>
    <n v="0"/>
    <n v="0"/>
    <n v="0"/>
    <n v="1040"/>
  </r>
  <r>
    <n v="60"/>
    <x v="37"/>
    <x v="0"/>
    <d v="2024-05-16T00:00:00"/>
    <n v="11.77"/>
    <m/>
    <n v="0"/>
    <n v="21.49"/>
    <n v="500"/>
    <n v="5885"/>
    <n v="5885"/>
    <n v="4859.9999999999991"/>
    <n v="0.82582837723024627"/>
    <n v="0.34"/>
    <n v="170"/>
    <n v="0"/>
  </r>
  <r>
    <n v="61"/>
    <x v="38"/>
    <x v="3"/>
    <d v="2024-05-22T00:00:00"/>
    <n v="102.62"/>
    <m/>
    <n v="0"/>
    <n v="114.45"/>
    <n v="50"/>
    <n v="5131"/>
    <n v="5131"/>
    <n v="591.49999999999989"/>
    <n v="0.11527967257844472"/>
    <n v="0.42"/>
    <n v="21"/>
    <n v="0"/>
  </r>
  <r>
    <n v="62"/>
    <x v="14"/>
    <x v="0"/>
    <d v="2024-04-22T00:00:00"/>
    <n v="95.89"/>
    <m/>
    <n v="0"/>
    <n v="168.98"/>
    <n v="190"/>
    <n v="18219.099999999999"/>
    <n v="18219.099999999999"/>
    <n v="13887.099999999999"/>
    <n v="0.76222755240379592"/>
    <n v="2.12"/>
    <n v="402.8"/>
    <n v="0"/>
  </r>
  <r>
    <n v="63"/>
    <x v="15"/>
    <x v="0"/>
    <d v="2024-04-22T00:00:00"/>
    <n v="1053.95"/>
    <m/>
    <n v="0"/>
    <n v="1224.5"/>
    <n v="10"/>
    <n v="10539.5"/>
    <n v="10539.5"/>
    <n v="1705.4999999999995"/>
    <n v="0.16181982067460501"/>
    <n v="-8.6999999999999993"/>
    <n v="-87"/>
    <n v="0"/>
  </r>
  <r>
    <n v="64"/>
    <x v="16"/>
    <x v="0"/>
    <d v="2024-04-22T00:00:00"/>
    <n v="1000.05"/>
    <m/>
    <n v="0"/>
    <n v="680.5"/>
    <n v="10"/>
    <n v="10000.5"/>
    <n v="10000.5"/>
    <n v="-3195.4999999999995"/>
    <n v="-0.31953402329883501"/>
    <n v="-1.1499999999999999"/>
    <n v="-11.5"/>
    <n v="0"/>
  </r>
  <r>
    <n v="65"/>
    <x v="9"/>
    <x v="0"/>
    <d v="2024-02-26T00:00:00"/>
    <n v="443"/>
    <m/>
    <n v="0"/>
    <n v="400.65"/>
    <n v="33"/>
    <n v="14619"/>
    <n v="14619"/>
    <n v="-1397.5500000000006"/>
    <n v="-9.559819413092556E-2"/>
    <n v="14.4"/>
    <n v="475.2"/>
    <n v="0"/>
  </r>
  <r>
    <n v="66"/>
    <x v="24"/>
    <x v="0"/>
    <d v="2024-02-26T00:00:00"/>
    <n v="151.5"/>
    <d v="2024-07-12T00:00:00"/>
    <n v="294.77999999999997"/>
    <n v="139"/>
    <n v="150"/>
    <n v="22725"/>
    <n v="66942"/>
    <n v="0"/>
    <n v="0"/>
    <n v="0"/>
    <n v="0"/>
    <n v="21491.999999999996"/>
  </r>
  <r>
    <n v="67"/>
    <x v="25"/>
    <x v="0"/>
    <d v="2024-04-22T00:00:00"/>
    <n v="1051.75"/>
    <m/>
    <n v="0"/>
    <n v="661.1"/>
    <n v="20"/>
    <n v="21035"/>
    <n v="21035"/>
    <n v="-7813"/>
    <n v="-0.37142857142857139"/>
    <n v="-2.2999999999999998"/>
    <n v="-46"/>
    <n v="0"/>
  </r>
  <r>
    <n v="68"/>
    <x v="12"/>
    <x v="0"/>
    <d v="2024-04-22T00:00:00"/>
    <n v="1087.05"/>
    <m/>
    <n v="0"/>
    <n v="1362.4"/>
    <n v="20"/>
    <n v="21741"/>
    <n v="21741"/>
    <n v="5507.0000000000027"/>
    <n v="0.25330021618140852"/>
    <n v="-6.1"/>
    <n v="-122"/>
    <n v="0"/>
  </r>
  <r>
    <n v="69"/>
    <x v="11"/>
    <x v="0"/>
    <d v="2024-02-23T00:00:00"/>
    <n v="759.4"/>
    <m/>
    <n v="0"/>
    <n v="971.25"/>
    <n v="1"/>
    <n v="759.4"/>
    <n v="759.4"/>
    <n v="211.85000000000002"/>
    <n v="0.27897023966289181"/>
    <n v="-3.05"/>
    <n v="-3.05"/>
    <n v="0"/>
  </r>
  <r>
    <n v="70"/>
    <x v="6"/>
    <x v="0"/>
    <d v="2024-02-26T00:00:00"/>
    <n v="142.65"/>
    <m/>
    <n v="0"/>
    <n v="170.82"/>
    <n v="106"/>
    <n v="15120.900000000001"/>
    <n v="15120.900000000001"/>
    <n v="2986.0199999999986"/>
    <n v="0.19747634069400621"/>
    <n v="1.6"/>
    <n v="169.60000000000002"/>
    <n v="0"/>
  </r>
  <r>
    <n v="71"/>
    <x v="11"/>
    <x v="0"/>
    <d v="2024-06-06T00:00:00"/>
    <n v="824"/>
    <m/>
    <n v="0"/>
    <n v="971.25"/>
    <n v="9"/>
    <n v="7416"/>
    <n v="7416"/>
    <n v="1325.25"/>
    <n v="0.1787014563106796"/>
    <n v="-3.05"/>
    <n v="-27.45"/>
    <n v="0"/>
  </r>
  <r>
    <n v="72"/>
    <x v="26"/>
    <x v="0"/>
    <d v="2024-07-04T00:00:00"/>
    <n v="80.989999999999995"/>
    <m/>
    <n v="0"/>
    <n v="84.9"/>
    <n v="70"/>
    <n v="5669.2999999999993"/>
    <n v="5669.2999999999993"/>
    <n v="273.70000000000073"/>
    <n v="4.8277565131497849E-2"/>
    <n v="-0.45"/>
    <n v="-31.5"/>
    <n v="0"/>
  </r>
  <r>
    <n v="73"/>
    <x v="39"/>
    <x v="0"/>
    <d v="2024-07-04T00:00:00"/>
    <n v="207.45"/>
    <m/>
    <n v="0"/>
    <s v="#N/A"/>
    <n v="27"/>
    <n v="5601.15"/>
    <n v="5601.15"/>
    <e v="#VALUE!"/>
    <e v="#VALUE!"/>
    <s v="#N/A"/>
    <e v="#VALUE!"/>
    <n v="0"/>
  </r>
  <r>
    <n v="74"/>
    <x v="40"/>
    <x v="0"/>
    <d v="2024-07-09T00:00:00"/>
    <n v="28.68"/>
    <m/>
    <n v="0"/>
    <n v="25.31"/>
    <n v="200"/>
    <n v="5736"/>
    <n v="5736"/>
    <n v="-674.00000000000023"/>
    <n v="-0.1175034867503487"/>
    <n v="-0.05"/>
    <n v="-10"/>
    <n v="0"/>
  </r>
  <r>
    <n v="75"/>
    <x v="40"/>
    <x v="5"/>
    <d v="2024-07-09T00:00:00"/>
    <n v="28.7"/>
    <m/>
    <n v="0"/>
    <n v="25.31"/>
    <n v="100"/>
    <n v="2870"/>
    <n v="2870"/>
    <n v="-339.00000000000006"/>
    <n v="-0.11811846689895472"/>
    <n v="-0.05"/>
    <n v="-5"/>
    <n v="0"/>
  </r>
  <r>
    <n v="76"/>
    <x v="41"/>
    <x v="5"/>
    <d v="2024-07-09T00:00:00"/>
    <n v="56.83"/>
    <m/>
    <n v="0"/>
    <n v="48.97"/>
    <n v="50"/>
    <n v="2841.5"/>
    <n v="2841.5"/>
    <n v="-393"/>
    <n v="-0.13830723209572407"/>
    <n v="-0.01"/>
    <n v="-0.5"/>
    <n v="0"/>
  </r>
  <r>
    <n v="77"/>
    <x v="24"/>
    <x v="0"/>
    <d v="2024-02-26T00:00:00"/>
    <n v="151.5"/>
    <m/>
    <n v="0"/>
    <n v="139"/>
    <n v="150"/>
    <n v="22725"/>
    <n v="22725"/>
    <n v="-1875"/>
    <n v="-8.2508250825082508E-2"/>
    <n v="3.33"/>
    <n v="499.5"/>
    <n v="0"/>
  </r>
  <r>
    <n v="78"/>
    <x v="40"/>
    <x v="0"/>
    <d v="2024-07-15T00:00:00"/>
    <n v="28.91"/>
    <m/>
    <n v="0"/>
    <n v="25.31"/>
    <n v="400"/>
    <n v="11564"/>
    <n v="11564"/>
    <n v="-1440.0000000000005"/>
    <n v="-0.12452438602559673"/>
    <n v="-0.05"/>
    <n v="-20"/>
    <n v="0"/>
  </r>
  <r>
    <n v="79"/>
    <x v="4"/>
    <x v="0"/>
    <d v="2024-07-15T00:00:00"/>
    <n v="118.15"/>
    <m/>
    <n v="0"/>
    <n v="116.72"/>
    <n v="100"/>
    <n v="11815"/>
    <n v="11815"/>
    <n v="-143.00000000000068"/>
    <n v="-1.2103258569614953E-2"/>
    <n v="0.57999999999999996"/>
    <n v="57.999999999999993"/>
    <n v="0"/>
  </r>
  <r>
    <n v="80"/>
    <x v="6"/>
    <x v="4"/>
    <d v="2024-07-16T00:00:00"/>
    <n v="169.45"/>
    <m/>
    <n v="0"/>
    <n v="170.82"/>
    <n v="1"/>
    <n v="169.45"/>
    <n v="169.45"/>
    <n v="1.3700000000000045"/>
    <n v="8.084980820301001E-3"/>
    <n v="1.6"/>
    <n v="1.6"/>
    <n v="0"/>
  </r>
  <r>
    <n v="81"/>
    <x v="42"/>
    <x v="4"/>
    <d v="2024-07-16T00:00:00"/>
    <n v="36.72"/>
    <m/>
    <n v="0"/>
    <n v="31.69"/>
    <n v="100"/>
    <n v="3672"/>
    <n v="3672"/>
    <n v="-502.99999999999977"/>
    <n v="-0.13698257080610016"/>
    <n v="-0.12"/>
    <n v="-12"/>
    <n v="0"/>
  </r>
  <r>
    <n v="82"/>
    <x v="2"/>
    <x v="0"/>
    <m/>
    <n v="223.25"/>
    <m/>
    <n v="0"/>
    <n v="369.7"/>
    <n v="23"/>
    <n v="5134.75"/>
    <n v="5134.75"/>
    <n v="3368.35"/>
    <n v="0.65599104143337061"/>
    <n v="-0.2"/>
    <n v="-4.6000000000000005"/>
    <n v="0"/>
  </r>
  <r>
    <n v="83"/>
    <x v="43"/>
    <x v="0"/>
    <d v="2024-07-26T00:00:00"/>
    <n v="247"/>
    <m/>
    <n v="0"/>
    <n v="178.1"/>
    <n v="14"/>
    <n v="3458"/>
    <n v="3458"/>
    <n v="-964.60000000000014"/>
    <n v="-0.27894736842105267"/>
    <n v="1.05"/>
    <n v="14.700000000000001"/>
    <n v="0"/>
  </r>
  <r>
    <n v="84"/>
    <x v="44"/>
    <x v="4"/>
    <d v="2024-08-20T00:00:00"/>
    <n v="42.36"/>
    <m/>
    <n v="0"/>
    <n v="40.99"/>
    <n v="50"/>
    <n v="2118"/>
    <n v="2118"/>
    <n v="-68.499999999999872"/>
    <n v="-3.234183191690268E-2"/>
    <n v="-0.34"/>
    <n v="-17"/>
    <n v="0"/>
  </r>
  <r>
    <n v="85"/>
    <x v="44"/>
    <x v="0"/>
    <d v="2024-08-21T00:00:00"/>
    <n v="42.26"/>
    <d v="2025-06-05T00:00:00"/>
    <n v="38.46"/>
    <n v="40.99"/>
    <n v="50"/>
    <n v="2113"/>
    <n v="4036"/>
    <n v="0"/>
    <n v="0"/>
    <n v="0"/>
    <n v="0"/>
    <n v="-189.99999999999986"/>
  </r>
  <r>
    <n v="86"/>
    <x v="45"/>
    <x v="5"/>
    <d v="2024-08-29T00:00:00"/>
    <n v="574.5"/>
    <m/>
    <n v="0"/>
    <n v="780.7"/>
    <n v="8"/>
    <n v="4596"/>
    <n v="4596"/>
    <n v="1649.6000000000004"/>
    <n v="0.3589208006962577"/>
    <n v="4.1500000000000004"/>
    <n v="33.200000000000003"/>
    <n v="0"/>
  </r>
  <r>
    <n v="87"/>
    <x v="44"/>
    <x v="5"/>
    <d v="2024-08-29T00:00:00"/>
    <n v="43.27"/>
    <m/>
    <n v="0"/>
    <n v="40.99"/>
    <n v="8"/>
    <n v="346.16"/>
    <n v="346.16"/>
    <n v="-18.240000000000009"/>
    <n v="-5.2692396579616385E-2"/>
    <n v="-0.34"/>
    <n v="-2.72"/>
    <n v="0"/>
  </r>
  <r>
    <n v="88"/>
    <x v="46"/>
    <x v="5"/>
    <d v="2024-09-04T00:00:00"/>
    <n v="764.1"/>
    <m/>
    <n v="0"/>
    <n v="869"/>
    <n v="6"/>
    <n v="4584.6000000000004"/>
    <n v="4584.6000000000004"/>
    <n v="629.39999999999986"/>
    <n v="0.13728569558958248"/>
    <n v="-3.2"/>
    <n v="-19.200000000000003"/>
    <n v="0"/>
  </r>
  <r>
    <n v="89"/>
    <x v="45"/>
    <x v="5"/>
    <d v="2024-10-01T00:00:00"/>
    <n v="622.79999999999995"/>
    <m/>
    <n v="0"/>
    <n v="780.7"/>
    <n v="8"/>
    <n v="4982.3999999999996"/>
    <n v="4982.3999999999996"/>
    <n v="1263.2000000000007"/>
    <n v="0.25353243416827248"/>
    <n v="4.1500000000000004"/>
    <n v="33.200000000000003"/>
    <n v="0"/>
  </r>
  <r>
    <n v="90"/>
    <x v="38"/>
    <x v="5"/>
    <d v="2024-10-01T00:00:00"/>
    <n v="110.76"/>
    <m/>
    <n v="0"/>
    <n v="114.45"/>
    <n v="4"/>
    <n v="443.04"/>
    <n v="443.04"/>
    <n v="14.759999999999991"/>
    <n v="3.3315276273022727E-2"/>
    <n v="0.42"/>
    <n v="1.68"/>
    <n v="0"/>
  </r>
  <r>
    <n v="91"/>
    <x v="0"/>
    <x v="0"/>
    <d v="2024-10-28T00:00:00"/>
    <n v="1242.675"/>
    <m/>
    <n v="0"/>
    <n v="1569"/>
    <n v="5"/>
    <n v="6213.375"/>
    <n v="6213.375"/>
    <n v="1631.6250000000002"/>
    <n v="0.26259882913875315"/>
    <n v="-6.4"/>
    <n v="-32"/>
    <n v="0"/>
  </r>
  <r>
    <n v="92"/>
    <x v="0"/>
    <x v="0"/>
    <d v="2024-10-28T00:00:00"/>
    <n v="1167.375"/>
    <m/>
    <n v="0"/>
    <n v="1569"/>
    <n v="2"/>
    <n v="2334.75"/>
    <n v="2334.75"/>
    <n v="803.25"/>
    <n v="0.34404111789270803"/>
    <n v="-6.4"/>
    <n v="-12.8"/>
    <n v="0"/>
  </r>
  <r>
    <n v="93"/>
    <x v="40"/>
    <x v="0"/>
    <d v="2024-11-01T00:00:00"/>
    <n v="26.57"/>
    <m/>
    <n v="0"/>
    <n v="25.31"/>
    <n v="151"/>
    <n v="4012.07"/>
    <n v="4012.07"/>
    <n v="-190.26000000000025"/>
    <n v="-4.7421904403462611E-2"/>
    <n v="-0.05"/>
    <n v="-7.5500000000000007"/>
    <n v="0"/>
  </r>
  <r>
    <n v="94"/>
    <x v="42"/>
    <x v="4"/>
    <d v="2024-11-01T00:00:00"/>
    <n v="35.159999999999997"/>
    <m/>
    <n v="0"/>
    <n v="31.69"/>
    <n v="151"/>
    <n v="5309.16"/>
    <n v="5309.16"/>
    <n v="-523.96999999999935"/>
    <n v="-9.8691695108077238E-2"/>
    <n v="-0.12"/>
    <n v="-18.12"/>
    <n v="0"/>
  </r>
  <r>
    <n v="95"/>
    <x v="0"/>
    <x v="5"/>
    <d v="2024-11-01T00:00:00"/>
    <n v="1339.6"/>
    <m/>
    <n v="0"/>
    <n v="1569"/>
    <n v="3"/>
    <n v="4018.7999999999997"/>
    <n v="4018.7999999999997"/>
    <n v="688.20000000000027"/>
    <n v="0.17124514780531511"/>
    <n v="-6.4"/>
    <n v="-19.200000000000003"/>
    <n v="0"/>
  </r>
  <r>
    <n v="96"/>
    <x v="38"/>
    <x v="5"/>
    <d v="2024-11-01T00:00:00"/>
    <n v="102"/>
    <m/>
    <n v="0"/>
    <n v="114.45"/>
    <n v="6"/>
    <n v="612"/>
    <n v="612"/>
    <n v="74.700000000000017"/>
    <n v="0.12205882352941179"/>
    <n v="0.42"/>
    <n v="2.52"/>
    <n v="0"/>
  </r>
  <r>
    <n v="97"/>
    <x v="38"/>
    <x v="2"/>
    <d v="2024-11-01T00:00:00"/>
    <n v="102"/>
    <m/>
    <n v="0"/>
    <n v="114.45"/>
    <n v="51"/>
    <n v="5202"/>
    <n v="5202"/>
    <n v="634.95000000000016"/>
    <n v="0.12205882352941179"/>
    <n v="0.42"/>
    <n v="21.419999999999998"/>
    <n v="0"/>
  </r>
  <r>
    <n v="98"/>
    <x v="47"/>
    <x v="0"/>
    <d v="2024-11-21T00:00:00"/>
    <n v="66.56"/>
    <m/>
    <n v="0"/>
    <n v="116.68"/>
    <n v="100"/>
    <n v="6656"/>
    <n v="6656"/>
    <n v="5012"/>
    <n v="0.75300480769230771"/>
    <n v="1.7"/>
    <n v="170"/>
    <n v="0"/>
  </r>
  <r>
    <n v="99"/>
    <x v="0"/>
    <x v="0"/>
    <d v="2024-12-04T00:00:00"/>
    <n v="1311.65"/>
    <m/>
    <n v="0"/>
    <n v="1569"/>
    <n v="3"/>
    <n v="3934.9500000000003"/>
    <n v="3934.9500000000003"/>
    <n v="772.04999999999973"/>
    <n v="0.19620325544161926"/>
    <n v="-6.4"/>
    <n v="-19.200000000000003"/>
    <n v="0"/>
  </r>
  <r>
    <n v="100"/>
    <x v="37"/>
    <x v="3"/>
    <d v="2025-06-04T00:00:00"/>
    <n v="15.38"/>
    <m/>
    <n v="0"/>
    <n v="21.49"/>
    <n v="200"/>
    <n v="3076"/>
    <n v="3076"/>
    <n v="1221.9999999999995"/>
    <n v="0.39726918075422607"/>
    <n v="0.34"/>
    <n v="68"/>
    <n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1"/>
    <s v="RELIANCE"/>
    <s v="ESPRESSO"/>
    <d v="2023-01-18T00:00:00"/>
    <n v="1242.675"/>
    <x v="0"/>
    <n v="0"/>
    <n v="1569"/>
    <n v="5"/>
    <n v="6213.375"/>
    <n v="6213.375"/>
    <n v="1631.6250000000002"/>
    <n v="0.26259882913875315"/>
    <n v="-6.4"/>
    <n v="-32"/>
    <n v="0"/>
    <n v="0"/>
  </r>
  <r>
    <n v="2"/>
    <s v="GRASIM"/>
    <s v="ESPRESSO"/>
    <d v="2023-01-18T00:00:00"/>
    <n v="1685"/>
    <x v="1"/>
    <n v="1923.7"/>
    <n v="2823.1"/>
    <n v="10"/>
    <n v="16850"/>
    <n v="36087"/>
    <n v="0"/>
    <n v="0"/>
    <n v="0"/>
    <n v="0"/>
    <n v="2387.0000000000005"/>
    <n v="0.14166172106824929"/>
  </r>
  <r>
    <n v="3"/>
    <s v="RELIANCE"/>
    <s v="ESPRESSO"/>
    <d v="2023-01-30T00:00:00"/>
    <n v="1167.375"/>
    <x v="0"/>
    <n v="0"/>
    <n v="1569"/>
    <n v="2"/>
    <n v="2334.75"/>
    <n v="2334.75"/>
    <n v="803.25"/>
    <n v="0.34404111789270803"/>
    <n v="-6.4"/>
    <n v="-12.8"/>
    <n v="0"/>
    <n v="0"/>
  </r>
  <r>
    <n v="4"/>
    <s v="BPCL"/>
    <s v="ESPRESSO"/>
    <d v="2023-02-03T00:00:00"/>
    <n v="327.72"/>
    <x v="0"/>
    <n v="0"/>
    <n v="369.7"/>
    <n v="10"/>
    <n v="3277.2000000000003"/>
    <n v="3277.2000000000003"/>
    <n v="419.79999999999961"/>
    <n v="0.12809715610887329"/>
    <n v="-0.2"/>
    <n v="-2"/>
    <n v="0"/>
    <n v="0"/>
  </r>
  <r>
    <n v="5"/>
    <s v="DIVOPPBEES"/>
    <s v="Savitri"/>
    <d v="2023-02-15T00:00:00"/>
    <n v="49.48"/>
    <x v="2"/>
    <n v="82.2"/>
    <n v="83.27"/>
    <n v="65"/>
    <n v="3216.2"/>
    <n v="8559.2000000000007"/>
    <n v="0"/>
    <n v="0"/>
    <n v="0"/>
    <n v="0"/>
    <n v="2126.8000000000002"/>
    <n v="0.66127728375101069"/>
  </r>
  <r>
    <n v="6"/>
    <s v="ICICIB22"/>
    <s v="Ramkishor"/>
    <d v="2023-02-15T00:00:00"/>
    <n v="57.93"/>
    <x v="0"/>
    <n v="0"/>
    <n v="116.72"/>
    <n v="60"/>
    <n v="3475.8"/>
    <n v="3475.8"/>
    <n v="3527.4"/>
    <n v="1.0148455031935093"/>
    <n v="0.57999999999999996"/>
    <n v="34.799999999999997"/>
    <n v="0"/>
    <n v="0"/>
  </r>
  <r>
    <n v="7"/>
    <s v="ICICIBANKN"/>
    <s v="Savitri"/>
    <d v="2023-02-15T00:00:00"/>
    <n v="41.54"/>
    <x v="3"/>
    <n v="44.66"/>
    <n v="48.75"/>
    <n v="80"/>
    <n v="3323.2"/>
    <n v="6895.9999999999991"/>
    <n v="0"/>
    <n v="0"/>
    <n v="0"/>
    <n v="0"/>
    <n v="249.5999999999998"/>
    <n v="7.5108329321136189E-2"/>
  </r>
  <r>
    <n v="8"/>
    <s v="TATASTEEL"/>
    <s v="DHAN"/>
    <d v="2023-06-14T00:00:00"/>
    <n v="113.8"/>
    <x v="4"/>
    <n v="168.42"/>
    <n v="170.82"/>
    <n v="40"/>
    <n v="4552"/>
    <n v="11288.8"/>
    <n v="0"/>
    <n v="0"/>
    <n v="0"/>
    <n v="0"/>
    <n v="2184.7999999999997"/>
    <n v="0.47996485061511418"/>
  </r>
  <r>
    <n v="9"/>
    <s v="ICICIB22"/>
    <s v="Ramkishor"/>
    <d v="2023-08-07T00:00:00"/>
    <n v="69.86"/>
    <x v="0"/>
    <n v="0"/>
    <n v="116.72"/>
    <n v="45"/>
    <n v="3143.7"/>
    <n v="3143.7"/>
    <n v="2108.6999999999998"/>
    <n v="0.67077011165187517"/>
    <n v="0.57999999999999996"/>
    <n v="26.099999999999998"/>
    <n v="0"/>
    <n v="0"/>
  </r>
  <r>
    <n v="10"/>
    <s v="HDFCLIFE"/>
    <s v="Paytm"/>
    <d v="2023-08-30T00:00:00"/>
    <n v="639.4"/>
    <x v="0"/>
    <n v="0"/>
    <n v="763"/>
    <n v="11"/>
    <n v="7033.4"/>
    <n v="7033.4"/>
    <n v="1359.6000000000004"/>
    <n v="0.193306224585549"/>
    <n v="1.2"/>
    <n v="13.2"/>
    <n v="0"/>
    <n v="0"/>
  </r>
  <r>
    <n v="11"/>
    <s v="JIOFIN"/>
    <s v="ESPRESSO"/>
    <m/>
    <n v="1"/>
    <x v="0"/>
    <n v="0"/>
    <n v="298.5"/>
    <n v="7"/>
    <n v="7"/>
    <n v="7"/>
    <n v="2082.5"/>
    <n v="297.5"/>
    <n v="-0.25"/>
    <n v="-1.75"/>
    <n v="0"/>
    <n v="0"/>
  </r>
  <r>
    <n v="12"/>
    <s v="COALINDIA"/>
    <s v="Kamal"/>
    <d v="2017-08-03T00:00:00"/>
    <n v="263.63"/>
    <x v="5"/>
    <n v="443"/>
    <n v="400.65"/>
    <n v="30"/>
    <n v="7908.9"/>
    <n v="21198.9"/>
    <n v="0"/>
    <n v="0"/>
    <n v="0"/>
    <n v="0"/>
    <n v="5381.1"/>
    <n v="0.6803853886128286"/>
  </r>
  <r>
    <n v="13"/>
    <s v="ADANIGREEN"/>
    <s v="Kamal"/>
    <d v="2020-01-28T00:00:00"/>
    <n v="187.15"/>
    <x v="6"/>
    <n v="1200"/>
    <n v="1017"/>
    <n v="10"/>
    <n v="1871.5"/>
    <n v="13871.5"/>
    <n v="0"/>
    <n v="0"/>
    <n v="0"/>
    <n v="0"/>
    <n v="10128.5"/>
    <n v="5.4119690088164569"/>
  </r>
  <r>
    <n v="14"/>
    <s v="SBIN"/>
    <s v="Kamal"/>
    <d v="2020-02-12T00:00:00"/>
    <n v="324.7"/>
    <x v="7"/>
    <n v="759.4"/>
    <n v="971.25"/>
    <n v="1"/>
    <n v="324.7"/>
    <n v="1084.0999999999999"/>
    <n v="0"/>
    <n v="0"/>
    <n v="0"/>
    <n v="0"/>
    <n v="434.7"/>
    <n v="1.3387742531567601"/>
  </r>
  <r>
    <n v="15"/>
    <s v="ICICIBank"/>
    <s v="Kamal"/>
    <d v="2021-02-26T00:00:00"/>
    <n v="595.9"/>
    <x v="8"/>
    <n v="1087.05"/>
    <n v="1362.4"/>
    <n v="20"/>
    <n v="11918"/>
    <n v="33659"/>
    <n v="0"/>
    <n v="0"/>
    <n v="0"/>
    <n v="0"/>
    <n v="9823"/>
    <n v="0.82421547239469706"/>
  </r>
  <r>
    <n v="16"/>
    <s v="ADANIPORTS"/>
    <s v="Kamal"/>
    <d v="2021-03-22T00:00:00"/>
    <n v="722.5"/>
    <x v="9"/>
    <n v="782.5"/>
    <n v="1492.8"/>
    <n v="5"/>
    <n v="3612.5"/>
    <n v="7525"/>
    <n v="0"/>
    <n v="0"/>
    <n v="0"/>
    <n v="0"/>
    <n v="300"/>
    <n v="8.3044982698961933E-2"/>
  </r>
  <r>
    <n v="17"/>
    <s v="MAFANG"/>
    <s v="Kamal"/>
    <d v="2021-05-07T00:00:00"/>
    <n v="48.6"/>
    <x v="8"/>
    <n v="95.89"/>
    <n v="168.98"/>
    <n v="102"/>
    <n v="4957.2"/>
    <n v="14737.980000000001"/>
    <n v="0"/>
    <n v="0"/>
    <n v="0"/>
    <n v="0"/>
    <n v="4823.58"/>
    <n v="0.97304526748971187"/>
  </r>
  <r>
    <n v="18"/>
    <s v="AXISBANK"/>
    <s v="Kamal"/>
    <d v="2021-07-29T00:00:00"/>
    <n v="723"/>
    <x v="8"/>
    <n v="1053.95"/>
    <n v="1224.5"/>
    <n v="10"/>
    <n v="7230"/>
    <n v="17769.5"/>
    <n v="0"/>
    <n v="0"/>
    <n v="0"/>
    <n v="0"/>
    <n v="3309.5000000000005"/>
    <n v="0.45774550484094056"/>
  </r>
  <r>
    <n v="19"/>
    <s v="IRCTC"/>
    <s v="Kamal"/>
    <d v="2021-11-08T00:00:00"/>
    <n v="833.3"/>
    <x v="8"/>
    <n v="1000.05"/>
    <n v="680.5"/>
    <n v="11"/>
    <n v="9166.2999999999993"/>
    <n v="20166.849999999999"/>
    <n v="0"/>
    <n v="0"/>
    <n v="0"/>
    <n v="0"/>
    <n v="1834.25"/>
    <n v="0.20010800432017281"/>
  </r>
  <r>
    <n v="20"/>
    <s v="COALINDIA"/>
    <s v="Kamal"/>
    <d v="2021-12-22T00:00:00"/>
    <n v="145.55000000000001"/>
    <x v="5"/>
    <n v="443"/>
    <n v="400.65"/>
    <n v="3"/>
    <n v="436.65000000000003"/>
    <n v="1765.6499999999999"/>
    <n v="0"/>
    <n v="0"/>
    <n v="0"/>
    <n v="0"/>
    <n v="892.34999999999991"/>
    <n v="2.0436276193747851"/>
  </r>
  <r>
    <n v="21"/>
    <s v="MAFANG"/>
    <s v="Kamal"/>
    <d v="2022-11-09T00:00:00"/>
    <n v="35.229999999999997"/>
    <x v="8"/>
    <n v="95.89"/>
    <n v="168.98"/>
    <n v="52"/>
    <n v="1831.9599999999998"/>
    <n v="6818.24"/>
    <n v="0"/>
    <n v="0"/>
    <n v="0"/>
    <n v="0"/>
    <n v="3154.32"/>
    <n v="1.7218279875106446"/>
  </r>
  <r>
    <n v="22"/>
    <s v="TATASTEEL"/>
    <s v="Kamal"/>
    <d v="2022-07-28T00:00:00"/>
    <n v="98.1"/>
    <x v="5"/>
    <n v="142.65"/>
    <n v="170.82"/>
    <n v="50"/>
    <n v="4905"/>
    <n v="12037.5"/>
    <n v="0"/>
    <n v="0"/>
    <n v="0"/>
    <n v="0"/>
    <n v="2227.5000000000005"/>
    <n v="0.45412844036697264"/>
  </r>
  <r>
    <n v="23"/>
    <s v="TATASTEEL"/>
    <s v="Kamal"/>
    <d v="2022-10-24T00:00:00"/>
    <n v="101.25"/>
    <x v="5"/>
    <n v="142.65"/>
    <n v="170.82"/>
    <n v="51"/>
    <n v="5163.75"/>
    <n v="12438.9"/>
    <n v="0"/>
    <n v="0"/>
    <n v="0"/>
    <n v="0"/>
    <n v="2111.4"/>
    <n v="0.40888888888888897"/>
  </r>
  <r>
    <n v="24"/>
    <s v="TATACONSUM"/>
    <s v="Paytm"/>
    <m/>
    <n v="835.68"/>
    <x v="0"/>
    <n v="0"/>
    <n v="1185.2"/>
    <n v="11"/>
    <n v="9192.48"/>
    <n v="9192.48"/>
    <n v="3844.7200000000012"/>
    <n v="0.41824621864828654"/>
    <n v="6.4"/>
    <n v="70.400000000000006"/>
    <n v="0"/>
    <n v="0"/>
  </r>
  <r>
    <n v="25"/>
    <s v="HCLTECH"/>
    <s v="Paytm"/>
    <d v="2023-01-02T00:00:00"/>
    <n v="1211.3599999999999"/>
    <x v="0"/>
    <n v="0"/>
    <n v="1674.8"/>
    <n v="10"/>
    <n v="12113.599999999999"/>
    <n v="12113.599999999999"/>
    <n v="4634.4000000000005"/>
    <n v="0.38257825914674426"/>
    <n v="4.5"/>
    <n v="45"/>
    <n v="0"/>
    <n v="0"/>
  </r>
  <r>
    <n v="26"/>
    <s v="TATASTEEL"/>
    <s v="Paytm"/>
    <m/>
    <n v="115.47"/>
    <x v="0"/>
    <n v="0"/>
    <n v="170.82"/>
    <n v="11"/>
    <n v="1270.17"/>
    <n v="1270.17"/>
    <n v="608.84999999999991"/>
    <n v="0.47934528448947772"/>
    <n v="1.6"/>
    <n v="17.600000000000001"/>
    <n v="0"/>
    <n v="0"/>
  </r>
  <r>
    <n v="27"/>
    <s v="HCLTECH"/>
    <s v="Paytm"/>
    <d v="2023-01-28T00:00:00"/>
    <n v="1211.3599999999999"/>
    <x v="0"/>
    <n v="0"/>
    <n v="1674.8"/>
    <n v="7"/>
    <n v="8479.5199999999986"/>
    <n v="8479.5199999999986"/>
    <n v="3244.0800000000004"/>
    <n v="0.38257825914674426"/>
    <n v="4.5"/>
    <n v="31.5"/>
    <n v="0"/>
    <n v="0"/>
  </r>
  <r>
    <n v="28"/>
    <s v="BPCL"/>
    <s v="ESPRESSO"/>
    <m/>
    <n v="223.25"/>
    <x v="0"/>
    <n v="0"/>
    <n v="369.7"/>
    <n v="23"/>
    <n v="5134.75"/>
    <n v="5134.75"/>
    <n v="3368.35"/>
    <n v="0.65599104143337061"/>
    <n v="-0.2"/>
    <n v="-4.6000000000000005"/>
    <n v="0"/>
    <n v="0"/>
  </r>
  <r>
    <n v="29"/>
    <s v="EXIDEIND"/>
    <s v="ESPRESSO"/>
    <d v="2021-03-04T00:00:00"/>
    <n v="210"/>
    <x v="2"/>
    <n v="427"/>
    <n v="370.5"/>
    <n v="25"/>
    <n v="5250"/>
    <n v="15925"/>
    <n v="0"/>
    <n v="0"/>
    <n v="0"/>
    <n v="0"/>
    <n v="5425"/>
    <n v="1.0333333333333334"/>
  </r>
  <r>
    <n v="30"/>
    <s v="EXIDEIND"/>
    <s v="ESPRESSO"/>
    <d v="2021-03-04T00:00:00"/>
    <n v="210"/>
    <x v="10"/>
    <n v="414.85"/>
    <n v="370.5"/>
    <n v="25"/>
    <n v="5250"/>
    <n v="15621.25"/>
    <n v="0"/>
    <n v="0"/>
    <n v="0"/>
    <n v="0"/>
    <n v="5121.2500000000009"/>
    <n v="0.97547619047619061"/>
  </r>
  <r>
    <n v="31"/>
    <s v="TATAPOWER"/>
    <s v="ESPRESSO"/>
    <m/>
    <n v="225.15"/>
    <x v="0"/>
    <n v="0"/>
    <n v="382.4"/>
    <n v="27"/>
    <n v="6079.05"/>
    <n v="6079.05"/>
    <n v="4245.7499999999991"/>
    <n v="0.69842327337330656"/>
    <n v="1.6"/>
    <n v="43.2"/>
    <n v="0"/>
    <n v="0"/>
  </r>
  <r>
    <n v="32"/>
    <s v="ETERNAL"/>
    <s v="ESPRESSO"/>
    <m/>
    <n v="76"/>
    <x v="0"/>
    <n v="0"/>
    <n v="284.25"/>
    <n v="75"/>
    <n v="5700"/>
    <n v="5700"/>
    <n v="15618.75"/>
    <n v="2.7401315789473686"/>
    <n v="-2.4500000000000002"/>
    <n v="-183.75"/>
    <n v="0"/>
    <n v="0"/>
  </r>
  <r>
    <n v="33"/>
    <s v="TATAMOTORS"/>
    <s v="ESPRESSO"/>
    <m/>
    <n v="501.65"/>
    <x v="0"/>
    <n v="0"/>
    <s v="#N/A"/>
    <n v="4"/>
    <n v="2006.6"/>
    <n v="2006.6"/>
    <e v="#VALUE!"/>
    <e v="#VALUE!"/>
    <s v="#N/A"/>
    <e v="#VALUE!"/>
    <n v="0"/>
    <n v="0"/>
  </r>
  <r>
    <n v="34"/>
    <s v="WIPRO"/>
    <s v="ESPRESSO"/>
    <m/>
    <n v="715"/>
    <x v="11"/>
    <n v="495.7"/>
    <n v="271.3"/>
    <n v="18"/>
    <n v="12870"/>
    <n v="21792.600000000002"/>
    <e v="#NAME?"/>
    <e v="#NAME?"/>
    <n v="0"/>
    <n v="0"/>
    <n v="-3947.4"/>
    <n v="-0.30671328671328674"/>
  </r>
  <r>
    <n v="35"/>
    <s v="ICICIB22"/>
    <s v="Ramkishor"/>
    <d v="2023-10-05T00:00:00"/>
    <n v="74.69"/>
    <x v="0"/>
    <n v="0"/>
    <n v="116.72"/>
    <n v="48"/>
    <n v="3585.12"/>
    <n v="3585.12"/>
    <e v="#NAME?"/>
    <e v="#NAME?"/>
    <n v="0.57999999999999996"/>
    <n v="27.839999999999996"/>
    <n v="0"/>
    <n v="0"/>
  </r>
  <r>
    <n v="36"/>
    <s v="IREDA"/>
    <s v="Kamal"/>
    <d v="2023-11-29T00:00:00"/>
    <n v="32"/>
    <x v="12"/>
    <n v="52.8"/>
    <n v="139"/>
    <n v="160"/>
    <n v="5120"/>
    <n v="13568"/>
    <e v="#NAME?"/>
    <e v="#NAME?"/>
    <n v="0"/>
    <n v="0"/>
    <n v="3327.9999999999995"/>
    <n v="0.64999999999999991"/>
  </r>
  <r>
    <n v="37"/>
    <s v="IREDA"/>
    <s v="Kamal"/>
    <d v="2023-11-29T00:00:00"/>
    <n v="32"/>
    <x v="5"/>
    <n v="151.5"/>
    <n v="139"/>
    <n v="300"/>
    <n v="9600"/>
    <n v="55050"/>
    <e v="#NAME?"/>
    <e v="#NAME?"/>
    <n v="0"/>
    <n v="0"/>
    <n v="35850"/>
    <n v="3.734375"/>
  </r>
  <r>
    <n v="38"/>
    <s v="TATATECH"/>
    <s v="Kamal"/>
    <d v="2023-11-30T00:00:00"/>
    <n v="500"/>
    <x v="13"/>
    <n v="1305.4000000000001"/>
    <n v="661.1"/>
    <n v="10"/>
    <n v="5000"/>
    <n v="18054"/>
    <e v="#NAME?"/>
    <e v="#NAME?"/>
    <n v="0"/>
    <n v="0"/>
    <n v="8054.0000000000009"/>
    <n v="1.6108000000000002"/>
  </r>
  <r>
    <n v="39"/>
    <s v="TATATECH"/>
    <s v="Kamal"/>
    <d v="2023-11-30T00:00:00"/>
    <n v="500"/>
    <x v="8"/>
    <n v="1051.75"/>
    <n v="661.1"/>
    <n v="20"/>
    <n v="10000"/>
    <n v="31035"/>
    <e v="#NAME?"/>
    <e v="#NAME?"/>
    <n v="0"/>
    <n v="0"/>
    <n v="11035"/>
    <n v="1.1034999999999999"/>
  </r>
  <r>
    <n v="40"/>
    <s v="IDFCFIRSTB"/>
    <s v="ESPRESSO"/>
    <d v="2023-12-01T00:00:00"/>
    <n v="86"/>
    <x v="0"/>
    <n v="0"/>
    <n v="84.9"/>
    <n v="35"/>
    <n v="3010"/>
    <n v="3010"/>
    <e v="#NAME?"/>
    <e v="#NAME?"/>
    <n v="-0.45"/>
    <n v="-15.75"/>
    <n v="0"/>
    <n v="0"/>
  </r>
  <r>
    <n v="41"/>
    <s v="IDFCFIRSTB"/>
    <s v="ESPRESSO"/>
    <d v="2023-12-29T00:00:00"/>
    <n v="88.25"/>
    <x v="0"/>
    <n v="0"/>
    <n v="84.9"/>
    <n v="35"/>
    <n v="3088.75"/>
    <n v="3088.75"/>
    <e v="#NAME?"/>
    <e v="#NAME?"/>
    <n v="-0.45"/>
    <n v="-15.75"/>
    <n v="0"/>
    <n v="0"/>
  </r>
  <r>
    <n v="42"/>
    <s v="HAPPYFORGE"/>
    <s v="Kamal"/>
    <d v="2023-12-27T00:00:00"/>
    <n v="850"/>
    <x v="14"/>
    <n v="1010.45"/>
    <n v="1096"/>
    <n v="17"/>
    <n v="14450"/>
    <n v="31627.65"/>
    <e v="#NAME?"/>
    <e v="#NAME?"/>
    <n v="0"/>
    <n v="0"/>
    <n v="2727.6500000000005"/>
    <n v="0.188764705882353"/>
  </r>
  <r>
    <n v="43"/>
    <s v="AZAD"/>
    <s v="ESPRESSO"/>
    <d v="2023-12-28T00:00:00"/>
    <n v="524"/>
    <x v="15"/>
    <n v="722.75"/>
    <n v="1658"/>
    <n v="20"/>
    <n v="10480"/>
    <n v="24935"/>
    <n v="0"/>
    <n v="0"/>
    <n v="0"/>
    <n v="0"/>
    <n v="3975"/>
    <n v="0.37929389312977096"/>
  </r>
  <r>
    <n v="44"/>
    <s v="AZAD"/>
    <s v="ESPRESSO"/>
    <d v="2023-12-28T00:00:00"/>
    <n v="524"/>
    <x v="16"/>
    <n v="1549.15"/>
    <n v="1658"/>
    <n v="8"/>
    <n v="4192"/>
    <n v="16585.2"/>
    <n v="0"/>
    <n v="0"/>
    <n v="0"/>
    <n v="0"/>
    <n v="8201.2000000000007"/>
    <n v="1.9563931297709924"/>
  </r>
  <r>
    <n v="45"/>
    <s v="DOMS"/>
    <s v="Ramkishor"/>
    <d v="2023-12-19T00:00:00"/>
    <n v="790"/>
    <x v="17"/>
    <n v="1405.25"/>
    <n v="2568"/>
    <n v="10"/>
    <n v="7900"/>
    <n v="21952.5"/>
    <n v="0"/>
    <n v="0"/>
    <n v="0"/>
    <n v="0"/>
    <n v="6152.5"/>
    <n v="0.77879746835443042"/>
  </r>
  <r>
    <n v="46"/>
    <s v="DOMS"/>
    <s v="Ramkishor"/>
    <d v="2023-12-19T00:00:00"/>
    <n v="790"/>
    <x v="0"/>
    <n v="0"/>
    <n v="2568"/>
    <n v="8"/>
    <n v="6320"/>
    <n v="6320"/>
    <n v="14224"/>
    <n v="2.2506329113924051"/>
    <n v="-9.1999999999999993"/>
    <n v="-73.599999999999994"/>
    <n v="0"/>
    <n v="0"/>
  </r>
  <r>
    <n v="47"/>
    <s v="LT"/>
    <s v="ESPRESSO"/>
    <d v="2024-01-02T00:00:00"/>
    <n v="3480"/>
    <x v="0"/>
    <n v="0"/>
    <n v="4070"/>
    <n v="1"/>
    <n v="3480"/>
    <n v="3480"/>
    <n v="590"/>
    <n v="0.16954022988505746"/>
    <n v="-2.4"/>
    <n v="-2.4"/>
    <n v="0"/>
    <n v="0"/>
  </r>
  <r>
    <n v="48"/>
    <s v="POLYCAB"/>
    <s v="ESPRESSO"/>
    <d v="2024-01-16T00:00:00"/>
    <n v="4322"/>
    <x v="0"/>
    <n v="0"/>
    <n v="7638"/>
    <n v="1"/>
    <n v="4322"/>
    <n v="4322"/>
    <n v="3316"/>
    <n v="0.76723739009717729"/>
    <n v="35"/>
    <n v="35"/>
    <n v="0"/>
    <n v="0"/>
  </r>
  <r>
    <n v="49"/>
    <s v="LT"/>
    <s v="ESPRESSO"/>
    <d v="2024-01-20T00:00:00"/>
    <n v="3639.15"/>
    <x v="0"/>
    <n v="0"/>
    <n v="4070"/>
    <n v="1"/>
    <n v="3639.15"/>
    <n v="3639.15"/>
    <n v="430.84999999999991"/>
    <n v="0.1183930313397359"/>
    <n v="-2.4"/>
    <n v="-2.4"/>
    <n v="0"/>
    <n v="0"/>
  </r>
  <r>
    <n v="50"/>
    <s v="LT"/>
    <s v="ESPRESSO"/>
    <d v="2024-01-31T00:00:00"/>
    <n v="3429.9"/>
    <x v="0"/>
    <n v="0"/>
    <n v="4070"/>
    <n v="1"/>
    <n v="3429.9"/>
    <n v="3429.9"/>
    <n v="640.09999999999991"/>
    <n v="0.18662351672060407"/>
    <n v="-2.4"/>
    <n v="-2.4"/>
    <n v="0"/>
    <n v="0"/>
  </r>
  <r>
    <n v="51"/>
    <s v="LT"/>
    <s v="ESPRESSO"/>
    <d v="2024-02-13T00:00:00"/>
    <n v="3328.75"/>
    <x v="0"/>
    <n v="0"/>
    <n v="4070"/>
    <n v="1"/>
    <n v="3328.75"/>
    <n v="3328.75"/>
    <n v="741.25"/>
    <n v="0.22268118663161848"/>
    <n v="-2.4"/>
    <n v="-2.4"/>
    <n v="0"/>
    <n v="0"/>
  </r>
  <r>
    <n v="52"/>
    <s v="HDFCBANK"/>
    <s v="Kamal"/>
    <d v="2024-02-09T00:00:00"/>
    <n v="1405.95"/>
    <x v="0"/>
    <n v="0"/>
    <n v="997"/>
    <n v="3"/>
    <n v="4217.8500000000004"/>
    <n v="4217.8500000000004"/>
    <n v="-1226.8500000000001"/>
    <n v="-0.29087094135637825"/>
    <n v="9.3000000000000007"/>
    <n v="27.900000000000002"/>
    <n v="0"/>
    <n v="0"/>
  </r>
  <r>
    <n v="53"/>
    <s v="SAIL"/>
    <s v="DHAN"/>
    <d v="2024-02-12T00:00:00"/>
    <n v="126.95"/>
    <x v="0"/>
    <n v="0"/>
    <n v="133"/>
    <n v="20"/>
    <n v="2539"/>
    <n v="2539"/>
    <n v="120.99999999999994"/>
    <n v="4.7656557699881821E-2"/>
    <n v="2.94"/>
    <n v="58.8"/>
    <n v="0"/>
    <n v="0"/>
  </r>
  <r>
    <n v="54"/>
    <s v="ICICIB22"/>
    <s v="DHAN"/>
    <d v="2024-02-23T00:00:00"/>
    <n v="101.2"/>
    <x v="0"/>
    <n v="0"/>
    <n v="116.72"/>
    <n v="100"/>
    <n v="10120"/>
    <n v="10120"/>
    <n v="1551.9999999999995"/>
    <n v="0.15335968379446635"/>
    <n v="0.57999999999999996"/>
    <n v="57.999999999999993"/>
    <n v="0"/>
    <n v="0"/>
  </r>
  <r>
    <n v="55"/>
    <s v="LT"/>
    <s v="ESPRESSO"/>
    <d v="2024-02-27T00:00:00"/>
    <n v="3495"/>
    <x v="0"/>
    <n v="0"/>
    <n v="4070"/>
    <n v="1"/>
    <n v="3495"/>
    <n v="3495"/>
    <n v="575"/>
    <n v="0.16452074391988555"/>
    <n v="-2.4"/>
    <n v="-2.4"/>
    <n v="0"/>
    <n v="0"/>
  </r>
  <r>
    <n v="56"/>
    <s v="TATACHEM"/>
    <s v="DHAN"/>
    <d v="2024-03-06T00:00:00"/>
    <n v="1075"/>
    <x v="0"/>
    <n v="0"/>
    <n v="776.9"/>
    <n v="4"/>
    <n v="4300"/>
    <n v="4300"/>
    <n v="-1192.4000000000001"/>
    <n v="-0.27730232558139539"/>
    <n v="8.4"/>
    <n v="33.6"/>
    <n v="0"/>
    <n v="0"/>
  </r>
  <r>
    <n v="57"/>
    <s v="ICICIB22"/>
    <s v="DHAN"/>
    <d v="2024-03-26T00:00:00"/>
    <n v="99.5"/>
    <x v="0"/>
    <n v="0"/>
    <n v="116.72"/>
    <n v="50"/>
    <n v="4975"/>
    <n v="4975"/>
    <n v="861"/>
    <n v="0.17306532663316582"/>
    <n v="0.57999999999999996"/>
    <n v="28.999999999999996"/>
    <n v="0"/>
    <n v="0"/>
  </r>
  <r>
    <n v="58"/>
    <s v="NAUKRI"/>
    <s v="DHAN"/>
    <d v="2024-03-28T00:00:00"/>
    <n v="5600"/>
    <x v="18"/>
    <n v="7983.95"/>
    <n v="1365.9"/>
    <n v="2"/>
    <n v="11200"/>
    <n v="27167.9"/>
    <n v="0"/>
    <n v="0"/>
    <n v="0"/>
    <n v="0"/>
    <n v="4767.8999999999996"/>
    <n v="0.42570535714285712"/>
  </r>
  <r>
    <n v="59"/>
    <s v="INDGN"/>
    <s v="ESPRESSO"/>
    <d v="2024-05-13T00:00:00"/>
    <n v="452"/>
    <x v="19"/>
    <n v="556"/>
    <n v="532"/>
    <n v="10"/>
    <n v="4520"/>
    <n v="10080"/>
    <n v="0"/>
    <n v="0"/>
    <n v="0"/>
    <n v="0"/>
    <n v="1040"/>
    <n v="0.23008849557522124"/>
  </r>
  <r>
    <n v="60"/>
    <s v="GOLDCASE"/>
    <s v="ESPRESSO"/>
    <d v="2024-05-16T00:00:00"/>
    <n v="11.77"/>
    <x v="0"/>
    <n v="0"/>
    <n v="21.49"/>
    <n v="500"/>
    <n v="5885"/>
    <n v="5885"/>
    <n v="4859.9999999999991"/>
    <n v="0.82582837723024627"/>
    <n v="0.34"/>
    <n v="170"/>
    <n v="0"/>
    <n v="0"/>
  </r>
  <r>
    <n v="61"/>
    <s v="MOVALUE"/>
    <s v="DHAN"/>
    <d v="2024-05-22T00:00:00"/>
    <n v="102.62"/>
    <x v="0"/>
    <n v="0"/>
    <n v="114.45"/>
    <n v="50"/>
    <n v="5131"/>
    <n v="5131"/>
    <n v="591.49999999999989"/>
    <n v="0.11527967257844472"/>
    <n v="0.42"/>
    <n v="21"/>
    <n v="0"/>
    <n v="0"/>
  </r>
  <r>
    <n v="62"/>
    <s v="MAFANG"/>
    <s v="ESPRESSO"/>
    <d v="2024-04-22T00:00:00"/>
    <n v="95.89"/>
    <x v="0"/>
    <n v="0"/>
    <n v="168.98"/>
    <n v="190"/>
    <n v="18219.099999999999"/>
    <n v="18219.099999999999"/>
    <n v="13887.099999999999"/>
    <n v="0.76222755240379592"/>
    <n v="2.12"/>
    <n v="402.8"/>
    <n v="0"/>
    <n v="0"/>
  </r>
  <r>
    <n v="63"/>
    <s v="AXISBANK"/>
    <s v="ESPRESSO"/>
    <d v="2024-04-22T00:00:00"/>
    <n v="1053.95"/>
    <x v="0"/>
    <n v="0"/>
    <n v="1224.5"/>
    <n v="10"/>
    <n v="10539.5"/>
    <n v="10539.5"/>
    <n v="1705.4999999999995"/>
    <n v="0.16181982067460501"/>
    <n v="-8.6999999999999993"/>
    <n v="-87"/>
    <n v="0"/>
    <n v="0"/>
  </r>
  <r>
    <n v="64"/>
    <s v="IRCTC"/>
    <s v="ESPRESSO"/>
    <d v="2024-04-22T00:00:00"/>
    <n v="1000.05"/>
    <x v="0"/>
    <n v="0"/>
    <n v="680.5"/>
    <n v="10"/>
    <n v="10000.5"/>
    <n v="10000.5"/>
    <n v="-3195.4999999999995"/>
    <n v="-0.31953402329883501"/>
    <n v="-1.1499999999999999"/>
    <n v="-11.5"/>
    <n v="0"/>
    <n v="0"/>
  </r>
  <r>
    <n v="65"/>
    <s v="COALINDIA"/>
    <s v="ESPRESSO"/>
    <d v="2024-02-26T00:00:00"/>
    <n v="443"/>
    <x v="0"/>
    <n v="0"/>
    <n v="400.65"/>
    <n v="33"/>
    <n v="14619"/>
    <n v="14619"/>
    <n v="-1397.5500000000006"/>
    <n v="-9.559819413092556E-2"/>
    <n v="14.4"/>
    <n v="475.2"/>
    <n v="0"/>
    <n v="0"/>
  </r>
  <r>
    <n v="66"/>
    <s v="IREDA"/>
    <s v="ESPRESSO"/>
    <d v="2024-02-26T00:00:00"/>
    <n v="151.5"/>
    <x v="20"/>
    <n v="294.77999999999997"/>
    <n v="139"/>
    <n v="150"/>
    <n v="22725"/>
    <n v="66942"/>
    <n v="0"/>
    <n v="0"/>
    <n v="0"/>
    <n v="0"/>
    <n v="21491.999999999996"/>
    <n v="0.94574257425742558"/>
  </r>
  <r>
    <n v="67"/>
    <s v="TATATECH"/>
    <s v="ESPRESSO"/>
    <d v="2024-04-22T00:00:00"/>
    <n v="1051.75"/>
    <x v="0"/>
    <n v="0"/>
    <n v="661.1"/>
    <n v="20"/>
    <n v="21035"/>
    <n v="21035"/>
    <n v="-7813"/>
    <n v="-0.37142857142857139"/>
    <n v="-2.2999999999999998"/>
    <n v="-46"/>
    <n v="0"/>
    <n v="0"/>
  </r>
  <r>
    <n v="68"/>
    <s v="ICICIBANK"/>
    <s v="ESPRESSO"/>
    <d v="2024-04-22T00:00:00"/>
    <n v="1087.05"/>
    <x v="0"/>
    <n v="0"/>
    <n v="1362.4"/>
    <n v="20"/>
    <n v="21741"/>
    <n v="21741"/>
    <n v="5507.0000000000027"/>
    <n v="0.25330021618140852"/>
    <n v="-6.1"/>
    <n v="-122"/>
    <n v="0"/>
    <n v="0"/>
  </r>
  <r>
    <n v="69"/>
    <s v="SBIN"/>
    <s v="ESPRESSO"/>
    <d v="2024-02-23T00:00:00"/>
    <n v="759.4"/>
    <x v="0"/>
    <n v="0"/>
    <n v="971.25"/>
    <n v="1"/>
    <n v="759.4"/>
    <n v="759.4"/>
    <n v="211.85000000000002"/>
    <n v="0.27897023966289181"/>
    <n v="-3.05"/>
    <n v="-3.05"/>
    <n v="0"/>
    <n v="0"/>
  </r>
  <r>
    <n v="70"/>
    <s v="TATASTEEL"/>
    <s v="ESPRESSO"/>
    <d v="2024-02-26T00:00:00"/>
    <n v="142.65"/>
    <x v="0"/>
    <n v="0"/>
    <n v="170.82"/>
    <n v="106"/>
    <n v="15120.900000000001"/>
    <n v="15120.900000000001"/>
    <n v="2986.0199999999986"/>
    <n v="0.19747634069400621"/>
    <n v="1.6"/>
    <n v="169.60000000000002"/>
    <n v="0"/>
    <n v="0"/>
  </r>
  <r>
    <n v="71"/>
    <s v="SBIN"/>
    <s v="ESPRESSO"/>
    <d v="2024-06-06T00:00:00"/>
    <n v="824"/>
    <x v="0"/>
    <n v="0"/>
    <n v="971.25"/>
    <n v="9"/>
    <n v="7416"/>
    <n v="7416"/>
    <n v="1325.25"/>
    <n v="0.1787014563106796"/>
    <n v="-3.05"/>
    <n v="-27.45"/>
    <n v="0"/>
    <n v="0"/>
  </r>
  <r>
    <n v="72"/>
    <s v="IDFCFIRSTB"/>
    <s v="ESPRESSO"/>
    <d v="2024-07-04T00:00:00"/>
    <n v="80.989999999999995"/>
    <x v="0"/>
    <n v="0"/>
    <n v="84.9"/>
    <n v="70"/>
    <n v="5669.2999999999993"/>
    <n v="5669.2999999999993"/>
    <n v="273.70000000000073"/>
    <n v="4.8277565131497849E-2"/>
    <n v="-0.45"/>
    <n v="-31.5"/>
    <n v="0"/>
    <n v="0"/>
  </r>
  <r>
    <n v="73"/>
    <s v="ZOMATO"/>
    <s v="ESPRESSO"/>
    <d v="2024-07-04T00:00:00"/>
    <n v="207.45"/>
    <x v="0"/>
    <n v="0"/>
    <s v="#N/A"/>
    <n v="27"/>
    <n v="5601.15"/>
    <n v="5601.15"/>
    <e v="#VALUE!"/>
    <e v="#VALUE!"/>
    <s v="#N/A"/>
    <e v="#VALUE!"/>
    <n v="0"/>
    <n v="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Aishwarya"/>
    <m/>
    <n v="53.96"/>
    <m/>
    <n v="0"/>
    <n v="48.97"/>
    <n v="236"/>
    <n v="12734.56"/>
    <n v="-1177.6400000000006"/>
    <n v="-9.2475908080059344E-2"/>
    <n v="-0.01"/>
    <n v="-2.36"/>
    <n v="0"/>
    <n v="0"/>
  </r>
  <r>
    <x v="1"/>
    <s v="Aishwarya"/>
    <m/>
    <n v="742.64"/>
    <m/>
    <n v="0"/>
    <n v="997"/>
    <n v="8"/>
    <n v="5941.12"/>
    <n v="2034.88"/>
    <n v="0.34250780997522356"/>
    <n v="9.3000000000000007"/>
    <n v="74.400000000000006"/>
    <n v="0"/>
    <n v="0"/>
  </r>
  <r>
    <x v="2"/>
    <s v="Aishwarya"/>
    <m/>
    <n v="83.97"/>
    <m/>
    <n v="0"/>
    <n v="116.72"/>
    <n v="227"/>
    <n v="19061.189999999999"/>
    <n v="7434.25"/>
    <n v="0.39002024532571156"/>
    <n v="0.57999999999999996"/>
    <n v="131.66"/>
    <n v="0"/>
    <n v="0"/>
  </r>
  <r>
    <x v="3"/>
    <s v="Aishwarya"/>
    <m/>
    <n v="85.59"/>
    <m/>
    <n v="0"/>
    <n v="84.9"/>
    <n v="83"/>
    <n v="7103.97"/>
    <n v="-57.269999999999811"/>
    <n v="-8.0616894497020416E-3"/>
    <n v="-0.45"/>
    <n v="-37.35"/>
    <n v="0"/>
    <n v="0"/>
  </r>
  <r>
    <x v="4"/>
    <s v="Aishwarya"/>
    <m/>
    <n v="972.6"/>
    <m/>
    <n v="0"/>
    <n v="680.5"/>
    <n v="5"/>
    <n v="4863"/>
    <n v="-1460.5"/>
    <n v="-0.30032901501130993"/>
    <n v="-1.1499999999999999"/>
    <n v="-5.75"/>
    <n v="0"/>
    <n v="0"/>
  </r>
  <r>
    <x v="5"/>
    <s v="Aishwarya"/>
    <m/>
    <n v="434.30579999999998"/>
    <m/>
    <n v="0"/>
    <n v="362.6"/>
    <n v="8"/>
    <n v="3474.4463999999998"/>
    <n v="-573.64639999999963"/>
    <n v="-0.16510440339502711"/>
    <n v="3.45"/>
    <n v="27.6"/>
    <n v="0"/>
    <n v="0"/>
  </r>
  <r>
    <x v="6"/>
    <s v="Aishwarya"/>
    <d v="2025-06-05T00:00:00"/>
    <n v="176.35"/>
    <m/>
    <n v="0"/>
    <n v="139"/>
    <n v="50"/>
    <n v="8817.5"/>
    <n v="-1867.4999999999998"/>
    <n v="-0.21179472639637084"/>
    <n v="3.33"/>
    <n v="166.5"/>
    <n v="0"/>
    <n v="0"/>
  </r>
  <r>
    <x v="1"/>
    <s v="Aishwarya"/>
    <m/>
    <n v="742.64"/>
    <m/>
    <n v="0"/>
    <n v="997"/>
    <n v="8"/>
    <n v="5941.12"/>
    <n v="2034.88"/>
    <n v="0.34250780997522356"/>
    <n v="9.3000000000000007"/>
    <n v="74.400000000000006"/>
    <n v="0"/>
    <n v="0"/>
  </r>
  <r>
    <x v="7"/>
    <s v="Aishwarya"/>
    <d v="2026-06-12T00:00:00"/>
    <n v="165.6"/>
    <m/>
    <n v="0"/>
    <n v="192.6"/>
    <n v="100"/>
    <n v="16560"/>
    <n v="2700"/>
    <n v="0.16304347826086957"/>
    <n v="-0.99"/>
    <n v="-99"/>
    <n v="0"/>
    <n v="0"/>
  </r>
  <r>
    <x v="8"/>
    <s v="Aishwarya"/>
    <d v="2025-10-21T00:00:00"/>
    <n v="1468"/>
    <m/>
    <n v="0"/>
    <n v="1569"/>
    <n v="3"/>
    <n v="4404"/>
    <n v="303"/>
    <n v="6.8801089918256134E-2"/>
    <n v="-6.4"/>
    <n v="-19.200000000000003"/>
    <n v="0"/>
    <n v="0"/>
  </r>
  <r>
    <x v="9"/>
    <s v="Aishwarya"/>
    <d v="2025-10-21T00:00:00"/>
    <n v="20.100000000000001"/>
    <m/>
    <n v="0"/>
    <n v="21.49"/>
    <n v="21"/>
    <n v="422.1"/>
    <n v="29.189999999999937"/>
    <n v="6.9154228855721242E-2"/>
    <n v="0.34"/>
    <n v="7.1400000000000006"/>
    <n v="0"/>
    <n v="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s v="GOLDCASE"/>
    <s v="RAM"/>
    <d v="2025-10-21T00:00:00"/>
    <n v="20.13"/>
    <x v="0"/>
    <n v="0"/>
    <n v="21.49"/>
    <n v="51"/>
    <n v="1026.6299999999999"/>
    <n v="1026.6299999999999"/>
    <n v="69.359999999999971"/>
    <n v="6.7560854446100327E-2"/>
    <n v="0.34"/>
    <n v="17.34"/>
    <n v="0"/>
    <n v="0"/>
  </r>
  <r>
    <n v="2"/>
    <s v="ICICIB22"/>
    <s v="RAM"/>
    <d v="2023-11-03T00:00:00"/>
    <n v="74.900000000000006"/>
    <x v="0"/>
    <n v="0"/>
    <n v="116.72"/>
    <n v="200"/>
    <n v="14980.000000000002"/>
    <n v="14980.000000000002"/>
    <n v="8363.9999999999982"/>
    <n v="0.55834445927903853"/>
    <n v="0.57999999999999996"/>
    <n v="115.99999999999999"/>
    <n v="0"/>
    <n v="0"/>
  </r>
  <r>
    <n v="3"/>
    <s v="IDEA"/>
    <s v="RAM"/>
    <d v="2023-01-25T00:00:00"/>
    <n v="10.8"/>
    <x v="0"/>
    <n v="0"/>
    <n v="12.02"/>
    <n v="225"/>
    <n v="2430"/>
    <n v="2430"/>
    <n v="274.49999999999977"/>
    <n v="0.11296296296296285"/>
    <n v="0.17"/>
    <n v="38.25"/>
    <n v="0"/>
    <n v="0"/>
  </r>
  <r>
    <n v="4"/>
    <s v="IRCTC"/>
    <s v="RAM"/>
    <d v="2021-11-04T00:00:00"/>
    <n v="823.2"/>
    <x v="0"/>
    <n v="0"/>
    <n v="680.5"/>
    <n v="1"/>
    <n v="823.2"/>
    <n v="823.2"/>
    <n v="-142.70000000000005"/>
    <n v="-0.1733479105928086"/>
    <n v="-1.1499999999999999"/>
    <n v="-1.1499999999999999"/>
    <n v="0"/>
    <n v="0"/>
  </r>
  <r>
    <n v="5"/>
    <s v="MOVALUE"/>
    <s v="RAM"/>
    <d v="2024-11-01T00:00:00"/>
    <n v="102"/>
    <x v="0"/>
    <n v="0"/>
    <n v="114.45"/>
    <n v="51"/>
    <n v="5202"/>
    <n v="5202"/>
    <n v="634.95000000000016"/>
    <n v="0.12205882352941179"/>
    <n v="0.42"/>
    <n v="21.419999999999998"/>
    <n v="0"/>
    <n v="0"/>
  </r>
  <r>
    <n v="6"/>
    <s v="SILVERETF"/>
    <s v="RAM"/>
    <d v="2025-10-21T00:00:00"/>
    <n v="150"/>
    <x v="0"/>
    <n v="0"/>
    <n v="204"/>
    <n v="5"/>
    <n v="750"/>
    <n v="750"/>
    <n v="270"/>
    <n v="0.36"/>
    <n v="1.46"/>
    <n v="7.3"/>
    <n v="0"/>
    <n v="0"/>
  </r>
  <r>
    <n v="7"/>
    <s v="TITAGARH"/>
    <s v="RAM"/>
    <d v="2025-10-08T00:00:00"/>
    <n v="920"/>
    <x v="0"/>
    <n v="0"/>
    <n v="835"/>
    <n v="11"/>
    <n v="10120"/>
    <n v="10120"/>
    <n v="-935"/>
    <n v="-9.2391304347826081E-2"/>
    <n v="18.5"/>
    <n v="203.5"/>
    <n v="0"/>
    <n v="0"/>
  </r>
  <r>
    <n v="8"/>
    <s v="VOLTAS"/>
    <s v="RAM"/>
    <d v="2025-08-18T00:00:00"/>
    <n v="1402"/>
    <x v="0"/>
    <n v="0"/>
    <n v="1380"/>
    <n v="5"/>
    <n v="7010"/>
    <n v="7010"/>
    <n v="-110"/>
    <n v="-1.5691868758915834E-2"/>
    <n v="-8"/>
    <n v="-40"/>
    <n v="0"/>
    <n v="0"/>
  </r>
  <r>
    <n v="9"/>
    <s v="YESBANK"/>
    <s v="RAM"/>
    <d v="2020-08-05T00:00:00"/>
    <n v="12.85"/>
    <x v="0"/>
    <n v="0"/>
    <n v="21.74"/>
    <n v="75"/>
    <n v="963.75"/>
    <n v="963.75"/>
    <n v="666.74999999999989"/>
    <n v="0.69182879377431894"/>
    <n v="-0.04"/>
    <n v="-3"/>
    <n v="0"/>
    <n v="0"/>
  </r>
  <r>
    <n v="10"/>
    <m/>
    <s v="RAM"/>
    <m/>
    <m/>
    <x v="0"/>
    <m/>
    <s v=""/>
    <m/>
    <n v="0"/>
    <n v="0"/>
    <e v="#VALUE!"/>
    <n v="0"/>
    <n v="0"/>
    <n v="0"/>
    <n v="0"/>
    <n v="0"/>
  </r>
  <r>
    <n v="11"/>
    <m/>
    <s v="RAM"/>
    <m/>
    <m/>
    <x v="0"/>
    <m/>
    <s v=""/>
    <m/>
    <n v="0"/>
    <n v="0"/>
    <e v="#VALUE!"/>
    <n v="0"/>
    <n v="0"/>
    <n v="0"/>
    <n v="0"/>
    <n v="0"/>
  </r>
  <r>
    <n v="12"/>
    <m/>
    <s v="RAM"/>
    <m/>
    <m/>
    <x v="0"/>
    <m/>
    <s v=""/>
    <m/>
    <n v="0"/>
    <n v="0"/>
    <e v="#VALUE!"/>
    <n v="0"/>
    <n v="0"/>
    <n v="0"/>
    <n v="0"/>
    <n v="0"/>
  </r>
  <r>
    <n v="13"/>
    <m/>
    <s v="RAM"/>
    <m/>
    <m/>
    <x v="0"/>
    <m/>
    <s v=""/>
    <m/>
    <n v="0"/>
    <n v="0"/>
    <e v="#VALUE!"/>
    <n v="0"/>
    <n v="0"/>
    <n v="0"/>
    <n v="0"/>
    <n v="0"/>
  </r>
  <r>
    <n v="14"/>
    <m/>
    <s v="RAM"/>
    <m/>
    <m/>
    <x v="0"/>
    <m/>
    <s v=""/>
    <m/>
    <n v="0"/>
    <n v="0"/>
    <e v="#VALUE!"/>
    <n v="0"/>
    <n v="0"/>
    <n v="0"/>
    <n v="0"/>
    <n v="0"/>
  </r>
  <r>
    <n v="15"/>
    <m/>
    <m/>
    <m/>
    <m/>
    <x v="0"/>
    <m/>
    <s v=""/>
    <m/>
    <n v="0"/>
    <n v="0"/>
    <e v="#VALUE!"/>
    <n v="0"/>
    <n v="0"/>
    <n v="0"/>
    <n v="0"/>
    <n v="0"/>
  </r>
  <r>
    <n v="16"/>
    <m/>
    <m/>
    <m/>
    <m/>
    <x v="0"/>
    <m/>
    <s v=""/>
    <m/>
    <n v="0"/>
    <n v="0"/>
    <e v="#VALUE!"/>
    <n v="0"/>
    <n v="0"/>
    <n v="0"/>
    <n v="0"/>
    <n v="0"/>
  </r>
  <r>
    <n v="17"/>
    <m/>
    <m/>
    <m/>
    <m/>
    <x v="0"/>
    <m/>
    <s v=""/>
    <m/>
    <n v="0"/>
    <n v="0"/>
    <e v="#VALUE!"/>
    <n v="0"/>
    <n v="0"/>
    <n v="0"/>
    <n v="0"/>
    <n v="0"/>
  </r>
  <r>
    <n v="18"/>
    <m/>
    <m/>
    <m/>
    <m/>
    <x v="0"/>
    <m/>
    <s v=""/>
    <m/>
    <n v="0"/>
    <n v="0"/>
    <e v="#VALUE!"/>
    <n v="0"/>
    <n v="0"/>
    <n v="0"/>
    <n v="0"/>
    <n v="0"/>
  </r>
  <r>
    <n v="19"/>
    <m/>
    <m/>
    <m/>
    <m/>
    <x v="0"/>
    <m/>
    <s v=""/>
    <m/>
    <n v="0"/>
    <n v="0"/>
    <e v="#VALUE!"/>
    <n v="0"/>
    <n v="0"/>
    <n v="0"/>
    <n v="0"/>
    <n v="0"/>
  </r>
  <r>
    <n v="20"/>
    <m/>
    <m/>
    <m/>
    <m/>
    <x v="0"/>
    <m/>
    <s v=""/>
    <m/>
    <n v="0"/>
    <n v="0"/>
    <e v="#VALUE!"/>
    <n v="0"/>
    <n v="0"/>
    <n v="0"/>
    <n v="0"/>
    <n v="0"/>
  </r>
  <r>
    <n v="21"/>
    <m/>
    <m/>
    <m/>
    <m/>
    <x v="0"/>
    <m/>
    <s v=""/>
    <m/>
    <n v="0"/>
    <n v="0"/>
    <e v="#VALUE!"/>
    <n v="0"/>
    <n v="0"/>
    <n v="0"/>
    <n v="0"/>
    <n v="0"/>
  </r>
  <r>
    <n v="22"/>
    <m/>
    <m/>
    <m/>
    <m/>
    <x v="0"/>
    <m/>
    <s v=""/>
    <m/>
    <n v="0"/>
    <n v="0"/>
    <e v="#VALUE!"/>
    <n v="0"/>
    <n v="0"/>
    <n v="0"/>
    <n v="0"/>
    <n v="0"/>
  </r>
  <r>
    <n v="23"/>
    <m/>
    <m/>
    <m/>
    <m/>
    <x v="0"/>
    <m/>
    <s v=""/>
    <m/>
    <n v="0"/>
    <n v="0"/>
    <e v="#VALUE!"/>
    <n v="0"/>
    <n v="0"/>
    <n v="0"/>
    <n v="0"/>
    <n v="0"/>
  </r>
  <r>
    <n v="24"/>
    <m/>
    <m/>
    <m/>
    <m/>
    <x v="0"/>
    <m/>
    <s v=""/>
    <m/>
    <n v="0"/>
    <n v="0"/>
    <e v="#VALUE!"/>
    <n v="0"/>
    <n v="0"/>
    <n v="0"/>
    <n v="0"/>
    <n v="0"/>
  </r>
  <r>
    <n v="25"/>
    <m/>
    <m/>
    <m/>
    <m/>
    <x v="0"/>
    <m/>
    <s v=""/>
    <m/>
    <n v="0"/>
    <n v="0"/>
    <e v="#VALUE!"/>
    <n v="0"/>
    <n v="0"/>
    <n v="0"/>
    <n v="0"/>
    <n v="0"/>
  </r>
  <r>
    <n v="26"/>
    <m/>
    <m/>
    <m/>
    <m/>
    <x v="0"/>
    <m/>
    <s v=""/>
    <m/>
    <n v="0"/>
    <n v="0"/>
    <e v="#VALUE!"/>
    <n v="0"/>
    <n v="0"/>
    <n v="0"/>
    <n v="0"/>
    <n v="0"/>
  </r>
  <r>
    <n v="27"/>
    <m/>
    <m/>
    <m/>
    <m/>
    <x v="0"/>
    <m/>
    <s v=""/>
    <m/>
    <n v="0"/>
    <n v="0"/>
    <e v="#VALUE!"/>
    <n v="0"/>
    <n v="0"/>
    <n v="0"/>
    <n v="0"/>
    <n v="0"/>
  </r>
  <r>
    <n v="28"/>
    <m/>
    <m/>
    <m/>
    <m/>
    <x v="0"/>
    <m/>
    <s v=""/>
    <m/>
    <n v="0"/>
    <n v="0"/>
    <e v="#VALUE!"/>
    <n v="0"/>
    <n v="0"/>
    <n v="0"/>
    <n v="0"/>
    <n v="0"/>
  </r>
  <r>
    <n v="29"/>
    <m/>
    <m/>
    <m/>
    <m/>
    <x v="0"/>
    <m/>
    <s v=""/>
    <m/>
    <n v="0"/>
    <n v="0"/>
    <e v="#VALUE!"/>
    <n v="0"/>
    <n v="0"/>
    <n v="0"/>
    <n v="0"/>
    <n v="0"/>
  </r>
  <r>
    <n v="30"/>
    <m/>
    <m/>
    <m/>
    <m/>
    <x v="0"/>
    <m/>
    <s v=""/>
    <m/>
    <n v="0"/>
    <n v="0"/>
    <e v="#VALUE!"/>
    <n v="0"/>
    <n v="0"/>
    <n v="0"/>
    <n v="0"/>
    <n v="0"/>
  </r>
  <r>
    <n v="31"/>
    <m/>
    <m/>
    <m/>
    <m/>
    <x v="0"/>
    <m/>
    <s v=""/>
    <m/>
    <n v="0"/>
    <n v="0"/>
    <e v="#VALUE!"/>
    <n v="0"/>
    <n v="0"/>
    <n v="0"/>
    <n v="0"/>
    <n v="0"/>
  </r>
  <r>
    <n v="32"/>
    <m/>
    <m/>
    <m/>
    <m/>
    <x v="0"/>
    <m/>
    <s v=""/>
    <m/>
    <n v="0"/>
    <n v="0"/>
    <e v="#VALUE!"/>
    <n v="0"/>
    <n v="0"/>
    <n v="0"/>
    <n v="0"/>
    <n v="0"/>
  </r>
  <r>
    <n v="33"/>
    <m/>
    <m/>
    <m/>
    <m/>
    <x v="0"/>
    <m/>
    <s v=""/>
    <m/>
    <n v="0"/>
    <n v="0"/>
    <e v="#VALUE!"/>
    <n v="0"/>
    <n v="0"/>
    <n v="0"/>
    <n v="0"/>
    <n v="0"/>
  </r>
  <r>
    <n v="34"/>
    <m/>
    <m/>
    <m/>
    <m/>
    <x v="0"/>
    <m/>
    <s v=""/>
    <m/>
    <n v="0"/>
    <n v="0"/>
    <e v="#VALUE!"/>
    <n v="0"/>
    <n v="0"/>
    <n v="0"/>
    <n v="0"/>
    <n v="0"/>
  </r>
  <r>
    <n v="35"/>
    <m/>
    <m/>
    <m/>
    <m/>
    <x v="0"/>
    <m/>
    <s v=""/>
    <m/>
    <n v="0"/>
    <n v="0"/>
    <e v="#VALUE!"/>
    <n v="0"/>
    <n v="0"/>
    <n v="0"/>
    <n v="0"/>
    <n v="0"/>
  </r>
  <r>
    <n v="36"/>
    <m/>
    <m/>
    <m/>
    <m/>
    <x v="0"/>
    <m/>
    <s v=""/>
    <m/>
    <n v="0"/>
    <n v="0"/>
    <e v="#VALUE!"/>
    <n v="0"/>
    <n v="0"/>
    <n v="0"/>
    <n v="0"/>
    <n v="0"/>
  </r>
  <r>
    <n v="37"/>
    <m/>
    <m/>
    <m/>
    <m/>
    <x v="0"/>
    <m/>
    <s v=""/>
    <m/>
    <n v="0"/>
    <n v="0"/>
    <e v="#VALUE!"/>
    <n v="0"/>
    <n v="0"/>
    <n v="0"/>
    <n v="0"/>
    <n v="0"/>
  </r>
  <r>
    <n v="38"/>
    <m/>
    <m/>
    <m/>
    <m/>
    <x v="0"/>
    <m/>
    <s v=""/>
    <m/>
    <n v="0"/>
    <n v="0"/>
    <e v="#VALUE!"/>
    <n v="0"/>
    <n v="0"/>
    <n v="0"/>
    <n v="0"/>
    <n v="0"/>
  </r>
  <r>
    <n v="39"/>
    <m/>
    <m/>
    <m/>
    <m/>
    <x v="0"/>
    <m/>
    <s v=""/>
    <m/>
    <n v="0"/>
    <n v="0"/>
    <e v="#VALUE!"/>
    <n v="0"/>
    <n v="0"/>
    <n v="0"/>
    <n v="0"/>
    <n v="0"/>
  </r>
  <r>
    <n v="40"/>
    <m/>
    <m/>
    <m/>
    <m/>
    <x v="0"/>
    <m/>
    <s v=""/>
    <m/>
    <n v="0"/>
    <n v="0"/>
    <e v="#VALUE!"/>
    <n v="0"/>
    <n v="0"/>
    <n v="0"/>
    <n v="0"/>
    <n v="0"/>
  </r>
  <r>
    <n v="41"/>
    <m/>
    <m/>
    <m/>
    <m/>
    <x v="0"/>
    <m/>
    <s v=""/>
    <m/>
    <n v="0"/>
    <n v="0"/>
    <e v="#VALUE!"/>
    <n v="0"/>
    <n v="0"/>
    <n v="0"/>
    <n v="0"/>
    <n v="0"/>
  </r>
  <r>
    <n v="42"/>
    <m/>
    <m/>
    <m/>
    <m/>
    <x v="0"/>
    <m/>
    <s v=""/>
    <m/>
    <n v="0"/>
    <n v="0"/>
    <e v="#VALUE!"/>
    <n v="0"/>
    <n v="0"/>
    <n v="0"/>
    <n v="0"/>
    <n v="0"/>
  </r>
  <r>
    <n v="43"/>
    <m/>
    <m/>
    <m/>
    <m/>
    <x v="0"/>
    <m/>
    <s v=""/>
    <m/>
    <n v="0"/>
    <n v="0"/>
    <e v="#VALUE!"/>
    <n v="0"/>
    <n v="0"/>
    <n v="0"/>
    <n v="0"/>
    <n v="0"/>
  </r>
  <r>
    <n v="44"/>
    <m/>
    <m/>
    <m/>
    <m/>
    <x v="0"/>
    <m/>
    <s v=""/>
    <m/>
    <n v="0"/>
    <n v="0"/>
    <e v="#VALUE!"/>
    <n v="0"/>
    <n v="0"/>
    <n v="0"/>
    <n v="0"/>
    <n v="0"/>
  </r>
  <r>
    <n v="45"/>
    <m/>
    <m/>
    <m/>
    <m/>
    <x v="0"/>
    <m/>
    <s v=""/>
    <m/>
    <n v="0"/>
    <n v="0"/>
    <e v="#VALUE!"/>
    <n v="0"/>
    <n v="0"/>
    <n v="0"/>
    <n v="0"/>
    <n v="0"/>
  </r>
  <r>
    <n v="46"/>
    <m/>
    <m/>
    <m/>
    <m/>
    <x v="0"/>
    <m/>
    <s v=""/>
    <m/>
    <n v="0"/>
    <n v="0"/>
    <e v="#VALUE!"/>
    <n v="0"/>
    <n v="0"/>
    <n v="0"/>
    <n v="0"/>
    <n v="0"/>
  </r>
  <r>
    <n v="47"/>
    <m/>
    <m/>
    <m/>
    <m/>
    <x v="0"/>
    <m/>
    <s v=""/>
    <m/>
    <n v="0"/>
    <n v="0"/>
    <e v="#VALUE!"/>
    <n v="0"/>
    <n v="0"/>
    <n v="0"/>
    <n v="0"/>
    <n v="0"/>
  </r>
  <r>
    <n v="48"/>
    <m/>
    <m/>
    <m/>
    <m/>
    <x v="0"/>
    <m/>
    <s v=""/>
    <m/>
    <n v="0"/>
    <n v="0"/>
    <e v="#VALUE!"/>
    <n v="0"/>
    <n v="0"/>
    <n v="0"/>
    <n v="0"/>
    <n v="0"/>
  </r>
  <r>
    <n v="49"/>
    <m/>
    <m/>
    <m/>
    <m/>
    <x v="0"/>
    <m/>
    <s v=""/>
    <m/>
    <n v="0"/>
    <n v="0"/>
    <e v="#VALUE!"/>
    <n v="0"/>
    <n v="0"/>
    <n v="0"/>
    <n v="0"/>
    <n v="0"/>
  </r>
  <r>
    <n v="50"/>
    <m/>
    <m/>
    <m/>
    <m/>
    <x v="0"/>
    <m/>
    <s v=""/>
    <m/>
    <n v="0"/>
    <n v="0"/>
    <e v="#VALUE!"/>
    <n v="0"/>
    <n v="0"/>
    <n v="0"/>
    <n v="0"/>
    <n v="0"/>
  </r>
  <r>
    <n v="51"/>
    <m/>
    <m/>
    <m/>
    <m/>
    <x v="0"/>
    <m/>
    <s v=""/>
    <m/>
    <n v="0"/>
    <n v="0"/>
    <e v="#VALUE!"/>
    <n v="0"/>
    <n v="0"/>
    <n v="0"/>
    <n v="0"/>
    <n v="0"/>
  </r>
  <r>
    <n v="52"/>
    <m/>
    <m/>
    <m/>
    <m/>
    <x v="0"/>
    <m/>
    <s v=""/>
    <m/>
    <n v="0"/>
    <n v="0"/>
    <e v="#VALUE!"/>
    <n v="0"/>
    <n v="0"/>
    <n v="0"/>
    <n v="0"/>
    <n v="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RAM"/>
    <d v="2025-10-21T00:00:00"/>
    <n v="20.13"/>
    <m/>
    <n v="0"/>
    <n v="21.49"/>
    <n v="51"/>
    <n v="1026.6299999999999"/>
    <n v="1026.6299999999999"/>
    <n v="69.359999999999971"/>
    <n v="6.7560854446100327E-2"/>
    <n v="0.34"/>
    <n v="17.34"/>
    <n v="0"/>
    <n v="0"/>
  </r>
  <r>
    <x v="1"/>
    <s v="RAM"/>
    <d v="2023-11-03T00:00:00"/>
    <n v="74.900000000000006"/>
    <m/>
    <n v="0"/>
    <n v="116.72"/>
    <n v="200"/>
    <n v="14980.000000000002"/>
    <n v="14980.000000000002"/>
    <n v="8363.9999999999982"/>
    <n v="0.55834445927903853"/>
    <n v="0.57999999999999996"/>
    <n v="115.99999999999999"/>
    <n v="0"/>
    <n v="0"/>
  </r>
  <r>
    <x v="2"/>
    <s v="RAM"/>
    <d v="2023-01-25T00:00:00"/>
    <n v="10.8"/>
    <m/>
    <n v="0"/>
    <n v="12.02"/>
    <n v="225"/>
    <n v="2430"/>
    <n v="2430"/>
    <n v="274.49999999999977"/>
    <n v="0.11296296296296285"/>
    <n v="0.17"/>
    <n v="38.25"/>
    <n v="0"/>
    <n v="0"/>
  </r>
  <r>
    <x v="3"/>
    <s v="RAM"/>
    <d v="2021-11-04T00:00:00"/>
    <n v="823.2"/>
    <m/>
    <n v="0"/>
    <n v="680.5"/>
    <n v="1"/>
    <n v="823.2"/>
    <n v="823.2"/>
    <n v="-142.70000000000005"/>
    <n v="-0.1733479105928086"/>
    <n v="-1.1499999999999999"/>
    <n v="-1.1499999999999999"/>
    <n v="0"/>
    <n v="0"/>
  </r>
  <r>
    <x v="4"/>
    <s v="RAM"/>
    <d v="2024-11-01T00:00:00"/>
    <n v="102"/>
    <m/>
    <n v="0"/>
    <n v="114.45"/>
    <n v="51"/>
    <n v="5202"/>
    <n v="5202"/>
    <n v="634.95000000000016"/>
    <n v="0.12205882352941179"/>
    <n v="0.42"/>
    <n v="21.419999999999998"/>
    <n v="0"/>
    <n v="0"/>
  </r>
  <r>
    <x v="5"/>
    <s v="RAM"/>
    <d v="2025-10-21T00:00:00"/>
    <n v="150"/>
    <m/>
    <n v="0"/>
    <n v="204"/>
    <n v="5"/>
    <n v="750"/>
    <n v="750"/>
    <n v="270"/>
    <n v="0.36"/>
    <n v="1.46"/>
    <n v="7.3"/>
    <n v="0"/>
    <n v="0"/>
  </r>
  <r>
    <x v="6"/>
    <s v="RAM"/>
    <d v="2025-10-08T00:00:00"/>
    <n v="920"/>
    <m/>
    <n v="0"/>
    <n v="835"/>
    <n v="11"/>
    <n v="10120"/>
    <n v="10120"/>
    <n v="-935"/>
    <n v="-9.2391304347826081E-2"/>
    <n v="18.5"/>
    <n v="203.5"/>
    <n v="0"/>
    <n v="0"/>
  </r>
  <r>
    <x v="7"/>
    <s v="RAM"/>
    <d v="2025-08-18T00:00:00"/>
    <n v="1402"/>
    <m/>
    <n v="0"/>
    <n v="1380"/>
    <n v="5"/>
    <n v="7010"/>
    <n v="7010"/>
    <n v="-110"/>
    <n v="-1.5691868758915834E-2"/>
    <n v="-8"/>
    <n v="-40"/>
    <n v="0"/>
    <n v="0"/>
  </r>
  <r>
    <x v="8"/>
    <s v="RAM"/>
    <d v="2020-08-05T00:00:00"/>
    <n v="12.85"/>
    <m/>
    <n v="0"/>
    <n v="21.74"/>
    <n v="75"/>
    <n v="963.75"/>
    <n v="963.75"/>
    <n v="666.74999999999989"/>
    <n v="0.69182879377431894"/>
    <n v="-0.04"/>
    <n v="-3"/>
    <n v="0"/>
    <n v="0"/>
  </r>
  <r>
    <x v="9"/>
    <s v="RAM"/>
    <m/>
    <m/>
    <m/>
    <m/>
    <s v=""/>
    <m/>
    <n v="0"/>
    <n v="0"/>
    <e v="#VALUE!"/>
    <n v="0"/>
    <n v="0"/>
    <n v="0"/>
    <n v="0"/>
    <n v="0"/>
  </r>
  <r>
    <x v="9"/>
    <s v="RAM"/>
    <m/>
    <m/>
    <m/>
    <m/>
    <s v=""/>
    <m/>
    <n v="0"/>
    <n v="0"/>
    <e v="#VALUE!"/>
    <n v="0"/>
    <n v="0"/>
    <n v="0"/>
    <n v="0"/>
    <n v="0"/>
  </r>
  <r>
    <x v="9"/>
    <s v="RAM"/>
    <m/>
    <m/>
    <m/>
    <m/>
    <s v=""/>
    <m/>
    <n v="0"/>
    <n v="0"/>
    <e v="#VALUE!"/>
    <n v="0"/>
    <n v="0"/>
    <n v="0"/>
    <n v="0"/>
    <n v="0"/>
  </r>
  <r>
    <x v="9"/>
    <s v="RAM"/>
    <m/>
    <m/>
    <m/>
    <m/>
    <s v=""/>
    <m/>
    <n v="0"/>
    <n v="0"/>
    <e v="#VALUE!"/>
    <n v="0"/>
    <n v="0"/>
    <n v="0"/>
    <n v="0"/>
    <n v="0"/>
  </r>
  <r>
    <x v="9"/>
    <s v="RAM"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  <r>
    <x v="9"/>
    <m/>
    <m/>
    <m/>
    <m/>
    <m/>
    <s v=""/>
    <m/>
    <n v="0"/>
    <n v="0"/>
    <e v="#VALUE!"/>
    <n v="0"/>
    <n v="0"/>
    <n v="0"/>
    <n v="0"/>
    <n v="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d v="2025-10-21T00:00:00"/>
    <n v="20.13"/>
    <m/>
    <n v="0"/>
    <n v="21.49"/>
    <n v="51"/>
    <n v="1026.6299999999999"/>
    <n v="1026.6299999999999"/>
    <n v="69.359999999999971"/>
    <n v="6.7560854446100327E-2"/>
    <n v="0.34"/>
    <n v="17.34"/>
    <n v="0"/>
  </r>
  <r>
    <n v="2"/>
    <x v="1"/>
    <x v="0"/>
    <d v="2023-11-03T00:00:00"/>
    <n v="74.900000000000006"/>
    <m/>
    <n v="0"/>
    <n v="116.72"/>
    <n v="200"/>
    <n v="14980.000000000002"/>
    <n v="14980.000000000002"/>
    <n v="8363.9999999999982"/>
    <n v="0.55834445927903853"/>
    <n v="0.57999999999999996"/>
    <n v="115.99999999999999"/>
    <n v="0"/>
  </r>
  <r>
    <n v="3"/>
    <x v="2"/>
    <x v="0"/>
    <d v="2023-01-25T00:00:00"/>
    <n v="10.8"/>
    <m/>
    <n v="0"/>
    <n v="12.02"/>
    <n v="225"/>
    <n v="2430"/>
    <n v="2430"/>
    <n v="274.49999999999977"/>
    <n v="0.11296296296296285"/>
    <n v="0.17"/>
    <n v="38.25"/>
    <n v="0"/>
  </r>
  <r>
    <n v="4"/>
    <x v="3"/>
    <x v="0"/>
    <d v="2021-11-04T00:00:00"/>
    <n v="823.2"/>
    <m/>
    <n v="0"/>
    <n v="680.5"/>
    <n v="1"/>
    <n v="823.2"/>
    <n v="823.2"/>
    <n v="-142.70000000000005"/>
    <n v="-0.1733479105928086"/>
    <n v="-1.1499999999999999"/>
    <n v="-1.1499999999999999"/>
    <n v="0"/>
  </r>
  <r>
    <n v="5"/>
    <x v="4"/>
    <x v="0"/>
    <d v="2024-11-01T00:00:00"/>
    <n v="102"/>
    <m/>
    <n v="0"/>
    <n v="114.45"/>
    <n v="51"/>
    <n v="5202"/>
    <n v="5202"/>
    <n v="634.95000000000016"/>
    <n v="0.12205882352941179"/>
    <n v="0.42"/>
    <n v="21.419999999999998"/>
    <n v="0"/>
  </r>
  <r>
    <n v="6"/>
    <x v="5"/>
    <x v="0"/>
    <d v="2025-10-21T00:00:00"/>
    <n v="150"/>
    <m/>
    <n v="0"/>
    <n v="204"/>
    <n v="5"/>
    <n v="750"/>
    <n v="750"/>
    <n v="270"/>
    <n v="0.36"/>
    <n v="1.46"/>
    <n v="7.3"/>
    <n v="0"/>
  </r>
  <r>
    <n v="7"/>
    <x v="6"/>
    <x v="0"/>
    <d v="2025-10-08T00:00:00"/>
    <n v="920"/>
    <m/>
    <n v="0"/>
    <n v="835"/>
    <n v="11"/>
    <n v="10120"/>
    <n v="10120"/>
    <n v="-935"/>
    <n v="-9.2391304347826081E-2"/>
    <n v="18.5"/>
    <n v="203.5"/>
    <n v="0"/>
  </r>
  <r>
    <n v="8"/>
    <x v="7"/>
    <x v="0"/>
    <d v="2025-08-18T00:00:00"/>
    <n v="1402"/>
    <m/>
    <n v="0"/>
    <n v="1380"/>
    <n v="5"/>
    <n v="7010"/>
    <n v="7010"/>
    <n v="-110"/>
    <n v="-1.5691868758915834E-2"/>
    <n v="-8"/>
    <n v="-40"/>
    <n v="0"/>
  </r>
  <r>
    <n v="9"/>
    <x v="8"/>
    <x v="0"/>
    <d v="2020-08-05T00:00:00"/>
    <n v="12.85"/>
    <m/>
    <n v="0"/>
    <n v="21.74"/>
    <n v="75"/>
    <n v="963.75"/>
    <n v="963.75"/>
    <n v="666.74999999999989"/>
    <n v="0.69182879377431894"/>
    <n v="-0.04"/>
    <n v="-3"/>
    <n v="0"/>
  </r>
  <r>
    <n v="10"/>
    <x v="9"/>
    <x v="0"/>
    <m/>
    <m/>
    <m/>
    <m/>
    <s v=""/>
    <m/>
    <n v="0"/>
    <n v="0"/>
    <e v="#VALUE!"/>
    <n v="0"/>
    <n v="0"/>
    <n v="0"/>
    <n v="0"/>
  </r>
  <r>
    <n v="11"/>
    <x v="9"/>
    <x v="0"/>
    <m/>
    <m/>
    <m/>
    <m/>
    <s v=""/>
    <m/>
    <n v="0"/>
    <n v="0"/>
    <e v="#VALUE!"/>
    <n v="0"/>
    <n v="0"/>
    <n v="0"/>
    <n v="0"/>
  </r>
  <r>
    <n v="12"/>
    <x v="9"/>
    <x v="0"/>
    <m/>
    <m/>
    <m/>
    <m/>
    <s v=""/>
    <m/>
    <n v="0"/>
    <n v="0"/>
    <e v="#VALUE!"/>
    <n v="0"/>
    <n v="0"/>
    <n v="0"/>
    <n v="0"/>
  </r>
  <r>
    <n v="13"/>
    <x v="9"/>
    <x v="0"/>
    <m/>
    <m/>
    <m/>
    <m/>
    <s v=""/>
    <m/>
    <n v="0"/>
    <n v="0"/>
    <e v="#VALUE!"/>
    <n v="0"/>
    <n v="0"/>
    <n v="0"/>
    <n v="0"/>
  </r>
  <r>
    <n v="14"/>
    <x v="9"/>
    <x v="0"/>
    <m/>
    <m/>
    <m/>
    <m/>
    <s v=""/>
    <m/>
    <n v="0"/>
    <n v="0"/>
    <e v="#VALUE!"/>
    <n v="0"/>
    <n v="0"/>
    <n v="0"/>
    <n v="0"/>
  </r>
  <r>
    <n v="15"/>
    <x v="9"/>
    <x v="1"/>
    <m/>
    <m/>
    <m/>
    <m/>
    <s v=""/>
    <m/>
    <n v="0"/>
    <n v="0"/>
    <e v="#VALUE!"/>
    <n v="0"/>
    <n v="0"/>
    <n v="0"/>
    <n v="0"/>
  </r>
  <r>
    <n v="16"/>
    <x v="9"/>
    <x v="1"/>
    <m/>
    <m/>
    <m/>
    <m/>
    <s v=""/>
    <m/>
    <n v="0"/>
    <n v="0"/>
    <e v="#VALUE!"/>
    <n v="0"/>
    <n v="0"/>
    <n v="0"/>
    <n v="0"/>
  </r>
  <r>
    <n v="17"/>
    <x v="9"/>
    <x v="1"/>
    <m/>
    <m/>
    <m/>
    <m/>
    <s v=""/>
    <m/>
    <n v="0"/>
    <n v="0"/>
    <e v="#VALUE!"/>
    <n v="0"/>
    <n v="0"/>
    <n v="0"/>
    <n v="0"/>
  </r>
  <r>
    <n v="18"/>
    <x v="9"/>
    <x v="1"/>
    <m/>
    <m/>
    <m/>
    <m/>
    <s v=""/>
    <m/>
    <n v="0"/>
    <n v="0"/>
    <e v="#VALUE!"/>
    <n v="0"/>
    <n v="0"/>
    <n v="0"/>
    <n v="0"/>
  </r>
  <r>
    <n v="19"/>
    <x v="9"/>
    <x v="1"/>
    <m/>
    <m/>
    <m/>
    <m/>
    <s v=""/>
    <m/>
    <n v="0"/>
    <n v="0"/>
    <e v="#VALUE!"/>
    <n v="0"/>
    <n v="0"/>
    <n v="0"/>
    <n v="0"/>
  </r>
  <r>
    <n v="20"/>
    <x v="9"/>
    <x v="1"/>
    <m/>
    <m/>
    <m/>
    <m/>
    <s v=""/>
    <m/>
    <n v="0"/>
    <n v="0"/>
    <e v="#VALUE!"/>
    <n v="0"/>
    <n v="0"/>
    <n v="0"/>
    <n v="0"/>
  </r>
  <r>
    <n v="21"/>
    <x v="9"/>
    <x v="1"/>
    <m/>
    <m/>
    <m/>
    <m/>
    <s v=""/>
    <m/>
    <n v="0"/>
    <n v="0"/>
    <e v="#VALUE!"/>
    <n v="0"/>
    <n v="0"/>
    <n v="0"/>
    <n v="0"/>
  </r>
  <r>
    <n v="22"/>
    <x v="9"/>
    <x v="1"/>
    <m/>
    <m/>
    <m/>
    <m/>
    <s v=""/>
    <m/>
    <n v="0"/>
    <n v="0"/>
    <e v="#VALUE!"/>
    <n v="0"/>
    <n v="0"/>
    <n v="0"/>
    <n v="0"/>
  </r>
  <r>
    <n v="23"/>
    <x v="9"/>
    <x v="1"/>
    <m/>
    <m/>
    <m/>
    <m/>
    <s v=""/>
    <m/>
    <n v="0"/>
    <n v="0"/>
    <e v="#VALUE!"/>
    <n v="0"/>
    <n v="0"/>
    <n v="0"/>
    <n v="0"/>
  </r>
  <r>
    <n v="24"/>
    <x v="9"/>
    <x v="1"/>
    <m/>
    <m/>
    <m/>
    <m/>
    <s v=""/>
    <m/>
    <n v="0"/>
    <n v="0"/>
    <e v="#VALUE!"/>
    <n v="0"/>
    <n v="0"/>
    <n v="0"/>
    <n v="0"/>
  </r>
  <r>
    <n v="25"/>
    <x v="9"/>
    <x v="1"/>
    <m/>
    <m/>
    <m/>
    <m/>
    <s v=""/>
    <m/>
    <n v="0"/>
    <n v="0"/>
    <e v="#VALUE!"/>
    <n v="0"/>
    <n v="0"/>
    <n v="0"/>
    <n v="0"/>
  </r>
  <r>
    <n v="26"/>
    <x v="9"/>
    <x v="1"/>
    <m/>
    <m/>
    <m/>
    <m/>
    <s v=""/>
    <m/>
    <n v="0"/>
    <n v="0"/>
    <e v="#VALUE!"/>
    <n v="0"/>
    <n v="0"/>
    <n v="0"/>
    <n v="0"/>
  </r>
  <r>
    <n v="27"/>
    <x v="9"/>
    <x v="1"/>
    <m/>
    <m/>
    <m/>
    <m/>
    <s v=""/>
    <m/>
    <n v="0"/>
    <n v="0"/>
    <e v="#VALUE!"/>
    <n v="0"/>
    <n v="0"/>
    <n v="0"/>
    <n v="0"/>
  </r>
  <r>
    <n v="28"/>
    <x v="9"/>
    <x v="1"/>
    <m/>
    <m/>
    <m/>
    <m/>
    <s v=""/>
    <m/>
    <n v="0"/>
    <n v="0"/>
    <e v="#VALUE!"/>
    <n v="0"/>
    <n v="0"/>
    <n v="0"/>
    <n v="0"/>
  </r>
  <r>
    <n v="29"/>
    <x v="9"/>
    <x v="1"/>
    <m/>
    <m/>
    <m/>
    <m/>
    <s v=""/>
    <m/>
    <n v="0"/>
    <n v="0"/>
    <e v="#VALUE!"/>
    <n v="0"/>
    <n v="0"/>
    <n v="0"/>
    <n v="0"/>
  </r>
  <r>
    <n v="30"/>
    <x v="9"/>
    <x v="1"/>
    <m/>
    <m/>
    <m/>
    <m/>
    <s v=""/>
    <m/>
    <n v="0"/>
    <n v="0"/>
    <e v="#VALUE!"/>
    <n v="0"/>
    <n v="0"/>
    <n v="0"/>
    <n v="0"/>
  </r>
  <r>
    <n v="31"/>
    <x v="9"/>
    <x v="1"/>
    <m/>
    <m/>
    <m/>
    <m/>
    <s v=""/>
    <m/>
    <n v="0"/>
    <n v="0"/>
    <e v="#VALUE!"/>
    <n v="0"/>
    <n v="0"/>
    <n v="0"/>
    <n v="0"/>
  </r>
  <r>
    <n v="32"/>
    <x v="9"/>
    <x v="1"/>
    <m/>
    <m/>
    <m/>
    <m/>
    <s v=""/>
    <m/>
    <n v="0"/>
    <n v="0"/>
    <e v="#VALUE!"/>
    <n v="0"/>
    <n v="0"/>
    <n v="0"/>
    <n v="0"/>
  </r>
  <r>
    <n v="33"/>
    <x v="9"/>
    <x v="1"/>
    <m/>
    <m/>
    <m/>
    <m/>
    <s v=""/>
    <m/>
    <n v="0"/>
    <n v="0"/>
    <e v="#VALUE!"/>
    <n v="0"/>
    <n v="0"/>
    <n v="0"/>
    <n v="0"/>
  </r>
  <r>
    <n v="34"/>
    <x v="9"/>
    <x v="1"/>
    <m/>
    <m/>
    <m/>
    <m/>
    <s v=""/>
    <m/>
    <n v="0"/>
    <n v="0"/>
    <e v="#VALUE!"/>
    <n v="0"/>
    <n v="0"/>
    <n v="0"/>
    <n v="0"/>
  </r>
  <r>
    <n v="35"/>
    <x v="9"/>
    <x v="1"/>
    <m/>
    <m/>
    <m/>
    <m/>
    <s v=""/>
    <m/>
    <n v="0"/>
    <n v="0"/>
    <e v="#VALUE!"/>
    <n v="0"/>
    <n v="0"/>
    <n v="0"/>
    <n v="0"/>
  </r>
  <r>
    <n v="36"/>
    <x v="9"/>
    <x v="1"/>
    <m/>
    <m/>
    <m/>
    <m/>
    <s v=""/>
    <m/>
    <n v="0"/>
    <n v="0"/>
    <e v="#VALUE!"/>
    <n v="0"/>
    <n v="0"/>
    <n v="0"/>
    <n v="0"/>
  </r>
  <r>
    <n v="37"/>
    <x v="9"/>
    <x v="1"/>
    <m/>
    <m/>
    <m/>
    <m/>
    <s v=""/>
    <m/>
    <n v="0"/>
    <n v="0"/>
    <e v="#VALUE!"/>
    <n v="0"/>
    <n v="0"/>
    <n v="0"/>
    <n v="0"/>
  </r>
  <r>
    <n v="38"/>
    <x v="9"/>
    <x v="1"/>
    <m/>
    <m/>
    <m/>
    <m/>
    <s v=""/>
    <m/>
    <n v="0"/>
    <n v="0"/>
    <e v="#VALUE!"/>
    <n v="0"/>
    <n v="0"/>
    <n v="0"/>
    <n v="0"/>
  </r>
  <r>
    <n v="39"/>
    <x v="9"/>
    <x v="1"/>
    <m/>
    <m/>
    <m/>
    <m/>
    <s v=""/>
    <m/>
    <n v="0"/>
    <n v="0"/>
    <e v="#VALUE!"/>
    <n v="0"/>
    <n v="0"/>
    <n v="0"/>
    <n v="0"/>
  </r>
  <r>
    <n v="40"/>
    <x v="9"/>
    <x v="1"/>
    <m/>
    <m/>
    <m/>
    <m/>
    <s v=""/>
    <m/>
    <n v="0"/>
    <n v="0"/>
    <e v="#VALUE!"/>
    <n v="0"/>
    <n v="0"/>
    <n v="0"/>
    <n v="0"/>
  </r>
  <r>
    <n v="41"/>
    <x v="9"/>
    <x v="1"/>
    <m/>
    <m/>
    <m/>
    <m/>
    <s v=""/>
    <m/>
    <n v="0"/>
    <n v="0"/>
    <e v="#VALUE!"/>
    <n v="0"/>
    <n v="0"/>
    <n v="0"/>
    <n v="0"/>
  </r>
  <r>
    <n v="42"/>
    <x v="9"/>
    <x v="1"/>
    <m/>
    <m/>
    <m/>
    <m/>
    <s v=""/>
    <m/>
    <n v="0"/>
    <n v="0"/>
    <e v="#VALUE!"/>
    <n v="0"/>
    <n v="0"/>
    <n v="0"/>
    <n v="0"/>
  </r>
  <r>
    <n v="43"/>
    <x v="9"/>
    <x v="1"/>
    <m/>
    <m/>
    <m/>
    <m/>
    <s v=""/>
    <m/>
    <n v="0"/>
    <n v="0"/>
    <e v="#VALUE!"/>
    <n v="0"/>
    <n v="0"/>
    <n v="0"/>
    <n v="0"/>
  </r>
  <r>
    <n v="44"/>
    <x v="9"/>
    <x v="1"/>
    <m/>
    <m/>
    <m/>
    <m/>
    <s v=""/>
    <m/>
    <n v="0"/>
    <n v="0"/>
    <e v="#VALUE!"/>
    <n v="0"/>
    <n v="0"/>
    <n v="0"/>
    <n v="0"/>
  </r>
  <r>
    <n v="45"/>
    <x v="9"/>
    <x v="1"/>
    <m/>
    <m/>
    <m/>
    <m/>
    <s v=""/>
    <m/>
    <n v="0"/>
    <n v="0"/>
    <e v="#VALUE!"/>
    <n v="0"/>
    <n v="0"/>
    <n v="0"/>
    <n v="0"/>
  </r>
  <r>
    <n v="46"/>
    <x v="9"/>
    <x v="1"/>
    <m/>
    <m/>
    <m/>
    <m/>
    <s v=""/>
    <m/>
    <n v="0"/>
    <n v="0"/>
    <e v="#VALUE!"/>
    <n v="0"/>
    <n v="0"/>
    <n v="0"/>
    <n v="0"/>
  </r>
  <r>
    <n v="47"/>
    <x v="9"/>
    <x v="1"/>
    <m/>
    <m/>
    <m/>
    <m/>
    <s v=""/>
    <m/>
    <n v="0"/>
    <n v="0"/>
    <e v="#VALUE!"/>
    <n v="0"/>
    <n v="0"/>
    <n v="0"/>
    <n v="0"/>
  </r>
  <r>
    <n v="48"/>
    <x v="9"/>
    <x v="1"/>
    <m/>
    <m/>
    <m/>
    <m/>
    <s v=""/>
    <m/>
    <n v="0"/>
    <n v="0"/>
    <e v="#VALUE!"/>
    <n v="0"/>
    <n v="0"/>
    <n v="0"/>
    <n v="0"/>
  </r>
  <r>
    <n v="49"/>
    <x v="9"/>
    <x v="1"/>
    <m/>
    <m/>
    <m/>
    <m/>
    <s v=""/>
    <m/>
    <n v="0"/>
    <n v="0"/>
    <e v="#VALUE!"/>
    <n v="0"/>
    <n v="0"/>
    <n v="0"/>
    <n v="0"/>
  </r>
  <r>
    <n v="50"/>
    <x v="9"/>
    <x v="1"/>
    <m/>
    <m/>
    <m/>
    <m/>
    <s v=""/>
    <m/>
    <n v="0"/>
    <n v="0"/>
    <e v="#VALUE!"/>
    <n v="0"/>
    <n v="0"/>
    <n v="0"/>
    <n v="0"/>
  </r>
  <r>
    <n v="51"/>
    <x v="9"/>
    <x v="1"/>
    <m/>
    <m/>
    <m/>
    <m/>
    <s v=""/>
    <m/>
    <n v="0"/>
    <n v="0"/>
    <e v="#VALUE!"/>
    <n v="0"/>
    <n v="0"/>
    <n v="0"/>
    <n v="0"/>
  </r>
  <r>
    <n v="52"/>
    <x v="9"/>
    <x v="1"/>
    <m/>
    <m/>
    <m/>
    <m/>
    <s v=""/>
    <m/>
    <n v="0"/>
    <n v="0"/>
    <e v="#VALUE!"/>
    <n v="0"/>
    <n v="0"/>
    <n v="0"/>
    <n v="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s v="GOLDCASE"/>
    <s v="Dashrathlal"/>
    <m/>
    <n v="19.8"/>
    <x v="0"/>
    <m/>
    <n v="21.49"/>
    <n v="328"/>
    <n v="6494.4000000000005"/>
    <n v="6494.4000000000005"/>
    <n v="554.31999999999925"/>
    <n v="8.5353535353535237E-2"/>
    <n v="0.34"/>
    <n v="111.52000000000001"/>
    <n v="0"/>
    <n v="0"/>
  </r>
  <r>
    <n v="2"/>
    <s v="HCLTECH"/>
    <s v="Dashrathlal"/>
    <m/>
    <n v="1598.5"/>
    <x v="0"/>
    <m/>
    <n v="1674.8"/>
    <n v="17"/>
    <n v="27174.5"/>
    <n v="27174.5"/>
    <n v="1297.0999999999992"/>
    <n v="4.7732248983421932E-2"/>
    <n v="4.5"/>
    <n v="76.5"/>
    <n v="0"/>
    <n v="0"/>
  </r>
  <r>
    <n v="3"/>
    <s v="HDFCLIFE"/>
    <s v="Dashrathlal"/>
    <m/>
    <n v="763.9"/>
    <x v="0"/>
    <m/>
    <n v="763"/>
    <n v="11"/>
    <n v="8402.9"/>
    <n v="8402.9"/>
    <n v="-9.8999999999997499"/>
    <n v="-1.1781646812409703E-3"/>
    <n v="1.2"/>
    <n v="13.2"/>
    <n v="0"/>
    <n v="0"/>
  </r>
  <r>
    <n v="4"/>
    <s v="HDFCMOMENT"/>
    <s v="Dashrathlal"/>
    <m/>
    <n v="31.75"/>
    <x v="0"/>
    <m/>
    <n v="31.69"/>
    <n v="251"/>
    <n v="7969.25"/>
    <n v="7969.25"/>
    <n v="-15.059999999999679"/>
    <n v="-1.8897637795275187E-3"/>
    <n v="-0.12"/>
    <n v="-30.119999999999997"/>
    <n v="0"/>
    <n v="0"/>
  </r>
  <r>
    <n v="5"/>
    <s v="HDFCSILVER"/>
    <s v="Dashrathlal"/>
    <m/>
    <n v="151.87"/>
    <x v="0"/>
    <m/>
    <n v="203.12"/>
    <n v="47"/>
    <n v="7137.89"/>
    <n v="7137.89"/>
    <n v="2408.75"/>
    <n v="0.33745966945413841"/>
    <n v="1.84"/>
    <n v="86.48"/>
    <n v="0"/>
    <n v="0"/>
  </r>
  <r>
    <n v="6"/>
    <s v="ICICIB22"/>
    <s v="Dashrathlal"/>
    <m/>
    <n v="116.64"/>
    <x v="0"/>
    <m/>
    <n v="116.72"/>
    <n v="147"/>
    <n v="17146.080000000002"/>
    <n v="17146.080000000002"/>
    <n v="11.759999999999749"/>
    <n v="6.8587105624141203E-4"/>
    <n v="0.57999999999999996"/>
    <n v="85.259999999999991"/>
    <n v="0"/>
    <n v="0"/>
  </r>
  <r>
    <n v="7"/>
    <s v="IDFCFIRSTB"/>
    <s v="Dashrathlal"/>
    <m/>
    <n v="80.69"/>
    <x v="0"/>
    <m/>
    <n v="84.9"/>
    <n v="25"/>
    <n v="2017.25"/>
    <n v="2017.25"/>
    <n v="105.2500000000002"/>
    <n v="5.2174990705168026E-2"/>
    <n v="-0.45"/>
    <n v="-11.25"/>
    <n v="0"/>
    <n v="0"/>
  </r>
  <r>
    <n v="8"/>
    <s v="INDIGOPNTS"/>
    <s v="Dashrathlal"/>
    <m/>
    <n v="1202.55"/>
    <x v="0"/>
    <m/>
    <n v="1170.2"/>
    <n v="5"/>
    <n v="6012.75"/>
    <n v="6012.75"/>
    <n v="-161.74999999999955"/>
    <n v="-2.6901168350588259E-2"/>
    <n v="-10"/>
    <n v="-50"/>
    <n v="0"/>
    <n v="0"/>
  </r>
  <r>
    <n v="9"/>
    <s v="ITETF"/>
    <s v="Dashrathlal"/>
    <m/>
    <n v="37.770000000000003"/>
    <x v="0"/>
    <m/>
    <n v="40.99"/>
    <n v="80"/>
    <n v="3021.6000000000004"/>
    <n v="3021.6000000000004"/>
    <n v="257.59999999999991"/>
    <n v="8.5252846174212304E-2"/>
    <n v="-0.34"/>
    <n v="-27.200000000000003"/>
    <n v="0"/>
    <n v="0"/>
  </r>
  <r>
    <n v="10"/>
    <s v="RCOM"/>
    <s v="Dashrathlal"/>
    <m/>
    <n v="33.909999999999997"/>
    <x v="0"/>
    <m/>
    <n v="1.08"/>
    <n v="200"/>
    <n v="6781.9999999999991"/>
    <n v="6781.9999999999991"/>
    <n v="-6566"/>
    <n v="-0.96815098790917142"/>
    <n v="-0.05"/>
    <n v="-10"/>
    <n v="0"/>
    <n v="0"/>
  </r>
  <r>
    <n v="11"/>
    <s v="TATACONSUM"/>
    <s v="Dashrathlal"/>
    <m/>
    <n v="1154.8"/>
    <x v="0"/>
    <m/>
    <n v="1185.2"/>
    <n v="12"/>
    <n v="13857.599999999999"/>
    <n v="13857.599999999999"/>
    <n v="364.80000000000109"/>
    <n v="2.6324904745410542E-2"/>
    <n v="6.4"/>
    <n v="76.800000000000011"/>
    <n v="0"/>
    <n v="0"/>
  </r>
  <r>
    <n v="12"/>
    <s v="TATASTEEL"/>
    <s v="Dashrathlal"/>
    <m/>
    <n v="179.29"/>
    <x v="0"/>
    <m/>
    <n v="170.82"/>
    <n v="10"/>
    <n v="1792.8999999999999"/>
    <n v="1792.8999999999999"/>
    <n v="-84.699999999999989"/>
    <n v="-4.7241898600033458E-2"/>
    <n v="1.6"/>
    <n v="16"/>
    <n v="0"/>
    <n v="0"/>
  </r>
  <r>
    <n v="13"/>
    <s v="TMCV"/>
    <s v="Dashrathlal"/>
    <m/>
    <n v="203.32"/>
    <x v="0"/>
    <m/>
    <n v="425.5"/>
    <n v="1"/>
    <n v="203.32"/>
    <n v="203.32"/>
    <n v="222.18"/>
    <n v="1.0927601809954752"/>
    <n v="13.8"/>
    <n v="13.8"/>
    <n v="0"/>
    <n v="0"/>
  </r>
  <r>
    <n v="14"/>
    <s v="TMPV"/>
    <s v="Dashrathlal"/>
    <m/>
    <n v="449.4"/>
    <x v="0"/>
    <m/>
    <n v="362.6"/>
    <n v="1"/>
    <n v="449.4"/>
    <n v="449.4"/>
    <n v="-86.799999999999955"/>
    <n v="-0.19314641744548278"/>
    <n v="3.45"/>
    <n v="3.45"/>
    <n v="0"/>
    <n v="0"/>
  </r>
  <r>
    <n v="15"/>
    <m/>
    <m/>
    <m/>
    <m/>
    <x v="0"/>
    <m/>
    <s v=""/>
    <m/>
    <n v="0"/>
    <n v="0"/>
    <e v="#VALUE!"/>
    <n v="0"/>
    <n v="0"/>
    <n v="0"/>
    <n v="0"/>
    <n v="0"/>
  </r>
  <r>
    <n v="16"/>
    <m/>
    <m/>
    <m/>
    <m/>
    <x v="0"/>
    <m/>
    <s v=""/>
    <m/>
    <n v="0"/>
    <n v="0"/>
    <e v="#VALUE!"/>
    <n v="0"/>
    <n v="0"/>
    <n v="0"/>
    <n v="0"/>
    <n v="0"/>
  </r>
  <r>
    <n v="17"/>
    <m/>
    <m/>
    <m/>
    <m/>
    <x v="0"/>
    <m/>
    <s v=""/>
    <m/>
    <n v="0"/>
    <n v="0"/>
    <e v="#VALUE!"/>
    <n v="0"/>
    <n v="0"/>
    <n v="0"/>
    <n v="0"/>
    <n v="0"/>
  </r>
  <r>
    <n v="18"/>
    <m/>
    <m/>
    <m/>
    <m/>
    <x v="0"/>
    <m/>
    <s v=""/>
    <m/>
    <n v="0"/>
    <n v="0"/>
    <e v="#VALUE!"/>
    <n v="0"/>
    <n v="0"/>
    <n v="0"/>
    <n v="0"/>
    <n v="0"/>
  </r>
  <r>
    <n v="19"/>
    <m/>
    <m/>
    <m/>
    <m/>
    <x v="0"/>
    <m/>
    <s v=""/>
    <m/>
    <n v="0"/>
    <n v="0"/>
    <e v="#VALUE!"/>
    <n v="0"/>
    <n v="0"/>
    <n v="0"/>
    <n v="0"/>
    <n v="0"/>
  </r>
  <r>
    <n v="20"/>
    <m/>
    <m/>
    <m/>
    <m/>
    <x v="0"/>
    <m/>
    <s v=""/>
    <m/>
    <n v="0"/>
    <n v="0"/>
    <e v="#VALUE!"/>
    <n v="0"/>
    <n v="0"/>
    <n v="0"/>
    <n v="0"/>
    <n v="0"/>
  </r>
  <r>
    <n v="21"/>
    <m/>
    <m/>
    <m/>
    <m/>
    <x v="0"/>
    <m/>
    <s v=""/>
    <m/>
    <n v="0"/>
    <n v="0"/>
    <e v="#VALUE!"/>
    <n v="0"/>
    <n v="0"/>
    <n v="0"/>
    <n v="0"/>
    <n v="0"/>
  </r>
  <r>
    <n v="22"/>
    <m/>
    <m/>
    <m/>
    <m/>
    <x v="0"/>
    <m/>
    <s v=""/>
    <m/>
    <n v="0"/>
    <n v="0"/>
    <e v="#VALUE!"/>
    <n v="0"/>
    <n v="0"/>
    <n v="0"/>
    <n v="0"/>
    <n v="0"/>
  </r>
  <r>
    <n v="23"/>
    <m/>
    <m/>
    <m/>
    <m/>
    <x v="0"/>
    <m/>
    <s v=""/>
    <m/>
    <n v="0"/>
    <n v="0"/>
    <e v="#VALUE!"/>
    <n v="0"/>
    <n v="0"/>
    <n v="0"/>
    <n v="0"/>
    <n v="0"/>
  </r>
  <r>
    <n v="24"/>
    <m/>
    <m/>
    <m/>
    <m/>
    <x v="0"/>
    <m/>
    <s v=""/>
    <m/>
    <n v="0"/>
    <n v="0"/>
    <e v="#VALUE!"/>
    <n v="0"/>
    <n v="0"/>
    <n v="0"/>
    <n v="0"/>
    <n v="0"/>
  </r>
  <r>
    <n v="25"/>
    <m/>
    <m/>
    <m/>
    <m/>
    <x v="0"/>
    <m/>
    <s v=""/>
    <m/>
    <n v="0"/>
    <n v="0"/>
    <e v="#VALUE!"/>
    <n v="0"/>
    <n v="0"/>
    <n v="0"/>
    <n v="0"/>
    <n v="0"/>
  </r>
  <r>
    <n v="26"/>
    <m/>
    <m/>
    <m/>
    <m/>
    <x v="0"/>
    <m/>
    <s v=""/>
    <m/>
    <n v="0"/>
    <n v="0"/>
    <e v="#VALUE!"/>
    <n v="0"/>
    <n v="0"/>
    <n v="0"/>
    <n v="0"/>
    <n v="0"/>
  </r>
  <r>
    <n v="27"/>
    <m/>
    <m/>
    <m/>
    <m/>
    <x v="0"/>
    <m/>
    <s v=""/>
    <m/>
    <n v="0"/>
    <n v="0"/>
    <e v="#VALUE!"/>
    <n v="0"/>
    <n v="0"/>
    <n v="0"/>
    <n v="0"/>
    <n v="0"/>
  </r>
  <r>
    <n v="28"/>
    <m/>
    <m/>
    <m/>
    <m/>
    <x v="0"/>
    <m/>
    <s v=""/>
    <m/>
    <n v="0"/>
    <n v="0"/>
    <e v="#VALUE!"/>
    <n v="0"/>
    <n v="0"/>
    <n v="0"/>
    <n v="0"/>
    <n v="0"/>
  </r>
  <r>
    <n v="29"/>
    <m/>
    <m/>
    <m/>
    <m/>
    <x v="0"/>
    <m/>
    <s v=""/>
    <m/>
    <n v="0"/>
    <n v="0"/>
    <e v="#VALUE!"/>
    <n v="0"/>
    <n v="0"/>
    <n v="0"/>
    <n v="0"/>
    <n v="0"/>
  </r>
  <r>
    <n v="30"/>
    <m/>
    <m/>
    <m/>
    <m/>
    <x v="0"/>
    <m/>
    <s v=""/>
    <m/>
    <n v="0"/>
    <n v="0"/>
    <e v="#VALUE!"/>
    <n v="0"/>
    <n v="0"/>
    <n v="0"/>
    <n v="0"/>
    <n v="0"/>
  </r>
  <r>
    <n v="31"/>
    <m/>
    <m/>
    <m/>
    <m/>
    <x v="0"/>
    <m/>
    <s v=""/>
    <m/>
    <n v="0"/>
    <n v="0"/>
    <e v="#VALUE!"/>
    <n v="0"/>
    <n v="0"/>
    <n v="0"/>
    <n v="0"/>
    <n v="0"/>
  </r>
  <r>
    <n v="32"/>
    <m/>
    <m/>
    <m/>
    <m/>
    <x v="0"/>
    <m/>
    <s v=""/>
    <m/>
    <n v="0"/>
    <n v="0"/>
    <e v="#VALUE!"/>
    <n v="0"/>
    <n v="0"/>
    <n v="0"/>
    <n v="0"/>
    <n v="0"/>
  </r>
  <r>
    <n v="33"/>
    <m/>
    <m/>
    <m/>
    <m/>
    <x v="0"/>
    <m/>
    <s v=""/>
    <m/>
    <n v="0"/>
    <n v="0"/>
    <e v="#VALUE!"/>
    <n v="0"/>
    <n v="0"/>
    <n v="0"/>
    <n v="0"/>
    <n v="0"/>
  </r>
  <r>
    <n v="34"/>
    <m/>
    <m/>
    <m/>
    <m/>
    <x v="0"/>
    <m/>
    <s v=""/>
    <m/>
    <n v="0"/>
    <n v="0"/>
    <e v="#VALUE!"/>
    <n v="0"/>
    <n v="0"/>
    <n v="0"/>
    <n v="0"/>
    <n v="0"/>
  </r>
  <r>
    <n v="35"/>
    <m/>
    <m/>
    <m/>
    <m/>
    <x v="0"/>
    <m/>
    <s v=""/>
    <m/>
    <n v="0"/>
    <n v="0"/>
    <e v="#VALUE!"/>
    <n v="0"/>
    <n v="0"/>
    <n v="0"/>
    <n v="0"/>
    <n v="0"/>
  </r>
  <r>
    <n v="36"/>
    <m/>
    <m/>
    <m/>
    <m/>
    <x v="0"/>
    <m/>
    <s v=""/>
    <m/>
    <n v="0"/>
    <n v="0"/>
    <e v="#VALUE!"/>
    <n v="0"/>
    <n v="0"/>
    <n v="0"/>
    <n v="0"/>
    <n v="0"/>
  </r>
  <r>
    <n v="37"/>
    <m/>
    <m/>
    <m/>
    <m/>
    <x v="0"/>
    <m/>
    <s v=""/>
    <m/>
    <n v="0"/>
    <n v="0"/>
    <e v="#VALUE!"/>
    <n v="0"/>
    <n v="0"/>
    <n v="0"/>
    <n v="0"/>
    <n v="0"/>
  </r>
  <r>
    <n v="38"/>
    <m/>
    <m/>
    <m/>
    <m/>
    <x v="0"/>
    <m/>
    <s v=""/>
    <m/>
    <n v="0"/>
    <n v="0"/>
    <e v="#VALUE!"/>
    <n v="0"/>
    <n v="0"/>
    <n v="0"/>
    <n v="0"/>
    <n v="0"/>
  </r>
  <r>
    <n v="39"/>
    <m/>
    <m/>
    <m/>
    <m/>
    <x v="0"/>
    <m/>
    <s v=""/>
    <m/>
    <n v="0"/>
    <n v="0"/>
    <e v="#VALUE!"/>
    <n v="0"/>
    <n v="0"/>
    <n v="0"/>
    <n v="0"/>
    <n v="0"/>
  </r>
  <r>
    <n v="40"/>
    <m/>
    <m/>
    <m/>
    <m/>
    <x v="0"/>
    <m/>
    <s v=""/>
    <m/>
    <n v="0"/>
    <n v="0"/>
    <e v="#VALUE!"/>
    <n v="0"/>
    <n v="0"/>
    <n v="0"/>
    <n v="0"/>
    <n v="0"/>
  </r>
  <r>
    <n v="41"/>
    <m/>
    <m/>
    <m/>
    <m/>
    <x v="0"/>
    <m/>
    <s v=""/>
    <m/>
    <n v="0"/>
    <n v="0"/>
    <e v="#VALUE!"/>
    <n v="0"/>
    <n v="0"/>
    <n v="0"/>
    <n v="0"/>
    <n v="0"/>
  </r>
  <r>
    <n v="42"/>
    <m/>
    <m/>
    <m/>
    <m/>
    <x v="0"/>
    <m/>
    <s v=""/>
    <m/>
    <n v="0"/>
    <n v="0"/>
    <e v="#VALUE!"/>
    <n v="0"/>
    <n v="0"/>
    <n v="0"/>
    <n v="0"/>
    <n v="0"/>
  </r>
  <r>
    <n v="43"/>
    <m/>
    <m/>
    <m/>
    <m/>
    <x v="0"/>
    <m/>
    <s v=""/>
    <m/>
    <n v="0"/>
    <n v="0"/>
    <e v="#VALUE!"/>
    <n v="0"/>
    <n v="0"/>
    <n v="0"/>
    <n v="0"/>
    <n v="0"/>
  </r>
  <r>
    <n v="44"/>
    <m/>
    <m/>
    <m/>
    <m/>
    <x v="0"/>
    <m/>
    <s v=""/>
    <m/>
    <n v="0"/>
    <n v="0"/>
    <e v="#VALUE!"/>
    <n v="0"/>
    <n v="0"/>
    <n v="0"/>
    <n v="0"/>
    <n v="0"/>
  </r>
  <r>
    <n v="45"/>
    <m/>
    <m/>
    <m/>
    <m/>
    <x v="0"/>
    <m/>
    <s v=""/>
    <m/>
    <n v="0"/>
    <n v="0"/>
    <e v="#VALUE!"/>
    <n v="0"/>
    <n v="0"/>
    <n v="0"/>
    <n v="0"/>
    <n v="0"/>
  </r>
  <r>
    <n v="46"/>
    <m/>
    <m/>
    <m/>
    <m/>
    <x v="0"/>
    <m/>
    <s v=""/>
    <m/>
    <n v="0"/>
    <n v="0"/>
    <e v="#VALUE!"/>
    <n v="0"/>
    <n v="0"/>
    <n v="0"/>
    <n v="0"/>
    <n v="0"/>
  </r>
  <r>
    <n v="47"/>
    <m/>
    <m/>
    <m/>
    <m/>
    <x v="0"/>
    <m/>
    <s v=""/>
    <m/>
    <n v="0"/>
    <n v="0"/>
    <e v="#VALUE!"/>
    <n v="0"/>
    <n v="0"/>
    <n v="0"/>
    <n v="0"/>
    <n v="0"/>
  </r>
  <r>
    <n v="48"/>
    <m/>
    <m/>
    <m/>
    <m/>
    <x v="0"/>
    <m/>
    <s v=""/>
    <m/>
    <n v="0"/>
    <n v="0"/>
    <e v="#VALUE!"/>
    <n v="0"/>
    <n v="0"/>
    <n v="0"/>
    <n v="0"/>
    <n v="0"/>
  </r>
  <r>
    <n v="49"/>
    <m/>
    <m/>
    <m/>
    <m/>
    <x v="0"/>
    <m/>
    <s v=""/>
    <m/>
    <n v="0"/>
    <n v="0"/>
    <e v="#VALUE!"/>
    <n v="0"/>
    <n v="0"/>
    <n v="0"/>
    <n v="0"/>
    <n v="0"/>
  </r>
  <r>
    <n v="50"/>
    <m/>
    <m/>
    <m/>
    <m/>
    <x v="0"/>
    <m/>
    <s v=""/>
    <m/>
    <n v="0"/>
    <n v="0"/>
    <e v="#VALUE!"/>
    <n v="0"/>
    <n v="0"/>
    <n v="0"/>
    <n v="0"/>
    <n v="0"/>
  </r>
  <r>
    <n v="51"/>
    <m/>
    <m/>
    <m/>
    <m/>
    <x v="0"/>
    <m/>
    <s v=""/>
    <m/>
    <n v="0"/>
    <n v="0"/>
    <e v="#VALUE!"/>
    <n v="0"/>
    <n v="0"/>
    <n v="0"/>
    <n v="0"/>
    <n v="0"/>
  </r>
  <r>
    <n v="52"/>
    <m/>
    <m/>
    <m/>
    <m/>
    <x v="0"/>
    <m/>
    <s v=""/>
    <m/>
    <n v="0"/>
    <n v="0"/>
    <e v="#VALUE!"/>
    <n v="0"/>
    <n v="0"/>
    <n v="0"/>
    <n v="0"/>
    <n v="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Dashrathlal"/>
    <m/>
    <n v="19.8"/>
    <m/>
    <m/>
    <n v="21.49"/>
    <n v="328"/>
    <n v="6494.4000000000005"/>
    <n v="6494.4000000000005"/>
    <n v="554.31999999999925"/>
    <n v="8.5353535353535237E-2"/>
    <n v="0.34"/>
    <n v="111.52000000000001"/>
    <n v="0"/>
    <n v="0"/>
  </r>
  <r>
    <x v="1"/>
    <s v="Dashrathlal"/>
    <m/>
    <n v="1598.5"/>
    <m/>
    <m/>
    <n v="1674.8"/>
    <n v="17"/>
    <n v="27174.5"/>
    <n v="27174.5"/>
    <n v="1297.0999999999992"/>
    <n v="4.7732248983421932E-2"/>
    <n v="4.5"/>
    <n v="76.5"/>
    <n v="0"/>
    <n v="0"/>
  </r>
  <r>
    <x v="2"/>
    <s v="Dashrathlal"/>
    <m/>
    <n v="763.9"/>
    <m/>
    <m/>
    <n v="763"/>
    <n v="11"/>
    <n v="8402.9"/>
    <n v="8402.9"/>
    <n v="-9.8999999999997499"/>
    <n v="-1.1781646812409703E-3"/>
    <n v="1.2"/>
    <n v="13.2"/>
    <n v="0"/>
    <n v="0"/>
  </r>
  <r>
    <x v="3"/>
    <s v="Dashrathlal"/>
    <m/>
    <n v="31.75"/>
    <m/>
    <m/>
    <n v="31.69"/>
    <n v="251"/>
    <n v="7969.25"/>
    <n v="7969.25"/>
    <n v="-15.059999999999679"/>
    <n v="-1.8897637795275187E-3"/>
    <n v="-0.12"/>
    <n v="-30.119999999999997"/>
    <n v="0"/>
    <n v="0"/>
  </r>
  <r>
    <x v="4"/>
    <s v="Dashrathlal"/>
    <m/>
    <n v="151.87"/>
    <m/>
    <m/>
    <n v="203.12"/>
    <n v="47"/>
    <n v="7137.89"/>
    <n v="7137.89"/>
    <n v="2408.75"/>
    <n v="0.33745966945413841"/>
    <n v="1.84"/>
    <n v="86.48"/>
    <n v="0"/>
    <n v="0"/>
  </r>
  <r>
    <x v="5"/>
    <s v="Dashrathlal"/>
    <m/>
    <n v="116.64"/>
    <m/>
    <m/>
    <n v="116.72"/>
    <n v="147"/>
    <n v="17146.080000000002"/>
    <n v="17146.080000000002"/>
    <n v="11.759999999999749"/>
    <n v="6.8587105624141203E-4"/>
    <n v="0.57999999999999996"/>
    <n v="85.259999999999991"/>
    <n v="0"/>
    <n v="0"/>
  </r>
  <r>
    <x v="6"/>
    <s v="Dashrathlal"/>
    <m/>
    <n v="80.69"/>
    <m/>
    <m/>
    <n v="84.9"/>
    <n v="25"/>
    <n v="2017.25"/>
    <n v="2017.25"/>
    <n v="105.2500000000002"/>
    <n v="5.2174990705168026E-2"/>
    <n v="-0.45"/>
    <n v="-11.25"/>
    <n v="0"/>
    <n v="0"/>
  </r>
  <r>
    <x v="7"/>
    <s v="Dashrathlal"/>
    <m/>
    <n v="1202.55"/>
    <m/>
    <m/>
    <n v="1170.2"/>
    <n v="5"/>
    <n v="6012.75"/>
    <n v="6012.75"/>
    <n v="-161.74999999999955"/>
    <n v="-2.6901168350588259E-2"/>
    <n v="-10"/>
    <n v="-50"/>
    <n v="0"/>
    <n v="0"/>
  </r>
  <r>
    <x v="8"/>
    <s v="Dashrathlal"/>
    <m/>
    <n v="37.770000000000003"/>
    <m/>
    <m/>
    <n v="40.99"/>
    <n v="80"/>
    <n v="3021.6000000000004"/>
    <n v="3021.6000000000004"/>
    <n v="257.59999999999991"/>
    <n v="8.5252846174212304E-2"/>
    <n v="-0.34"/>
    <n v="-27.200000000000003"/>
    <n v="0"/>
    <n v="0"/>
  </r>
  <r>
    <x v="9"/>
    <s v="Dashrathlal"/>
    <m/>
    <n v="33.909999999999997"/>
    <m/>
    <m/>
    <n v="1.08"/>
    <n v="200"/>
    <n v="6781.9999999999991"/>
    <n v="6781.9999999999991"/>
    <n v="-6566"/>
    <n v="-0.96815098790917142"/>
    <n v="-0.05"/>
    <n v="-10"/>
    <n v="0"/>
    <n v="0"/>
  </r>
  <r>
    <x v="10"/>
    <s v="Dashrathlal"/>
    <m/>
    <n v="1154.8"/>
    <m/>
    <m/>
    <n v="1185.2"/>
    <n v="12"/>
    <n v="13857.599999999999"/>
    <n v="13857.599999999999"/>
    <n v="364.80000000000109"/>
    <n v="2.6324904745410542E-2"/>
    <n v="6.4"/>
    <n v="76.800000000000011"/>
    <n v="0"/>
    <n v="0"/>
  </r>
  <r>
    <x v="11"/>
    <s v="Dashrathlal"/>
    <m/>
    <n v="179.29"/>
    <m/>
    <m/>
    <n v="170.82"/>
    <n v="10"/>
    <n v="1792.8999999999999"/>
    <n v="1792.8999999999999"/>
    <n v="-84.699999999999989"/>
    <n v="-4.7241898600033458E-2"/>
    <n v="1.6"/>
    <n v="16"/>
    <n v="0"/>
    <n v="0"/>
  </r>
  <r>
    <x v="12"/>
    <s v="Dashrathlal"/>
    <m/>
    <n v="203.32"/>
    <m/>
    <m/>
    <n v="425.5"/>
    <n v="1"/>
    <n v="203.32"/>
    <n v="203.32"/>
    <n v="222.18"/>
    <n v="1.0927601809954752"/>
    <n v="13.8"/>
    <n v="13.8"/>
    <n v="0"/>
    <n v="0"/>
  </r>
  <r>
    <x v="13"/>
    <s v="Dashrathlal"/>
    <m/>
    <n v="449.4"/>
    <m/>
    <m/>
    <n v="362.6"/>
    <n v="1"/>
    <n v="449.4"/>
    <n v="449.4"/>
    <n v="-86.799999999999955"/>
    <n v="-0.19314641744548278"/>
    <n v="3.45"/>
    <n v="3.45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  <r>
    <x v="14"/>
    <m/>
    <m/>
    <m/>
    <m/>
    <m/>
    <s v=""/>
    <m/>
    <n v="0"/>
    <n v="0"/>
    <e v="#VALUE!"/>
    <n v="0"/>
    <n v="0"/>
    <n v="0"/>
    <n v="0"/>
    <n v="0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m/>
    <n v="19.8"/>
    <m/>
    <m/>
    <n v="21.49"/>
    <n v="328"/>
    <n v="6494.4000000000005"/>
    <n v="6494.4000000000005"/>
    <n v="554.31999999999925"/>
    <n v="8.5353535353535237E-2"/>
    <n v="0.34"/>
    <n v="111.52000000000001"/>
    <n v="0"/>
  </r>
  <r>
    <n v="2"/>
    <x v="1"/>
    <x v="0"/>
    <m/>
    <n v="1598.5"/>
    <m/>
    <m/>
    <n v="1674.8"/>
    <n v="17"/>
    <n v="27174.5"/>
    <n v="27174.5"/>
    <n v="1297.0999999999992"/>
    <n v="4.7732248983421932E-2"/>
    <n v="4.5"/>
    <n v="76.5"/>
    <n v="0"/>
  </r>
  <r>
    <n v="3"/>
    <x v="2"/>
    <x v="0"/>
    <m/>
    <n v="763.9"/>
    <m/>
    <m/>
    <n v="763"/>
    <n v="11"/>
    <n v="8402.9"/>
    <n v="8402.9"/>
    <n v="-9.8999999999997499"/>
    <n v="-1.1781646812409703E-3"/>
    <n v="1.2"/>
    <n v="13.2"/>
    <n v="0"/>
  </r>
  <r>
    <n v="4"/>
    <x v="3"/>
    <x v="0"/>
    <m/>
    <n v="31.75"/>
    <m/>
    <m/>
    <n v="31.69"/>
    <n v="251"/>
    <n v="7969.25"/>
    <n v="7969.25"/>
    <n v="-15.059999999999679"/>
    <n v="-1.8897637795275187E-3"/>
    <n v="-0.12"/>
    <n v="-30.119999999999997"/>
    <n v="0"/>
  </r>
  <r>
    <n v="5"/>
    <x v="4"/>
    <x v="0"/>
    <m/>
    <n v="151.87"/>
    <m/>
    <m/>
    <n v="203.12"/>
    <n v="47"/>
    <n v="7137.89"/>
    <n v="7137.89"/>
    <n v="2408.75"/>
    <n v="0.33745966945413841"/>
    <n v="1.84"/>
    <n v="86.48"/>
    <n v="0"/>
  </r>
  <r>
    <n v="6"/>
    <x v="5"/>
    <x v="0"/>
    <m/>
    <n v="116.64"/>
    <m/>
    <m/>
    <n v="116.72"/>
    <n v="147"/>
    <n v="17146.080000000002"/>
    <n v="17146.080000000002"/>
    <n v="11.759999999999749"/>
    <n v="6.8587105624141203E-4"/>
    <n v="0.57999999999999996"/>
    <n v="85.259999999999991"/>
    <n v="0"/>
  </r>
  <r>
    <n v="7"/>
    <x v="6"/>
    <x v="0"/>
    <m/>
    <n v="80.69"/>
    <m/>
    <m/>
    <n v="84.9"/>
    <n v="25"/>
    <n v="2017.25"/>
    <n v="2017.25"/>
    <n v="105.2500000000002"/>
    <n v="5.2174990705168026E-2"/>
    <n v="-0.45"/>
    <n v="-11.25"/>
    <n v="0"/>
  </r>
  <r>
    <n v="8"/>
    <x v="7"/>
    <x v="0"/>
    <m/>
    <n v="1202.55"/>
    <m/>
    <m/>
    <n v="1170.2"/>
    <n v="5"/>
    <n v="6012.75"/>
    <n v="6012.75"/>
    <n v="-161.74999999999955"/>
    <n v="-2.6901168350588259E-2"/>
    <n v="-10"/>
    <n v="-50"/>
    <n v="0"/>
  </r>
  <r>
    <n v="9"/>
    <x v="8"/>
    <x v="0"/>
    <m/>
    <n v="37.770000000000003"/>
    <m/>
    <m/>
    <n v="40.99"/>
    <n v="80"/>
    <n v="3021.6000000000004"/>
    <n v="3021.6000000000004"/>
    <n v="257.59999999999991"/>
    <n v="8.5252846174212304E-2"/>
    <n v="-0.34"/>
    <n v="-27.200000000000003"/>
    <n v="0"/>
  </r>
  <r>
    <n v="10"/>
    <x v="9"/>
    <x v="0"/>
    <m/>
    <n v="33.909999999999997"/>
    <m/>
    <m/>
    <n v="1.08"/>
    <n v="200"/>
    <n v="6781.9999999999991"/>
    <n v="6781.9999999999991"/>
    <n v="-6566"/>
    <n v="-0.96815098790917142"/>
    <n v="-0.05"/>
    <n v="-10"/>
    <n v="0"/>
  </r>
  <r>
    <n v="11"/>
    <x v="10"/>
    <x v="0"/>
    <m/>
    <n v="1154.8"/>
    <m/>
    <m/>
    <n v="1185.2"/>
    <n v="12"/>
    <n v="13857.599999999999"/>
    <n v="13857.599999999999"/>
    <n v="364.80000000000109"/>
    <n v="2.6324904745410542E-2"/>
    <n v="6.4"/>
    <n v="76.800000000000011"/>
    <n v="0"/>
  </r>
  <r>
    <n v="12"/>
    <x v="11"/>
    <x v="0"/>
    <m/>
    <n v="179.29"/>
    <m/>
    <m/>
    <n v="170.82"/>
    <n v="10"/>
    <n v="1792.8999999999999"/>
    <n v="1792.8999999999999"/>
    <n v="-84.699999999999989"/>
    <n v="-4.7241898600033458E-2"/>
    <n v="1.6"/>
    <n v="16"/>
    <n v="0"/>
  </r>
  <r>
    <n v="13"/>
    <x v="12"/>
    <x v="0"/>
    <m/>
    <n v="203.32"/>
    <m/>
    <m/>
    <n v="425.5"/>
    <n v="1"/>
    <n v="203.32"/>
    <n v="203.32"/>
    <n v="222.18"/>
    <n v="1.0927601809954752"/>
    <n v="13.8"/>
    <n v="13.8"/>
    <n v="0"/>
  </r>
  <r>
    <n v="14"/>
    <x v="13"/>
    <x v="0"/>
    <m/>
    <n v="449.4"/>
    <m/>
    <m/>
    <n v="362.6"/>
    <n v="1"/>
    <n v="449.4"/>
    <n v="449.4"/>
    <n v="-86.799999999999955"/>
    <n v="-0.19314641744548278"/>
    <n v="3.45"/>
    <n v="3.45"/>
    <n v="0"/>
  </r>
  <r>
    <n v="15"/>
    <x v="14"/>
    <x v="1"/>
    <m/>
    <m/>
    <m/>
    <m/>
    <s v=""/>
    <m/>
    <n v="0"/>
    <n v="0"/>
    <e v="#VALUE!"/>
    <n v="0"/>
    <n v="0"/>
    <n v="0"/>
    <n v="0"/>
  </r>
  <r>
    <n v="16"/>
    <x v="14"/>
    <x v="1"/>
    <m/>
    <m/>
    <m/>
    <m/>
    <s v=""/>
    <m/>
    <n v="0"/>
    <n v="0"/>
    <e v="#VALUE!"/>
    <n v="0"/>
    <n v="0"/>
    <n v="0"/>
    <n v="0"/>
  </r>
  <r>
    <n v="17"/>
    <x v="14"/>
    <x v="1"/>
    <m/>
    <m/>
    <m/>
    <m/>
    <s v=""/>
    <m/>
    <n v="0"/>
    <n v="0"/>
    <e v="#VALUE!"/>
    <n v="0"/>
    <n v="0"/>
    <n v="0"/>
    <n v="0"/>
  </r>
  <r>
    <n v="18"/>
    <x v="14"/>
    <x v="1"/>
    <m/>
    <m/>
    <m/>
    <m/>
    <s v=""/>
    <m/>
    <n v="0"/>
    <n v="0"/>
    <e v="#VALUE!"/>
    <n v="0"/>
    <n v="0"/>
    <n v="0"/>
    <n v="0"/>
  </r>
  <r>
    <n v="19"/>
    <x v="14"/>
    <x v="1"/>
    <m/>
    <m/>
    <m/>
    <m/>
    <s v=""/>
    <m/>
    <n v="0"/>
    <n v="0"/>
    <e v="#VALUE!"/>
    <n v="0"/>
    <n v="0"/>
    <n v="0"/>
    <n v="0"/>
  </r>
  <r>
    <n v="20"/>
    <x v="14"/>
    <x v="1"/>
    <m/>
    <m/>
    <m/>
    <m/>
    <s v=""/>
    <m/>
    <n v="0"/>
    <n v="0"/>
    <e v="#VALUE!"/>
    <n v="0"/>
    <n v="0"/>
    <n v="0"/>
    <n v="0"/>
  </r>
  <r>
    <n v="21"/>
    <x v="14"/>
    <x v="1"/>
    <m/>
    <m/>
    <m/>
    <m/>
    <s v=""/>
    <m/>
    <n v="0"/>
    <n v="0"/>
    <e v="#VALUE!"/>
    <n v="0"/>
    <n v="0"/>
    <n v="0"/>
    <n v="0"/>
  </r>
  <r>
    <n v="22"/>
    <x v="14"/>
    <x v="1"/>
    <m/>
    <m/>
    <m/>
    <m/>
    <s v=""/>
    <m/>
    <n v="0"/>
    <n v="0"/>
    <e v="#VALUE!"/>
    <n v="0"/>
    <n v="0"/>
    <n v="0"/>
    <n v="0"/>
  </r>
  <r>
    <n v="23"/>
    <x v="14"/>
    <x v="1"/>
    <m/>
    <m/>
    <m/>
    <m/>
    <s v=""/>
    <m/>
    <n v="0"/>
    <n v="0"/>
    <e v="#VALUE!"/>
    <n v="0"/>
    <n v="0"/>
    <n v="0"/>
    <n v="0"/>
  </r>
  <r>
    <n v="24"/>
    <x v="14"/>
    <x v="1"/>
    <m/>
    <m/>
    <m/>
    <m/>
    <s v=""/>
    <m/>
    <n v="0"/>
    <n v="0"/>
    <e v="#VALUE!"/>
    <n v="0"/>
    <n v="0"/>
    <n v="0"/>
    <n v="0"/>
  </r>
  <r>
    <n v="25"/>
    <x v="14"/>
    <x v="1"/>
    <m/>
    <m/>
    <m/>
    <m/>
    <s v=""/>
    <m/>
    <n v="0"/>
    <n v="0"/>
    <e v="#VALUE!"/>
    <n v="0"/>
    <n v="0"/>
    <n v="0"/>
    <n v="0"/>
  </r>
  <r>
    <n v="26"/>
    <x v="14"/>
    <x v="1"/>
    <m/>
    <m/>
    <m/>
    <m/>
    <s v=""/>
    <m/>
    <n v="0"/>
    <n v="0"/>
    <e v="#VALUE!"/>
    <n v="0"/>
    <n v="0"/>
    <n v="0"/>
    <n v="0"/>
  </r>
  <r>
    <n v="27"/>
    <x v="14"/>
    <x v="1"/>
    <m/>
    <m/>
    <m/>
    <m/>
    <s v=""/>
    <m/>
    <n v="0"/>
    <n v="0"/>
    <e v="#VALUE!"/>
    <n v="0"/>
    <n v="0"/>
    <n v="0"/>
    <n v="0"/>
  </r>
  <r>
    <n v="28"/>
    <x v="14"/>
    <x v="1"/>
    <m/>
    <m/>
    <m/>
    <m/>
    <s v=""/>
    <m/>
    <n v="0"/>
    <n v="0"/>
    <e v="#VALUE!"/>
    <n v="0"/>
    <n v="0"/>
    <n v="0"/>
    <n v="0"/>
  </r>
  <r>
    <n v="29"/>
    <x v="14"/>
    <x v="1"/>
    <m/>
    <m/>
    <m/>
    <m/>
    <s v=""/>
    <m/>
    <n v="0"/>
    <n v="0"/>
    <e v="#VALUE!"/>
    <n v="0"/>
    <n v="0"/>
    <n v="0"/>
    <n v="0"/>
  </r>
  <r>
    <n v="30"/>
    <x v="14"/>
    <x v="1"/>
    <m/>
    <m/>
    <m/>
    <m/>
    <s v=""/>
    <m/>
    <n v="0"/>
    <n v="0"/>
    <e v="#VALUE!"/>
    <n v="0"/>
    <n v="0"/>
    <n v="0"/>
    <n v="0"/>
  </r>
  <r>
    <n v="31"/>
    <x v="14"/>
    <x v="1"/>
    <m/>
    <m/>
    <m/>
    <m/>
    <s v=""/>
    <m/>
    <n v="0"/>
    <n v="0"/>
    <e v="#VALUE!"/>
    <n v="0"/>
    <n v="0"/>
    <n v="0"/>
    <n v="0"/>
  </r>
  <r>
    <n v="32"/>
    <x v="14"/>
    <x v="1"/>
    <m/>
    <m/>
    <m/>
    <m/>
    <s v=""/>
    <m/>
    <n v="0"/>
    <n v="0"/>
    <e v="#VALUE!"/>
    <n v="0"/>
    <n v="0"/>
    <n v="0"/>
    <n v="0"/>
  </r>
  <r>
    <n v="33"/>
    <x v="14"/>
    <x v="1"/>
    <m/>
    <m/>
    <m/>
    <m/>
    <s v=""/>
    <m/>
    <n v="0"/>
    <n v="0"/>
    <e v="#VALUE!"/>
    <n v="0"/>
    <n v="0"/>
    <n v="0"/>
    <n v="0"/>
  </r>
  <r>
    <n v="34"/>
    <x v="14"/>
    <x v="1"/>
    <m/>
    <m/>
    <m/>
    <m/>
    <s v=""/>
    <m/>
    <n v="0"/>
    <n v="0"/>
    <e v="#VALUE!"/>
    <n v="0"/>
    <n v="0"/>
    <n v="0"/>
    <n v="0"/>
  </r>
  <r>
    <n v="35"/>
    <x v="14"/>
    <x v="1"/>
    <m/>
    <m/>
    <m/>
    <m/>
    <s v=""/>
    <m/>
    <n v="0"/>
    <n v="0"/>
    <e v="#VALUE!"/>
    <n v="0"/>
    <n v="0"/>
    <n v="0"/>
    <n v="0"/>
  </r>
  <r>
    <n v="36"/>
    <x v="14"/>
    <x v="1"/>
    <m/>
    <m/>
    <m/>
    <m/>
    <s v=""/>
    <m/>
    <n v="0"/>
    <n v="0"/>
    <e v="#VALUE!"/>
    <n v="0"/>
    <n v="0"/>
    <n v="0"/>
    <n v="0"/>
  </r>
  <r>
    <n v="37"/>
    <x v="14"/>
    <x v="1"/>
    <m/>
    <m/>
    <m/>
    <m/>
    <s v=""/>
    <m/>
    <n v="0"/>
    <n v="0"/>
    <e v="#VALUE!"/>
    <n v="0"/>
    <n v="0"/>
    <n v="0"/>
    <n v="0"/>
  </r>
  <r>
    <n v="38"/>
    <x v="14"/>
    <x v="1"/>
    <m/>
    <m/>
    <m/>
    <m/>
    <s v=""/>
    <m/>
    <n v="0"/>
    <n v="0"/>
    <e v="#VALUE!"/>
    <n v="0"/>
    <n v="0"/>
    <n v="0"/>
    <n v="0"/>
  </r>
  <r>
    <n v="39"/>
    <x v="14"/>
    <x v="1"/>
    <m/>
    <m/>
    <m/>
    <m/>
    <s v=""/>
    <m/>
    <n v="0"/>
    <n v="0"/>
    <e v="#VALUE!"/>
    <n v="0"/>
    <n v="0"/>
    <n v="0"/>
    <n v="0"/>
  </r>
  <r>
    <n v="40"/>
    <x v="14"/>
    <x v="1"/>
    <m/>
    <m/>
    <m/>
    <m/>
    <s v=""/>
    <m/>
    <n v="0"/>
    <n v="0"/>
    <e v="#VALUE!"/>
    <n v="0"/>
    <n v="0"/>
    <n v="0"/>
    <n v="0"/>
  </r>
  <r>
    <n v="41"/>
    <x v="14"/>
    <x v="1"/>
    <m/>
    <m/>
    <m/>
    <m/>
    <s v=""/>
    <m/>
    <n v="0"/>
    <n v="0"/>
    <e v="#VALUE!"/>
    <n v="0"/>
    <n v="0"/>
    <n v="0"/>
    <n v="0"/>
  </r>
  <r>
    <n v="42"/>
    <x v="14"/>
    <x v="1"/>
    <m/>
    <m/>
    <m/>
    <m/>
    <s v=""/>
    <m/>
    <n v="0"/>
    <n v="0"/>
    <e v="#VALUE!"/>
    <n v="0"/>
    <n v="0"/>
    <n v="0"/>
    <n v="0"/>
  </r>
  <r>
    <n v="43"/>
    <x v="14"/>
    <x v="1"/>
    <m/>
    <m/>
    <m/>
    <m/>
    <s v=""/>
    <m/>
    <n v="0"/>
    <n v="0"/>
    <e v="#VALUE!"/>
    <n v="0"/>
    <n v="0"/>
    <n v="0"/>
    <n v="0"/>
  </r>
  <r>
    <n v="44"/>
    <x v="14"/>
    <x v="1"/>
    <m/>
    <m/>
    <m/>
    <m/>
    <s v=""/>
    <m/>
    <n v="0"/>
    <n v="0"/>
    <e v="#VALUE!"/>
    <n v="0"/>
    <n v="0"/>
    <n v="0"/>
    <n v="0"/>
  </r>
  <r>
    <n v="45"/>
    <x v="14"/>
    <x v="1"/>
    <m/>
    <m/>
    <m/>
    <m/>
    <s v=""/>
    <m/>
    <n v="0"/>
    <n v="0"/>
    <e v="#VALUE!"/>
    <n v="0"/>
    <n v="0"/>
    <n v="0"/>
    <n v="0"/>
  </r>
  <r>
    <n v="46"/>
    <x v="14"/>
    <x v="1"/>
    <m/>
    <m/>
    <m/>
    <m/>
    <s v=""/>
    <m/>
    <n v="0"/>
    <n v="0"/>
    <e v="#VALUE!"/>
    <n v="0"/>
    <n v="0"/>
    <n v="0"/>
    <n v="0"/>
  </r>
  <r>
    <n v="47"/>
    <x v="14"/>
    <x v="1"/>
    <m/>
    <m/>
    <m/>
    <m/>
    <s v=""/>
    <m/>
    <n v="0"/>
    <n v="0"/>
    <e v="#VALUE!"/>
    <n v="0"/>
    <n v="0"/>
    <n v="0"/>
    <n v="0"/>
  </r>
  <r>
    <n v="48"/>
    <x v="14"/>
    <x v="1"/>
    <m/>
    <m/>
    <m/>
    <m/>
    <s v=""/>
    <m/>
    <n v="0"/>
    <n v="0"/>
    <e v="#VALUE!"/>
    <n v="0"/>
    <n v="0"/>
    <n v="0"/>
    <n v="0"/>
  </r>
  <r>
    <n v="49"/>
    <x v="14"/>
    <x v="1"/>
    <m/>
    <m/>
    <m/>
    <m/>
    <s v=""/>
    <m/>
    <n v="0"/>
    <n v="0"/>
    <e v="#VALUE!"/>
    <n v="0"/>
    <n v="0"/>
    <n v="0"/>
    <n v="0"/>
  </r>
  <r>
    <n v="50"/>
    <x v="14"/>
    <x v="1"/>
    <m/>
    <m/>
    <m/>
    <m/>
    <s v=""/>
    <m/>
    <n v="0"/>
    <n v="0"/>
    <e v="#VALUE!"/>
    <n v="0"/>
    <n v="0"/>
    <n v="0"/>
    <n v="0"/>
  </r>
  <r>
    <n v="51"/>
    <x v="14"/>
    <x v="1"/>
    <m/>
    <m/>
    <m/>
    <m/>
    <s v=""/>
    <m/>
    <n v="0"/>
    <n v="0"/>
    <e v="#VALUE!"/>
    <n v="0"/>
    <n v="0"/>
    <n v="0"/>
    <n v="0"/>
  </r>
  <r>
    <n v="52"/>
    <x v="14"/>
    <x v="1"/>
    <m/>
    <m/>
    <m/>
    <m/>
    <s v=""/>
    <m/>
    <n v="0"/>
    <n v="0"/>
    <e v="#VALUE!"/>
    <n v="0"/>
    <n v="0"/>
    <n v="0"/>
    <n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s v="ANGELONE"/>
    <s v="DHAN"/>
    <d v="2025-01-01T00:00:00"/>
    <n v="3006.15"/>
    <x v="0"/>
    <m/>
    <n v="2543.1999999999998"/>
    <n v="3"/>
    <n v="9018.4500000000007"/>
    <n v="9018.4500000000007"/>
    <n v="-1388.8500000000008"/>
    <n v="-0.15400096468905419"/>
    <n v="-38.4"/>
    <n v="-115.19999999999999"/>
    <n v="0"/>
    <n v="0"/>
  </r>
  <r>
    <n v="2"/>
    <s v="JIOFIN"/>
    <s v="DHAN"/>
    <d v="2025-05-14T00:00:00"/>
    <n v="267"/>
    <x v="0"/>
    <m/>
    <n v="298.5"/>
    <n v="18"/>
    <n v="4806"/>
    <n v="4806"/>
    <n v="567"/>
    <n v="0.11797752808988764"/>
    <n v="-0.25"/>
    <n v="-4.5"/>
    <n v="0"/>
    <n v="0"/>
  </r>
  <r>
    <n v="3"/>
    <s v="TMCV"/>
    <s v="DHAN"/>
    <d v="2025-05-20T00:00:00"/>
    <n v="366.5"/>
    <x v="0"/>
    <m/>
    <n v="425.5"/>
    <n v="6"/>
    <n v="2199"/>
    <n v="2199"/>
    <n v="354"/>
    <n v="0.16098226466575716"/>
    <n v="13.8"/>
    <n v="82.800000000000011"/>
    <n v="0"/>
    <n v="0"/>
  </r>
  <r>
    <n v="4"/>
    <s v="HINDZINC"/>
    <s v="ANGELONE"/>
    <d v="2025-06-05T00:00:00"/>
    <n v="475"/>
    <x v="1"/>
    <n v="446"/>
    <n v="610.20000000000005"/>
    <n v="30"/>
    <n v="14250"/>
    <n v="27630"/>
    <n v="0"/>
    <n v="0"/>
    <n v="0"/>
    <n v="0"/>
    <n v="-870"/>
    <n v="-6.1052631578947365E-2"/>
  </r>
  <r>
    <n v="5"/>
    <s v="IREDA"/>
    <s v="DHAN"/>
    <d v="2025-06-05T00:00:00"/>
    <n v="176.2"/>
    <x v="0"/>
    <n v="0"/>
    <n v="139"/>
    <n v="50"/>
    <n v="8810"/>
    <n v="8810"/>
    <n v="-1859.9999999999995"/>
    <n v="-0.21112372304199767"/>
    <n v="3.33"/>
    <n v="166.5"/>
    <n v="0"/>
    <n v="0"/>
  </r>
  <r>
    <n v="6"/>
    <s v="GODREJPROP"/>
    <s v="RAM"/>
    <d v="2025-06-03T00:00:00"/>
    <n v="2294.8000000000002"/>
    <x v="2"/>
    <n v="2302"/>
    <n v="2019"/>
    <n v="5"/>
    <n v="11474"/>
    <n v="22984"/>
    <n v="0"/>
    <n v="0"/>
    <n v="0"/>
    <n v="0"/>
    <n v="35.999999999999091"/>
    <n v="3.1375283249084093E-3"/>
  </r>
  <r>
    <n v="7"/>
    <s v="WIPRO"/>
    <s v="ANGELONE"/>
    <d v="2025-06-24T00:00:00"/>
    <n v="267.5"/>
    <x v="3"/>
    <n v="244.5"/>
    <n v="271.3"/>
    <n v="45"/>
    <n v="12037.5"/>
    <n v="23040"/>
    <n v="0"/>
    <n v="0"/>
    <n v="0"/>
    <n v="0"/>
    <n v="-1035"/>
    <n v="-8.5981308411214957E-2"/>
  </r>
  <r>
    <n v="8"/>
    <s v="CROMPTON"/>
    <s v="RAM"/>
    <d v="2025-06-27T00:00:00"/>
    <n v="359"/>
    <x v="4"/>
    <n v="335.6"/>
    <n v="259.10000000000002"/>
    <n v="33"/>
    <n v="11847"/>
    <n v="22921.8"/>
    <n v="0"/>
    <n v="0"/>
    <n v="0"/>
    <n v="0"/>
    <n v="-772.19999999999925"/>
    <n v="-6.5181058495821662E-2"/>
  </r>
  <r>
    <n v="9"/>
    <s v="PPLPHARMA"/>
    <s v="RAM"/>
    <d v="2025-07-16T00:00:00"/>
    <n v="218.1"/>
    <x v="3"/>
    <n v="190"/>
    <n v="177.85"/>
    <n v="40"/>
    <n v="8724"/>
    <n v="16324"/>
    <n v="0"/>
    <n v="0"/>
    <n v="0"/>
    <n v="0"/>
    <n v="-1123.9999999999998"/>
    <n v="-0.12883998165978908"/>
  </r>
  <r>
    <n v="10"/>
    <s v="JSWENERGY"/>
    <s v="RAM"/>
    <d v="2025-07-18T00:00:00"/>
    <n v="537.9"/>
    <x v="5"/>
    <n v="477.04"/>
    <n v="484.5"/>
    <n v="25"/>
    <n v="13447.5"/>
    <n v="25373.5"/>
    <n v="0"/>
    <n v="0"/>
    <n v="0"/>
    <n v="0"/>
    <n v="-1521.4999999999989"/>
    <n v="-0.1131437070087376"/>
  </r>
  <r>
    <n v="11"/>
    <s v="VOLTAS"/>
    <s v="RAM"/>
    <d v="2025-08-18T00:00:00"/>
    <n v="1402"/>
    <x v="0"/>
    <n v="0"/>
    <n v="1380"/>
    <n v="5"/>
    <n v="7010"/>
    <n v="7010"/>
    <n v="-110"/>
    <n v="-1.5691868758915834E-2"/>
    <n v="-8"/>
    <n v="-40"/>
    <n v="0"/>
    <n v="0"/>
  </r>
  <r>
    <n v="12"/>
    <s v="INDGN"/>
    <s v="RAM"/>
    <d v="2025-08-19T00:00:00"/>
    <n v="589.1"/>
    <x v="6"/>
    <n v="550"/>
    <n v="532"/>
    <n v="19"/>
    <n v="11192.9"/>
    <n v="21642.899999999998"/>
    <n v="0"/>
    <n v="0"/>
    <n v="0"/>
    <n v="0"/>
    <n v="-742.90000000000043"/>
    <n v="-6.6372432524189479E-2"/>
  </r>
  <r>
    <n v="13"/>
    <s v="TITAGARH"/>
    <s v="RAM"/>
    <d v="2025-10-08T00:00:00"/>
    <n v="920"/>
    <x v="0"/>
    <m/>
    <n v="835"/>
    <n v="11"/>
    <n v="10120"/>
    <n v="10120"/>
    <n v="-935"/>
    <n v="-9.2391304347826081E-2"/>
    <n v="18.5"/>
    <n v="203.5"/>
    <n v="0"/>
    <n v="0"/>
  </r>
  <r>
    <n v="14"/>
    <m/>
    <m/>
    <m/>
    <m/>
    <x v="0"/>
    <m/>
    <s v=""/>
    <m/>
    <n v="0"/>
    <n v="0"/>
    <e v="#VALUE!"/>
    <n v="0"/>
    <n v="0"/>
    <n v="0"/>
    <n v="0"/>
    <n v="0"/>
  </r>
  <r>
    <n v="15"/>
    <m/>
    <m/>
    <m/>
    <m/>
    <x v="0"/>
    <m/>
    <s v=""/>
    <m/>
    <n v="0"/>
    <n v="0"/>
    <e v="#VALUE!"/>
    <n v="0"/>
    <n v="0"/>
    <n v="0"/>
    <n v="0"/>
    <n v="0"/>
  </r>
  <r>
    <n v="16"/>
    <m/>
    <m/>
    <m/>
    <m/>
    <x v="0"/>
    <m/>
    <s v=""/>
    <m/>
    <n v="0"/>
    <n v="0"/>
    <e v="#VALUE!"/>
    <n v="0"/>
    <n v="0"/>
    <n v="0"/>
    <n v="0"/>
    <n v="0"/>
  </r>
  <r>
    <n v="17"/>
    <m/>
    <m/>
    <m/>
    <m/>
    <x v="0"/>
    <m/>
    <s v=""/>
    <m/>
    <n v="0"/>
    <n v="0"/>
    <e v="#VALUE!"/>
    <n v="0"/>
    <n v="0"/>
    <n v="0"/>
    <n v="0"/>
    <n v="0"/>
  </r>
  <r>
    <n v="18"/>
    <m/>
    <m/>
    <m/>
    <m/>
    <x v="0"/>
    <m/>
    <s v=""/>
    <m/>
    <n v="0"/>
    <n v="0"/>
    <e v="#VALUE!"/>
    <n v="0"/>
    <n v="0"/>
    <n v="0"/>
    <n v="0"/>
    <n v="0"/>
  </r>
  <r>
    <n v="19"/>
    <m/>
    <m/>
    <m/>
    <m/>
    <x v="0"/>
    <m/>
    <s v=""/>
    <m/>
    <n v="0"/>
    <n v="0"/>
    <e v="#VALUE!"/>
    <n v="0"/>
    <n v="0"/>
    <n v="0"/>
    <n v="0"/>
    <n v="0"/>
  </r>
  <r>
    <n v="20"/>
    <m/>
    <m/>
    <m/>
    <m/>
    <x v="0"/>
    <m/>
    <s v=""/>
    <m/>
    <n v="0"/>
    <n v="0"/>
    <e v="#VALUE!"/>
    <n v="0"/>
    <n v="0"/>
    <n v="0"/>
    <n v="0"/>
    <n v="0"/>
  </r>
  <r>
    <n v="21"/>
    <m/>
    <m/>
    <m/>
    <m/>
    <x v="0"/>
    <m/>
    <s v=""/>
    <m/>
    <n v="0"/>
    <n v="0"/>
    <e v="#VALUE!"/>
    <n v="0"/>
    <n v="0"/>
    <n v="0"/>
    <n v="0"/>
    <n v="0"/>
  </r>
  <r>
    <n v="22"/>
    <m/>
    <m/>
    <m/>
    <m/>
    <x v="0"/>
    <m/>
    <s v=""/>
    <m/>
    <n v="0"/>
    <n v="0"/>
    <e v="#VALUE!"/>
    <n v="0"/>
    <n v="0"/>
    <n v="0"/>
    <n v="0"/>
    <n v="0"/>
  </r>
  <r>
    <n v="23"/>
    <m/>
    <m/>
    <m/>
    <m/>
    <x v="0"/>
    <m/>
    <s v=""/>
    <m/>
    <n v="0"/>
    <n v="0"/>
    <e v="#VALUE!"/>
    <n v="0"/>
    <n v="0"/>
    <n v="0"/>
    <n v="0"/>
    <n v="0"/>
  </r>
  <r>
    <n v="24"/>
    <m/>
    <m/>
    <m/>
    <m/>
    <x v="0"/>
    <m/>
    <s v=""/>
    <m/>
    <n v="0"/>
    <n v="0"/>
    <e v="#VALUE!"/>
    <n v="0"/>
    <n v="0"/>
    <n v="0"/>
    <n v="0"/>
    <n v="0"/>
  </r>
  <r>
    <n v="25"/>
    <m/>
    <m/>
    <m/>
    <m/>
    <x v="0"/>
    <m/>
    <s v=""/>
    <m/>
    <n v="0"/>
    <n v="0"/>
    <e v="#VALUE!"/>
    <n v="0"/>
    <n v="0"/>
    <n v="0"/>
    <n v="0"/>
    <n v="0"/>
  </r>
  <r>
    <n v="26"/>
    <m/>
    <m/>
    <m/>
    <m/>
    <x v="0"/>
    <m/>
    <s v=""/>
    <m/>
    <n v="0"/>
    <n v="0"/>
    <e v="#VALUE!"/>
    <n v="0"/>
    <n v="0"/>
    <n v="0"/>
    <n v="0"/>
    <n v="0"/>
  </r>
  <r>
    <n v="27"/>
    <m/>
    <m/>
    <m/>
    <m/>
    <x v="0"/>
    <m/>
    <s v=""/>
    <m/>
    <n v="0"/>
    <n v="0"/>
    <e v="#VALUE!"/>
    <n v="0"/>
    <n v="0"/>
    <n v="0"/>
    <n v="0"/>
    <n v="0"/>
  </r>
  <r>
    <n v="28"/>
    <m/>
    <m/>
    <m/>
    <m/>
    <x v="0"/>
    <m/>
    <s v=""/>
    <m/>
    <n v="0"/>
    <n v="0"/>
    <e v="#VALUE!"/>
    <n v="0"/>
    <n v="0"/>
    <n v="0"/>
    <n v="0"/>
    <n v="0"/>
  </r>
  <r>
    <n v="29"/>
    <m/>
    <m/>
    <m/>
    <m/>
    <x v="0"/>
    <m/>
    <s v=""/>
    <m/>
    <n v="0"/>
    <n v="0"/>
    <e v="#VALUE!"/>
    <n v="0"/>
    <n v="0"/>
    <n v="0"/>
    <n v="0"/>
    <n v="0"/>
  </r>
  <r>
    <n v="30"/>
    <m/>
    <m/>
    <m/>
    <m/>
    <x v="0"/>
    <m/>
    <s v=""/>
    <m/>
    <n v="0"/>
    <n v="0"/>
    <e v="#VALUE!"/>
    <n v="0"/>
    <n v="0"/>
    <n v="0"/>
    <n v="0"/>
    <n v="0"/>
  </r>
  <r>
    <n v="31"/>
    <m/>
    <m/>
    <m/>
    <m/>
    <x v="0"/>
    <m/>
    <s v=""/>
    <m/>
    <n v="0"/>
    <n v="0"/>
    <e v="#VALUE!"/>
    <n v="0"/>
    <n v="0"/>
    <n v="0"/>
    <n v="0"/>
    <n v="0"/>
  </r>
  <r>
    <n v="32"/>
    <m/>
    <m/>
    <m/>
    <m/>
    <x v="0"/>
    <m/>
    <s v=""/>
    <m/>
    <n v="0"/>
    <n v="0"/>
    <e v="#VALUE!"/>
    <n v="0"/>
    <n v="0"/>
    <n v="0"/>
    <n v="0"/>
    <n v="0"/>
  </r>
  <r>
    <n v="33"/>
    <m/>
    <m/>
    <m/>
    <m/>
    <x v="0"/>
    <m/>
    <s v=""/>
    <m/>
    <n v="0"/>
    <n v="0"/>
    <e v="#VALUE!"/>
    <n v="0"/>
    <n v="0"/>
    <n v="0"/>
    <n v="0"/>
    <n v="0"/>
  </r>
  <r>
    <n v="34"/>
    <m/>
    <m/>
    <m/>
    <m/>
    <x v="0"/>
    <m/>
    <s v=""/>
    <m/>
    <n v="0"/>
    <n v="0"/>
    <e v="#VALUE!"/>
    <n v="0"/>
    <n v="0"/>
    <n v="0"/>
    <n v="0"/>
    <n v="0"/>
  </r>
  <r>
    <n v="35"/>
    <m/>
    <m/>
    <m/>
    <m/>
    <x v="0"/>
    <m/>
    <s v=""/>
    <m/>
    <n v="0"/>
    <n v="0"/>
    <e v="#VALUE!"/>
    <n v="0"/>
    <n v="0"/>
    <n v="0"/>
    <n v="0"/>
    <n v="0"/>
  </r>
  <r>
    <n v="36"/>
    <m/>
    <m/>
    <m/>
    <m/>
    <x v="0"/>
    <m/>
    <s v=""/>
    <m/>
    <n v="0"/>
    <n v="0"/>
    <e v="#VALUE!"/>
    <n v="0"/>
    <n v="0"/>
    <n v="0"/>
    <n v="0"/>
    <n v="0"/>
  </r>
  <r>
    <n v="37"/>
    <m/>
    <m/>
    <m/>
    <m/>
    <x v="0"/>
    <m/>
    <s v=""/>
    <m/>
    <n v="0"/>
    <n v="0"/>
    <e v="#VALUE!"/>
    <n v="0"/>
    <n v="0"/>
    <n v="0"/>
    <n v="0"/>
    <n v="0"/>
  </r>
  <r>
    <n v="38"/>
    <m/>
    <m/>
    <m/>
    <m/>
    <x v="0"/>
    <m/>
    <s v=""/>
    <m/>
    <n v="0"/>
    <n v="0"/>
    <e v="#VALUE!"/>
    <n v="0"/>
    <n v="0"/>
    <n v="0"/>
    <n v="0"/>
    <n v="0"/>
  </r>
  <r>
    <n v="39"/>
    <m/>
    <m/>
    <m/>
    <m/>
    <x v="0"/>
    <m/>
    <s v=""/>
    <m/>
    <n v="0"/>
    <n v="0"/>
    <e v="#VALUE!"/>
    <n v="0"/>
    <n v="0"/>
    <n v="0"/>
    <n v="0"/>
    <n v="0"/>
  </r>
  <r>
    <n v="40"/>
    <m/>
    <m/>
    <m/>
    <m/>
    <x v="0"/>
    <m/>
    <s v=""/>
    <m/>
    <n v="0"/>
    <n v="0"/>
    <e v="#VALUE!"/>
    <n v="0"/>
    <n v="0"/>
    <n v="0"/>
    <n v="0"/>
    <n v="0"/>
  </r>
  <r>
    <n v="41"/>
    <m/>
    <m/>
    <m/>
    <m/>
    <x v="0"/>
    <m/>
    <s v=""/>
    <m/>
    <n v="0"/>
    <n v="0"/>
    <e v="#VALUE!"/>
    <n v="0"/>
    <n v="0"/>
    <n v="0"/>
    <n v="0"/>
    <n v="0"/>
  </r>
  <r>
    <n v="42"/>
    <m/>
    <m/>
    <m/>
    <m/>
    <x v="0"/>
    <m/>
    <s v=""/>
    <m/>
    <n v="0"/>
    <n v="0"/>
    <e v="#VALUE!"/>
    <n v="0"/>
    <n v="0"/>
    <n v="0"/>
    <n v="0"/>
    <n v="0"/>
  </r>
  <r>
    <n v="43"/>
    <m/>
    <m/>
    <m/>
    <m/>
    <x v="0"/>
    <m/>
    <s v=""/>
    <m/>
    <n v="0"/>
    <n v="0"/>
    <e v="#VALUE!"/>
    <n v="0"/>
    <n v="0"/>
    <n v="0"/>
    <n v="0"/>
    <n v="0"/>
  </r>
  <r>
    <n v="44"/>
    <m/>
    <m/>
    <m/>
    <m/>
    <x v="0"/>
    <m/>
    <s v=""/>
    <m/>
    <n v="0"/>
    <n v="0"/>
    <e v="#VALUE!"/>
    <n v="0"/>
    <n v="0"/>
    <n v="0"/>
    <n v="0"/>
    <n v="0"/>
  </r>
  <r>
    <n v="45"/>
    <m/>
    <m/>
    <m/>
    <m/>
    <x v="0"/>
    <m/>
    <s v=""/>
    <m/>
    <n v="0"/>
    <n v="0"/>
    <e v="#VALUE!"/>
    <n v="0"/>
    <n v="0"/>
    <n v="0"/>
    <n v="0"/>
    <n v="0"/>
  </r>
  <r>
    <n v="46"/>
    <m/>
    <m/>
    <m/>
    <m/>
    <x v="0"/>
    <m/>
    <s v=""/>
    <m/>
    <n v="0"/>
    <n v="0"/>
    <e v="#VALUE!"/>
    <n v="0"/>
    <n v="0"/>
    <n v="0"/>
    <n v="0"/>
    <n v="0"/>
  </r>
  <r>
    <n v="47"/>
    <m/>
    <m/>
    <m/>
    <m/>
    <x v="0"/>
    <m/>
    <s v=""/>
    <m/>
    <n v="0"/>
    <n v="0"/>
    <e v="#VALUE!"/>
    <n v="0"/>
    <n v="0"/>
    <n v="0"/>
    <n v="0"/>
    <n v="0"/>
  </r>
  <r>
    <n v="48"/>
    <m/>
    <m/>
    <m/>
    <m/>
    <x v="0"/>
    <m/>
    <s v=""/>
    <m/>
    <n v="0"/>
    <n v="0"/>
    <e v="#VALUE!"/>
    <n v="0"/>
    <n v="0"/>
    <n v="0"/>
    <n v="0"/>
    <n v="0"/>
  </r>
  <r>
    <n v="49"/>
    <m/>
    <m/>
    <m/>
    <m/>
    <x v="0"/>
    <m/>
    <s v=""/>
    <m/>
    <n v="0"/>
    <n v="0"/>
    <e v="#VALUE!"/>
    <n v="0"/>
    <n v="0"/>
    <n v="0"/>
    <n v="0"/>
    <n v="0"/>
  </r>
  <r>
    <n v="50"/>
    <m/>
    <m/>
    <m/>
    <m/>
    <x v="0"/>
    <m/>
    <s v=""/>
    <m/>
    <n v="0"/>
    <n v="0"/>
    <e v="#VALUE!"/>
    <n v="0"/>
    <n v="0"/>
    <n v="0"/>
    <n v="0"/>
    <n v="0"/>
  </r>
  <r>
    <n v="51"/>
    <m/>
    <m/>
    <m/>
    <m/>
    <x v="0"/>
    <m/>
    <s v=""/>
    <m/>
    <n v="0"/>
    <n v="0"/>
    <e v="#VALUE!"/>
    <n v="0"/>
    <n v="0"/>
    <n v="0"/>
    <n v="0"/>
    <n v="0"/>
  </r>
  <r>
    <n v="52"/>
    <m/>
    <m/>
    <m/>
    <m/>
    <x v="0"/>
    <m/>
    <s v=""/>
    <m/>
    <n v="0"/>
    <n v="0"/>
    <e v="#VALUE!"/>
    <n v="0"/>
    <n v="0"/>
    <n v="0"/>
    <n v="0"/>
    <n v="0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d v="2025-01-01T00:00:00"/>
    <n v="3006.15"/>
    <m/>
    <m/>
    <n v="2543.1999999999998"/>
    <n v="3"/>
    <n v="9018.4500000000007"/>
    <n v="9018.4500000000007"/>
    <n v="-1388.8500000000008"/>
    <n v="-0.15400096468905419"/>
    <n v="-38.4"/>
    <n v="-115.19999999999999"/>
    <n v="0"/>
  </r>
  <r>
    <n v="2"/>
    <x v="1"/>
    <x v="0"/>
    <d v="2025-05-14T00:00:00"/>
    <n v="267"/>
    <m/>
    <m/>
    <n v="298.5"/>
    <n v="18"/>
    <n v="4806"/>
    <n v="4806"/>
    <n v="567"/>
    <n v="0.11797752808988764"/>
    <n v="-0.25"/>
    <n v="-4.5"/>
    <n v="0"/>
  </r>
  <r>
    <n v="3"/>
    <x v="2"/>
    <x v="0"/>
    <d v="2025-05-20T00:00:00"/>
    <n v="366.5"/>
    <m/>
    <m/>
    <n v="425.5"/>
    <n v="6"/>
    <n v="2199"/>
    <n v="2199"/>
    <n v="354"/>
    <n v="0.16098226466575716"/>
    <n v="13.8"/>
    <n v="82.800000000000011"/>
    <n v="0"/>
  </r>
  <r>
    <n v="4"/>
    <x v="3"/>
    <x v="1"/>
    <d v="2025-06-05T00:00:00"/>
    <n v="475"/>
    <d v="2025-06-19T00:00:00"/>
    <n v="446"/>
    <n v="610.20000000000005"/>
    <n v="30"/>
    <n v="14250"/>
    <n v="27630"/>
    <n v="0"/>
    <n v="0"/>
    <n v="0"/>
    <n v="0"/>
    <n v="-870"/>
  </r>
  <r>
    <n v="5"/>
    <x v="4"/>
    <x v="0"/>
    <d v="2025-06-05T00:00:00"/>
    <n v="176.2"/>
    <m/>
    <n v="0"/>
    <n v="139"/>
    <n v="50"/>
    <n v="8810"/>
    <n v="8810"/>
    <n v="-1859.9999999999995"/>
    <n v="-0.21112372304199767"/>
    <n v="3.33"/>
    <n v="166.5"/>
    <n v="0"/>
  </r>
  <r>
    <n v="6"/>
    <x v="5"/>
    <x v="2"/>
    <d v="2025-06-03T00:00:00"/>
    <n v="2294.8000000000002"/>
    <d v="2025-07-01T00:00:00"/>
    <n v="2302"/>
    <n v="2019"/>
    <n v="5"/>
    <n v="11474"/>
    <n v="22984"/>
    <n v="0"/>
    <n v="0"/>
    <n v="0"/>
    <n v="0"/>
    <n v="35.999999999999091"/>
  </r>
  <r>
    <n v="7"/>
    <x v="6"/>
    <x v="1"/>
    <d v="2025-06-24T00:00:00"/>
    <n v="267.5"/>
    <d v="2025-08-01T00:00:00"/>
    <n v="244.5"/>
    <n v="271.3"/>
    <n v="45"/>
    <n v="12037.5"/>
    <n v="23040"/>
    <n v="0"/>
    <n v="0"/>
    <n v="0"/>
    <n v="0"/>
    <n v="-1035"/>
  </r>
  <r>
    <n v="8"/>
    <x v="7"/>
    <x v="2"/>
    <d v="2025-06-27T00:00:00"/>
    <n v="359"/>
    <d v="2025-07-11T00:00:00"/>
    <n v="335.6"/>
    <n v="259.10000000000002"/>
    <n v="33"/>
    <n v="11847"/>
    <n v="22921.8"/>
    <n v="0"/>
    <n v="0"/>
    <n v="0"/>
    <n v="0"/>
    <n v="-772.19999999999925"/>
  </r>
  <r>
    <n v="9"/>
    <x v="8"/>
    <x v="2"/>
    <d v="2025-07-16T00:00:00"/>
    <n v="218.1"/>
    <d v="2025-08-01T00:00:00"/>
    <n v="190"/>
    <n v="177.85"/>
    <n v="40"/>
    <n v="8724"/>
    <n v="16324"/>
    <n v="0"/>
    <n v="0"/>
    <n v="0"/>
    <n v="0"/>
    <n v="-1123.9999999999998"/>
  </r>
  <r>
    <n v="10"/>
    <x v="9"/>
    <x v="2"/>
    <d v="2025-07-18T00:00:00"/>
    <n v="537.9"/>
    <d v="2025-11-25T00:00:00"/>
    <n v="477.04"/>
    <n v="484.5"/>
    <n v="25"/>
    <n v="13447.5"/>
    <n v="25373.5"/>
    <n v="0"/>
    <n v="0"/>
    <n v="0"/>
    <n v="0"/>
    <n v="-1521.4999999999989"/>
  </r>
  <r>
    <n v="11"/>
    <x v="10"/>
    <x v="2"/>
    <d v="2025-08-18T00:00:00"/>
    <n v="1402"/>
    <m/>
    <n v="0"/>
    <n v="1380"/>
    <n v="5"/>
    <n v="7010"/>
    <n v="7010"/>
    <n v="-110"/>
    <n v="-1.5691868758915834E-2"/>
    <n v="-8"/>
    <n v="-40"/>
    <n v="0"/>
  </r>
  <r>
    <n v="12"/>
    <x v="11"/>
    <x v="2"/>
    <d v="2025-08-19T00:00:00"/>
    <n v="589.1"/>
    <d v="2025-08-28T00:00:00"/>
    <n v="550"/>
    <n v="532"/>
    <n v="19"/>
    <n v="11192.9"/>
    <n v="21642.899999999998"/>
    <n v="0"/>
    <n v="0"/>
    <n v="0"/>
    <n v="0"/>
    <n v="-742.90000000000043"/>
  </r>
  <r>
    <n v="13"/>
    <x v="12"/>
    <x v="2"/>
    <d v="2025-10-08T00:00:00"/>
    <n v="920"/>
    <m/>
    <m/>
    <n v="835"/>
    <n v="11"/>
    <n v="10120"/>
    <n v="10120"/>
    <n v="-935"/>
    <n v="-9.2391304347826081E-2"/>
    <n v="18.5"/>
    <n v="203.5"/>
    <n v="0"/>
  </r>
  <r>
    <n v="14"/>
    <x v="13"/>
    <x v="3"/>
    <m/>
    <m/>
    <m/>
    <m/>
    <s v=""/>
    <m/>
    <n v="0"/>
    <n v="0"/>
    <e v="#VALUE!"/>
    <n v="0"/>
    <n v="0"/>
    <n v="0"/>
    <n v="0"/>
  </r>
  <r>
    <n v="15"/>
    <x v="13"/>
    <x v="3"/>
    <m/>
    <m/>
    <m/>
    <m/>
    <s v=""/>
    <m/>
    <n v="0"/>
    <n v="0"/>
    <e v="#VALUE!"/>
    <n v="0"/>
    <n v="0"/>
    <n v="0"/>
    <n v="0"/>
  </r>
  <r>
    <n v="16"/>
    <x v="13"/>
    <x v="3"/>
    <m/>
    <m/>
    <m/>
    <m/>
    <s v=""/>
    <m/>
    <n v="0"/>
    <n v="0"/>
    <e v="#VALUE!"/>
    <n v="0"/>
    <n v="0"/>
    <n v="0"/>
    <n v="0"/>
  </r>
  <r>
    <n v="17"/>
    <x v="13"/>
    <x v="3"/>
    <m/>
    <m/>
    <m/>
    <m/>
    <s v=""/>
    <m/>
    <n v="0"/>
    <n v="0"/>
    <e v="#VALUE!"/>
    <n v="0"/>
    <n v="0"/>
    <n v="0"/>
    <n v="0"/>
  </r>
  <r>
    <n v="18"/>
    <x v="13"/>
    <x v="3"/>
    <m/>
    <m/>
    <m/>
    <m/>
    <s v=""/>
    <m/>
    <n v="0"/>
    <n v="0"/>
    <e v="#VALUE!"/>
    <n v="0"/>
    <n v="0"/>
    <n v="0"/>
    <n v="0"/>
  </r>
  <r>
    <n v="19"/>
    <x v="13"/>
    <x v="3"/>
    <m/>
    <m/>
    <m/>
    <m/>
    <s v=""/>
    <m/>
    <n v="0"/>
    <n v="0"/>
    <e v="#VALUE!"/>
    <n v="0"/>
    <n v="0"/>
    <n v="0"/>
    <n v="0"/>
  </r>
  <r>
    <n v="20"/>
    <x v="13"/>
    <x v="3"/>
    <m/>
    <m/>
    <m/>
    <m/>
    <s v=""/>
    <m/>
    <n v="0"/>
    <n v="0"/>
    <e v="#VALUE!"/>
    <n v="0"/>
    <n v="0"/>
    <n v="0"/>
    <n v="0"/>
  </r>
  <r>
    <n v="21"/>
    <x v="13"/>
    <x v="3"/>
    <m/>
    <m/>
    <m/>
    <m/>
    <s v=""/>
    <m/>
    <n v="0"/>
    <n v="0"/>
    <e v="#VALUE!"/>
    <n v="0"/>
    <n v="0"/>
    <n v="0"/>
    <n v="0"/>
  </r>
  <r>
    <n v="22"/>
    <x v="13"/>
    <x v="3"/>
    <m/>
    <m/>
    <m/>
    <m/>
    <s v=""/>
    <m/>
    <n v="0"/>
    <n v="0"/>
    <e v="#VALUE!"/>
    <n v="0"/>
    <n v="0"/>
    <n v="0"/>
    <n v="0"/>
  </r>
  <r>
    <n v="23"/>
    <x v="13"/>
    <x v="3"/>
    <m/>
    <m/>
    <m/>
    <m/>
    <s v=""/>
    <m/>
    <n v="0"/>
    <n v="0"/>
    <e v="#VALUE!"/>
    <n v="0"/>
    <n v="0"/>
    <n v="0"/>
    <n v="0"/>
  </r>
  <r>
    <n v="24"/>
    <x v="13"/>
    <x v="3"/>
    <m/>
    <m/>
    <m/>
    <m/>
    <s v=""/>
    <m/>
    <n v="0"/>
    <n v="0"/>
    <e v="#VALUE!"/>
    <n v="0"/>
    <n v="0"/>
    <n v="0"/>
    <n v="0"/>
  </r>
  <r>
    <n v="25"/>
    <x v="13"/>
    <x v="3"/>
    <m/>
    <m/>
    <m/>
    <m/>
    <s v=""/>
    <m/>
    <n v="0"/>
    <n v="0"/>
    <e v="#VALUE!"/>
    <n v="0"/>
    <n v="0"/>
    <n v="0"/>
    <n v="0"/>
  </r>
  <r>
    <n v="26"/>
    <x v="13"/>
    <x v="3"/>
    <m/>
    <m/>
    <m/>
    <m/>
    <s v=""/>
    <m/>
    <n v="0"/>
    <n v="0"/>
    <e v="#VALUE!"/>
    <n v="0"/>
    <n v="0"/>
    <n v="0"/>
    <n v="0"/>
  </r>
  <r>
    <n v="27"/>
    <x v="13"/>
    <x v="3"/>
    <m/>
    <m/>
    <m/>
    <m/>
    <s v=""/>
    <m/>
    <n v="0"/>
    <n v="0"/>
    <e v="#VALUE!"/>
    <n v="0"/>
    <n v="0"/>
    <n v="0"/>
    <n v="0"/>
  </r>
  <r>
    <n v="28"/>
    <x v="13"/>
    <x v="3"/>
    <m/>
    <m/>
    <m/>
    <m/>
    <s v=""/>
    <m/>
    <n v="0"/>
    <n v="0"/>
    <e v="#VALUE!"/>
    <n v="0"/>
    <n v="0"/>
    <n v="0"/>
    <n v="0"/>
  </r>
  <r>
    <n v="29"/>
    <x v="13"/>
    <x v="3"/>
    <m/>
    <m/>
    <m/>
    <m/>
    <s v=""/>
    <m/>
    <n v="0"/>
    <n v="0"/>
    <e v="#VALUE!"/>
    <n v="0"/>
    <n v="0"/>
    <n v="0"/>
    <n v="0"/>
  </r>
  <r>
    <n v="30"/>
    <x v="13"/>
    <x v="3"/>
    <m/>
    <m/>
    <m/>
    <m/>
    <s v=""/>
    <m/>
    <n v="0"/>
    <n v="0"/>
    <e v="#VALUE!"/>
    <n v="0"/>
    <n v="0"/>
    <n v="0"/>
    <n v="0"/>
  </r>
  <r>
    <n v="31"/>
    <x v="13"/>
    <x v="3"/>
    <m/>
    <m/>
    <m/>
    <m/>
    <s v=""/>
    <m/>
    <n v="0"/>
    <n v="0"/>
    <e v="#VALUE!"/>
    <n v="0"/>
    <n v="0"/>
    <n v="0"/>
    <n v="0"/>
  </r>
  <r>
    <n v="32"/>
    <x v="13"/>
    <x v="3"/>
    <m/>
    <m/>
    <m/>
    <m/>
    <s v=""/>
    <m/>
    <n v="0"/>
    <n v="0"/>
    <e v="#VALUE!"/>
    <n v="0"/>
    <n v="0"/>
    <n v="0"/>
    <n v="0"/>
  </r>
  <r>
    <n v="33"/>
    <x v="13"/>
    <x v="3"/>
    <m/>
    <m/>
    <m/>
    <m/>
    <s v=""/>
    <m/>
    <n v="0"/>
    <n v="0"/>
    <e v="#VALUE!"/>
    <n v="0"/>
    <n v="0"/>
    <n v="0"/>
    <n v="0"/>
  </r>
  <r>
    <n v="34"/>
    <x v="13"/>
    <x v="3"/>
    <m/>
    <m/>
    <m/>
    <m/>
    <s v=""/>
    <m/>
    <n v="0"/>
    <n v="0"/>
    <e v="#VALUE!"/>
    <n v="0"/>
    <n v="0"/>
    <n v="0"/>
    <n v="0"/>
  </r>
  <r>
    <n v="35"/>
    <x v="13"/>
    <x v="3"/>
    <m/>
    <m/>
    <m/>
    <m/>
    <s v=""/>
    <m/>
    <n v="0"/>
    <n v="0"/>
    <e v="#VALUE!"/>
    <n v="0"/>
    <n v="0"/>
    <n v="0"/>
    <n v="0"/>
  </r>
  <r>
    <n v="36"/>
    <x v="13"/>
    <x v="3"/>
    <m/>
    <m/>
    <m/>
    <m/>
    <s v=""/>
    <m/>
    <n v="0"/>
    <n v="0"/>
    <e v="#VALUE!"/>
    <n v="0"/>
    <n v="0"/>
    <n v="0"/>
    <n v="0"/>
  </r>
  <r>
    <n v="37"/>
    <x v="13"/>
    <x v="3"/>
    <m/>
    <m/>
    <m/>
    <m/>
    <s v=""/>
    <m/>
    <n v="0"/>
    <n v="0"/>
    <e v="#VALUE!"/>
    <n v="0"/>
    <n v="0"/>
    <n v="0"/>
    <n v="0"/>
  </r>
  <r>
    <n v="38"/>
    <x v="13"/>
    <x v="3"/>
    <m/>
    <m/>
    <m/>
    <m/>
    <s v=""/>
    <m/>
    <n v="0"/>
    <n v="0"/>
    <e v="#VALUE!"/>
    <n v="0"/>
    <n v="0"/>
    <n v="0"/>
    <n v="0"/>
  </r>
  <r>
    <n v="39"/>
    <x v="13"/>
    <x v="3"/>
    <m/>
    <m/>
    <m/>
    <m/>
    <s v=""/>
    <m/>
    <n v="0"/>
    <n v="0"/>
    <e v="#VALUE!"/>
    <n v="0"/>
    <n v="0"/>
    <n v="0"/>
    <n v="0"/>
  </r>
  <r>
    <n v="40"/>
    <x v="13"/>
    <x v="3"/>
    <m/>
    <m/>
    <m/>
    <m/>
    <s v=""/>
    <m/>
    <n v="0"/>
    <n v="0"/>
    <e v="#VALUE!"/>
    <n v="0"/>
    <n v="0"/>
    <n v="0"/>
    <n v="0"/>
  </r>
  <r>
    <n v="41"/>
    <x v="13"/>
    <x v="3"/>
    <m/>
    <m/>
    <m/>
    <m/>
    <s v=""/>
    <m/>
    <n v="0"/>
    <n v="0"/>
    <e v="#VALUE!"/>
    <n v="0"/>
    <n v="0"/>
    <n v="0"/>
    <n v="0"/>
  </r>
  <r>
    <n v="42"/>
    <x v="13"/>
    <x v="3"/>
    <m/>
    <m/>
    <m/>
    <m/>
    <s v=""/>
    <m/>
    <n v="0"/>
    <n v="0"/>
    <e v="#VALUE!"/>
    <n v="0"/>
    <n v="0"/>
    <n v="0"/>
    <n v="0"/>
  </r>
  <r>
    <n v="43"/>
    <x v="13"/>
    <x v="3"/>
    <m/>
    <m/>
    <m/>
    <m/>
    <s v=""/>
    <m/>
    <n v="0"/>
    <n v="0"/>
    <e v="#VALUE!"/>
    <n v="0"/>
    <n v="0"/>
    <n v="0"/>
    <n v="0"/>
  </r>
  <r>
    <n v="44"/>
    <x v="13"/>
    <x v="3"/>
    <m/>
    <m/>
    <m/>
    <m/>
    <s v=""/>
    <m/>
    <n v="0"/>
    <n v="0"/>
    <e v="#VALUE!"/>
    <n v="0"/>
    <n v="0"/>
    <n v="0"/>
    <n v="0"/>
  </r>
  <r>
    <n v="45"/>
    <x v="13"/>
    <x v="3"/>
    <m/>
    <m/>
    <m/>
    <m/>
    <s v=""/>
    <m/>
    <n v="0"/>
    <n v="0"/>
    <e v="#VALUE!"/>
    <n v="0"/>
    <n v="0"/>
    <n v="0"/>
    <n v="0"/>
  </r>
  <r>
    <n v="46"/>
    <x v="13"/>
    <x v="3"/>
    <m/>
    <m/>
    <m/>
    <m/>
    <s v=""/>
    <m/>
    <n v="0"/>
    <n v="0"/>
    <e v="#VALUE!"/>
    <n v="0"/>
    <n v="0"/>
    <n v="0"/>
    <n v="0"/>
  </r>
  <r>
    <n v="47"/>
    <x v="13"/>
    <x v="3"/>
    <m/>
    <m/>
    <m/>
    <m/>
    <s v=""/>
    <m/>
    <n v="0"/>
    <n v="0"/>
    <e v="#VALUE!"/>
    <n v="0"/>
    <n v="0"/>
    <n v="0"/>
    <n v="0"/>
  </r>
  <r>
    <n v="48"/>
    <x v="13"/>
    <x v="3"/>
    <m/>
    <m/>
    <m/>
    <m/>
    <s v=""/>
    <m/>
    <n v="0"/>
    <n v="0"/>
    <e v="#VALUE!"/>
    <n v="0"/>
    <n v="0"/>
    <n v="0"/>
    <n v="0"/>
  </r>
  <r>
    <n v="49"/>
    <x v="13"/>
    <x v="3"/>
    <m/>
    <m/>
    <m/>
    <m/>
    <s v=""/>
    <m/>
    <n v="0"/>
    <n v="0"/>
    <e v="#VALUE!"/>
    <n v="0"/>
    <n v="0"/>
    <n v="0"/>
    <n v="0"/>
  </r>
  <r>
    <n v="50"/>
    <x v="13"/>
    <x v="3"/>
    <m/>
    <m/>
    <m/>
    <m/>
    <s v=""/>
    <m/>
    <n v="0"/>
    <n v="0"/>
    <e v="#VALUE!"/>
    <n v="0"/>
    <n v="0"/>
    <n v="0"/>
    <n v="0"/>
  </r>
  <r>
    <n v="51"/>
    <x v="13"/>
    <x v="3"/>
    <m/>
    <m/>
    <m/>
    <m/>
    <s v=""/>
    <m/>
    <n v="0"/>
    <n v="0"/>
    <e v="#VALUE!"/>
    <n v="0"/>
    <n v="0"/>
    <n v="0"/>
    <n v="0"/>
  </r>
  <r>
    <n v="52"/>
    <x v="13"/>
    <x v="3"/>
    <m/>
    <m/>
    <m/>
    <m/>
    <s v=""/>
    <m/>
    <n v="0"/>
    <n v="0"/>
    <e v="#VALUE!"/>
    <n v="0"/>
    <n v="0"/>
    <n v="0"/>
    <n v="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ishwarya"/>
    <m/>
    <n v="53.96"/>
    <m/>
    <n v="0"/>
    <n v="48.97"/>
    <n v="236"/>
    <n v="12734.56"/>
    <n v="-1177.6400000000006"/>
    <n v="-9.2475908080059344E-2"/>
    <n v="-0.01"/>
    <n v="-2.36"/>
    <n v="0"/>
    <n v="0"/>
  </r>
  <r>
    <x v="1"/>
    <s v="Aishwarya"/>
    <m/>
    <n v="742.64"/>
    <m/>
    <n v="0"/>
    <n v="997"/>
    <n v="8"/>
    <n v="5941.12"/>
    <n v="2034.88"/>
    <n v="0.34250780997522356"/>
    <n v="9.3000000000000007"/>
    <n v="74.400000000000006"/>
    <n v="0"/>
    <n v="0"/>
  </r>
  <r>
    <x v="2"/>
    <s v="Aishwarya"/>
    <m/>
    <n v="83.97"/>
    <m/>
    <n v="0"/>
    <n v="116.72"/>
    <n v="227"/>
    <n v="19061.189999999999"/>
    <n v="7434.25"/>
    <n v="0.39002024532571156"/>
    <n v="0.57999999999999996"/>
    <n v="131.66"/>
    <n v="0"/>
    <n v="0"/>
  </r>
  <r>
    <x v="3"/>
    <s v="Aishwarya"/>
    <m/>
    <n v="85.59"/>
    <m/>
    <n v="0"/>
    <n v="84.9"/>
    <n v="83"/>
    <n v="7103.97"/>
    <n v="-57.269999999999811"/>
    <n v="-8.0616894497020416E-3"/>
    <n v="-0.45"/>
    <n v="-37.35"/>
    <n v="0"/>
    <n v="0"/>
  </r>
  <r>
    <x v="4"/>
    <s v="Aishwarya"/>
    <m/>
    <n v="972.6"/>
    <m/>
    <n v="0"/>
    <n v="680.5"/>
    <n v="5"/>
    <n v="4863"/>
    <n v="-1460.5"/>
    <n v="-0.30032901501130993"/>
    <n v="-1.1499999999999999"/>
    <n v="-5.75"/>
    <n v="0"/>
    <n v="0"/>
  </r>
  <r>
    <x v="5"/>
    <s v="Aishwarya"/>
    <m/>
    <n v="434.30579999999998"/>
    <m/>
    <n v="0"/>
    <n v="362.6"/>
    <n v="8"/>
    <n v="3474.4463999999998"/>
    <n v="-573.64639999999963"/>
    <n v="-0.16510440339502711"/>
    <n v="3.45"/>
    <n v="27.6"/>
    <n v="0"/>
    <n v="0"/>
  </r>
  <r>
    <x v="6"/>
    <s v="Aishwarya"/>
    <d v="2025-06-05T00:00:00"/>
    <n v="176.35"/>
    <m/>
    <n v="0"/>
    <n v="139"/>
    <n v="50"/>
    <n v="8817.5"/>
    <n v="-1867.4999999999998"/>
    <n v="-0.21179472639637084"/>
    <n v="3.33"/>
    <n v="166.5"/>
    <n v="0"/>
    <n v="0"/>
  </r>
  <r>
    <x v="1"/>
    <s v="Aishwarya"/>
    <m/>
    <n v="742.64"/>
    <m/>
    <n v="0"/>
    <n v="997"/>
    <n v="8"/>
    <n v="5941.12"/>
    <n v="2034.88"/>
    <n v="0.34250780997522356"/>
    <n v="9.3000000000000007"/>
    <n v="74.400000000000006"/>
    <n v="0"/>
    <n v="0"/>
  </r>
  <r>
    <x v="7"/>
    <s v="Aishwarya"/>
    <d v="2026-06-12T00:00:00"/>
    <n v="165.6"/>
    <m/>
    <n v="0"/>
    <n v="192.6"/>
    <n v="100"/>
    <n v="16560"/>
    <n v="2700"/>
    <n v="0.16304347826086957"/>
    <n v="-0.99"/>
    <n v="-99"/>
    <n v="0"/>
    <n v="0"/>
  </r>
  <r>
    <x v="8"/>
    <s v="Aishwarya"/>
    <d v="2025-10-21T00:00:00"/>
    <n v="1468"/>
    <m/>
    <n v="0"/>
    <n v="1569"/>
    <n v="3"/>
    <n v="4404"/>
    <n v="303"/>
    <n v="6.8801089918256134E-2"/>
    <n v="-6.4"/>
    <n v="-19.200000000000003"/>
    <n v="0"/>
    <n v="0"/>
  </r>
  <r>
    <x v="9"/>
    <s v="Aishwarya"/>
    <d v="2025-10-21T00:00:00"/>
    <n v="20.100000000000001"/>
    <m/>
    <n v="0"/>
    <n v="21.49"/>
    <n v="21"/>
    <n v="422.1"/>
    <n v="29.189999999999937"/>
    <n v="6.9154228855721242E-2"/>
    <n v="0.34"/>
    <n v="7.1400000000000006"/>
    <n v="0"/>
    <n v="0"/>
  </r>
  <r>
    <x v="10"/>
    <s v="Aishwarya"/>
    <m/>
    <n v="196.49419999999998"/>
    <m/>
    <m/>
    <n v="425.5"/>
    <n v="8"/>
    <n v="1571.9535999999998"/>
    <n v="1832.0464000000002"/>
    <n v="1.1654583188714986"/>
    <n v="13.8"/>
    <n v="110.4"/>
    <n v="0"/>
    <n v="0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Rashmi"/>
    <m/>
    <n v="179.625"/>
    <m/>
    <n v="0"/>
    <n v="369.7"/>
    <n v="60"/>
    <n v="10777.5"/>
    <n v="11404.5"/>
    <n v="1.0581767571329157"/>
    <n v="-0.2"/>
    <n v="-12"/>
    <n v="0"/>
    <n v="0"/>
  </r>
  <r>
    <x v="1"/>
    <s v="Rashmi"/>
    <m/>
    <n v="19.75"/>
    <m/>
    <n v="0"/>
    <n v="91.15"/>
    <n v="1"/>
    <n v="19.75"/>
    <n v="71.400000000000006"/>
    <n v="3.6151898734177217"/>
    <n v="1.19"/>
    <n v="1.19"/>
    <n v="0"/>
    <n v="0"/>
  </r>
  <r>
    <x v="2"/>
    <s v="Rashmi"/>
    <m/>
    <n v="1199.0899999999999"/>
    <m/>
    <n v="0"/>
    <n v="1674.8"/>
    <n v="11"/>
    <n v="13189.99"/>
    <n v="5232.8100000000004"/>
    <n v="0.39672585043658115"/>
    <n v="4.5"/>
    <n v="49.5"/>
    <n v="0"/>
    <n v="0"/>
  </r>
  <r>
    <x v="3"/>
    <s v="Rashmi"/>
    <m/>
    <n v="702.17"/>
    <m/>
    <n v="0"/>
    <n v="997"/>
    <n v="6"/>
    <n v="4213.0199999999995"/>
    <n v="1768.9800000000002"/>
    <n v="0.41988407365737651"/>
    <n v="9.3000000000000007"/>
    <n v="55.800000000000004"/>
    <n v="0"/>
    <n v="0"/>
  </r>
  <r>
    <x v="4"/>
    <s v="Rashmi"/>
    <m/>
    <n v="663.14"/>
    <m/>
    <n v="0"/>
    <n v="1362.4"/>
    <n v="22"/>
    <n v="14589.08"/>
    <n v="15383.720000000003"/>
    <n v="1.0544681364417772"/>
    <n v="-6.1"/>
    <n v="-134.19999999999999"/>
    <n v="0"/>
    <n v="0"/>
  </r>
  <r>
    <x v="5"/>
    <s v="Rashmi"/>
    <m/>
    <n v="753.45"/>
    <m/>
    <n v="0"/>
    <n v="680.5"/>
    <n v="15"/>
    <n v="11301.75"/>
    <n v="-1094.2500000000007"/>
    <n v="-9.6821288738469763E-2"/>
    <n v="-1.1499999999999999"/>
    <n v="-17.25"/>
    <n v="0"/>
    <n v="0"/>
  </r>
  <r>
    <x v="6"/>
    <s v="Rashmi"/>
    <m/>
    <n v="50"/>
    <m/>
    <n v="0"/>
    <n v="168.98"/>
    <n v="288"/>
    <n v="14400"/>
    <n v="34266.239999999998"/>
    <n v="2.3795999999999999"/>
    <n v="2.12"/>
    <n v="610.56000000000006"/>
    <n v="0"/>
    <n v="0"/>
  </r>
  <r>
    <x v="7"/>
    <s v="Rashmi"/>
    <m/>
    <n v="977.1"/>
    <m/>
    <n v="0"/>
    <n v="776.9"/>
    <n v="15"/>
    <n v="14656.5"/>
    <n v="-3003.0000000000009"/>
    <n v="-0.20489202742810361"/>
    <n v="8.4"/>
    <n v="126"/>
    <n v="0"/>
    <n v="0"/>
  </r>
  <r>
    <x v="3"/>
    <s v="Rashmi"/>
    <d v="2023-05-08T00:00:00"/>
    <n v="823.82500000000005"/>
    <m/>
    <n v="0"/>
    <n v="997"/>
    <n v="3"/>
    <n v="2471.4750000000004"/>
    <n v="519.52499999999986"/>
    <n v="0.2102084787424513"/>
    <n v="9.3000000000000007"/>
    <n v="27.900000000000002"/>
    <n v="0"/>
    <n v="0"/>
  </r>
  <r>
    <x v="8"/>
    <s v="Rashmi"/>
    <d v="2023-06-07T00:00:00"/>
    <n v="133.5"/>
    <d v="2023-09-01T00:00:00"/>
    <n v="217.5"/>
    <n v="360"/>
    <n v="27"/>
    <n v="3604.5"/>
    <n v="0"/>
    <n v="0"/>
    <n v="0"/>
    <n v="0"/>
    <n v="2268"/>
    <n v="0.6292134831460674"/>
  </r>
  <r>
    <x v="8"/>
    <s v="Rashmi"/>
    <d v="2023-06-07T00:00:00"/>
    <n v="133.5"/>
    <d v="2025-08-08T00:00:00"/>
    <n v="353.85"/>
    <n v="360"/>
    <n v="10"/>
    <n v="1335"/>
    <n v="0"/>
    <n v="0"/>
    <n v="0"/>
    <n v="0"/>
    <n v="2203.5"/>
    <n v="1.6505617977528091"/>
  </r>
  <r>
    <x v="8"/>
    <s v="Rashmi"/>
    <d v="2023-07-05T00:00:00"/>
    <n v="129.35"/>
    <d v="2025-08-08T00:00:00"/>
    <n v="353.85"/>
    <n v="360"/>
    <n v="38"/>
    <n v="4915.3"/>
    <n v="0"/>
    <n v="0"/>
    <n v="0"/>
    <n v="0"/>
    <n v="8531.0000000000018"/>
    <n v="1.735601082334751"/>
  </r>
  <r>
    <x v="5"/>
    <s v="Rashmi"/>
    <d v="2023-08-11T00:00:00"/>
    <n v="660.7"/>
    <m/>
    <n v="0"/>
    <n v="680.5"/>
    <n v="7"/>
    <n v="4624.9000000000005"/>
    <n v="138.59999999999968"/>
    <n v="2.9968215528984338E-2"/>
    <n v="-1.1499999999999999"/>
    <n v="-8.0499999999999989"/>
    <n v="0"/>
    <n v="0"/>
  </r>
  <r>
    <x v="1"/>
    <s v="Rashmi"/>
    <d v="2023-08-11T00:00:00"/>
    <n v="47.48"/>
    <m/>
    <n v="0"/>
    <n v="91.15"/>
    <n v="7"/>
    <n v="332.35999999999996"/>
    <n v="305.69000000000005"/>
    <n v="0.91975568660488649"/>
    <n v="1.19"/>
    <n v="8.33"/>
    <n v="0"/>
    <n v="0"/>
  </r>
  <r>
    <x v="9"/>
    <s v="Rashmi"/>
    <d v="2023-09-04T00:00:00"/>
    <n v="261.5"/>
    <m/>
    <n v="0"/>
    <n v="298.5"/>
    <n v="22"/>
    <n v="5753"/>
    <n v="814"/>
    <n v="0.14149139579349904"/>
    <n v="-0.25"/>
    <n v="-5.5"/>
    <n v="0"/>
    <n v="0"/>
  </r>
  <r>
    <x v="10"/>
    <s v="Rashmi"/>
    <d v="2023-10-06T00:00:00"/>
    <n v="459.40162500000002"/>
    <m/>
    <n v="0"/>
    <n v="362.6"/>
    <n v="7"/>
    <n v="3215.8113750000002"/>
    <n v="-677.61137499999995"/>
    <n v="-0.21071241313088521"/>
    <n v="3.45"/>
    <n v="24.150000000000002"/>
    <n v="0"/>
    <n v="0"/>
  </r>
  <r>
    <x v="10"/>
    <s v="Rashmi"/>
    <d v="2023-11-12T00:00:00"/>
    <n v="450.18261000000001"/>
    <m/>
    <n v="0"/>
    <n v="362.6"/>
    <n v="7"/>
    <n v="3151.2782700000002"/>
    <n v="-613.07826999999997"/>
    <n v="-0.19454907420790862"/>
    <n v="3.45"/>
    <n v="24.150000000000002"/>
    <n v="0"/>
    <n v="0"/>
  </r>
  <r>
    <x v="3"/>
    <s v="Rashmi"/>
    <d v="2024-02-05T00:00:00"/>
    <n v="721.5"/>
    <m/>
    <n v="0"/>
    <n v="997"/>
    <n v="3"/>
    <n v="2164.5"/>
    <n v="826.5"/>
    <n v="0.38184338184338185"/>
    <n v="9.3000000000000007"/>
    <n v="27.900000000000002"/>
    <n v="0"/>
    <n v="0"/>
  </r>
  <r>
    <x v="3"/>
    <s v="Rashmi"/>
    <d v="2024-04-03T00:00:00"/>
    <n v="743.27499999999998"/>
    <m/>
    <n v="0"/>
    <n v="997"/>
    <n v="3"/>
    <n v="2229.8249999999998"/>
    <n v="761.17500000000007"/>
    <n v="0.34136086912650099"/>
    <n v="9.3000000000000007"/>
    <n v="27.900000000000002"/>
    <n v="0"/>
    <n v="0"/>
  </r>
  <r>
    <x v="5"/>
    <s v="Rashmi"/>
    <d v="2024-04-03T00:00:00"/>
    <n v="972.6"/>
    <m/>
    <n v="0"/>
    <n v="680.5"/>
    <n v="3"/>
    <n v="2917.8"/>
    <n v="-876.30000000000007"/>
    <n v="-0.30032901501130993"/>
    <n v="-1.1499999999999999"/>
    <n v="-3.4499999999999997"/>
    <n v="0"/>
    <n v="0"/>
  </r>
  <r>
    <x v="1"/>
    <s v="Rashmi"/>
    <d v="2024-05-08T00:00:00"/>
    <n v="86.1"/>
    <m/>
    <n v="0"/>
    <n v="91.15"/>
    <n v="57"/>
    <n v="4907.7"/>
    <n v="287.85000000000065"/>
    <n v="5.8652729384436837E-2"/>
    <n v="1.19"/>
    <n v="67.83"/>
    <n v="0"/>
    <n v="0"/>
  </r>
  <r>
    <x v="11"/>
    <s v="Rashmi"/>
    <d v="2024-06-07T00:00:00"/>
    <n v="4718.55"/>
    <m/>
    <n v="0"/>
    <n v="4409.8"/>
    <n v="1"/>
    <n v="4718.55"/>
    <n v="-308.75"/>
    <n v="-6.5433236905405257E-2"/>
    <n v="23.7"/>
    <n v="23.7"/>
    <n v="0"/>
    <n v="0"/>
  </r>
  <r>
    <x v="0"/>
    <s v="Rashmi"/>
    <m/>
    <n v="179.625"/>
    <m/>
    <n v="0"/>
    <n v="369.7"/>
    <n v="60"/>
    <n v="10777.5"/>
    <n v="11404.5"/>
    <n v="1.0581767571329157"/>
    <n v="-0.2"/>
    <n v="-12"/>
    <n v="0"/>
    <n v="0"/>
  </r>
  <r>
    <x v="12"/>
    <s v="Rashmi"/>
    <d v="2024-09-06T00:00:00"/>
    <n v="615"/>
    <m/>
    <n v="0"/>
    <n v="780.7"/>
    <n v="8"/>
    <n v="4920"/>
    <n v="1325.6000000000004"/>
    <n v="0.26943089430894318"/>
    <n v="4.1500000000000004"/>
    <n v="33.200000000000003"/>
    <n v="0"/>
    <n v="0"/>
  </r>
  <r>
    <x v="13"/>
    <s v="Rashmi"/>
    <d v="2024-09-16T00:00:00"/>
    <n v="70"/>
    <d v="2025-11-21T00:00:00"/>
    <n v="105.58"/>
    <n v="95.75"/>
    <n v="114"/>
    <n v="7980"/>
    <n v="0"/>
    <n v="0"/>
    <n v="0"/>
    <n v="0"/>
    <n v="4056.12"/>
    <n v="0.50828571428571423"/>
  </r>
  <r>
    <x v="13"/>
    <s v="Rashmi"/>
    <d v="2024-09-16T00:00:00"/>
    <n v="70"/>
    <m/>
    <n v="154.19999999999999"/>
    <n v="95.75"/>
    <n v="100"/>
    <n v="7000"/>
    <n v="0"/>
    <n v="0"/>
    <n v="0"/>
    <n v="0"/>
    <n v="8419.9999999999982"/>
    <n v="1.2028571428571426"/>
  </r>
  <r>
    <x v="1"/>
    <s v="Rashmi"/>
    <d v="2024-11-01T00:00:00"/>
    <n v="93.5"/>
    <m/>
    <n v="0"/>
    <n v="91.15"/>
    <n v="51"/>
    <n v="4768.5"/>
    <n v="-119.84999999999971"/>
    <n v="-2.5133689839572131E-2"/>
    <n v="1.19"/>
    <n v="60.69"/>
    <n v="0"/>
    <n v="0"/>
  </r>
  <r>
    <x v="14"/>
    <s v="Rashmi"/>
    <d v="2025-05-21T00:00:00"/>
    <n v="434"/>
    <m/>
    <n v="0"/>
    <n v="408.85"/>
    <n v="11"/>
    <n v="4774"/>
    <n v="-276.64999999999975"/>
    <n v="-5.7949308755760313E-2"/>
    <n v="6.15"/>
    <n v="67.650000000000006"/>
    <n v="0"/>
    <n v="0"/>
  </r>
  <r>
    <x v="7"/>
    <s v="Rashmi"/>
    <d v="2025-06-04T00:00:00"/>
    <n v="911.75"/>
    <m/>
    <n v="0"/>
    <n v="776.9"/>
    <n v="5"/>
    <n v="4558.75"/>
    <n v="-674.25000000000011"/>
    <n v="-0.14790238552234716"/>
    <n v="8.4"/>
    <n v="42"/>
    <n v="0"/>
    <n v="0"/>
  </r>
  <r>
    <x v="15"/>
    <s v="Rashmi"/>
    <d v="2025-08-08T00:00:00"/>
    <n v="2500"/>
    <m/>
    <n v="0"/>
    <n v="2808"/>
    <n v="4"/>
    <n v="10000"/>
    <n v="1232"/>
    <n v="0.1232"/>
    <n v="0.4"/>
    <n v="1.6"/>
    <n v="0"/>
    <n v="0"/>
  </r>
  <r>
    <x v="3"/>
    <s v="Rashmi"/>
    <d v="2025-08-26T00:00:00"/>
    <n v="702.16499999999996"/>
    <m/>
    <n v="0"/>
    <n v="997"/>
    <n v="6"/>
    <n v="4212.99"/>
    <n v="1769.0100000000002"/>
    <n v="0.41989418441534404"/>
    <n v="9.3000000000000007"/>
    <n v="55.800000000000004"/>
    <n v="0"/>
    <n v="0"/>
  </r>
  <r>
    <x v="3"/>
    <s v="Rashmi"/>
    <d v="2025-08-26T00:00:00"/>
    <n v="762.86666666666667"/>
    <m/>
    <n v="0"/>
    <n v="997"/>
    <n v="9"/>
    <n v="6865.8"/>
    <n v="2107.1999999999998"/>
    <n v="0.30691252293978849"/>
    <n v="9.3000000000000007"/>
    <n v="83.7"/>
    <n v="0"/>
    <n v="0"/>
  </r>
  <r>
    <x v="16"/>
    <s v="Rashmi"/>
    <d v="2025-10-21T00:00:00"/>
    <n v="1469"/>
    <m/>
    <n v="0"/>
    <n v="1569"/>
    <n v="3"/>
    <n v="4407"/>
    <n v="300"/>
    <n v="6.8073519400953034E-2"/>
    <n v="-6.4"/>
    <n v="-19.200000000000003"/>
    <n v="0"/>
    <n v="0"/>
  </r>
  <r>
    <x v="17"/>
    <s v="Rashmi"/>
    <m/>
    <n v="207.848375"/>
    <m/>
    <n v="0"/>
    <n v="425.5"/>
    <n v="7"/>
    <n v="1454.938625"/>
    <n v="1523.561375"/>
    <n v="1.047165391598563"/>
    <n v="13.8"/>
    <n v="96.600000000000009"/>
    <n v="0"/>
    <n v="0"/>
  </r>
  <r>
    <x v="17"/>
    <s v="Rashmi"/>
    <m/>
    <n v="203.67739"/>
    <m/>
    <n v="0"/>
    <n v="425.5"/>
    <n v="7"/>
    <n v="1425.74173"/>
    <n v="1552.75827"/>
    <n v="1.089088042614843"/>
    <n v="13.8"/>
    <n v="96.600000000000009"/>
    <n v="0"/>
    <n v="0"/>
  </r>
  <r>
    <x v="18"/>
    <s v="Rashmi"/>
    <d v="2025-11-21T00:00:00"/>
    <n v="116.75"/>
    <m/>
    <n v="0"/>
    <n v="116.72"/>
    <n v="50"/>
    <n v="5837.5"/>
    <n v="-1.5000000000000568"/>
    <n v="-2.5695931477517036E-4"/>
    <n v="0.57999999999999996"/>
    <n v="28.999999999999996"/>
    <n v="0"/>
    <n v="0"/>
  </r>
  <r>
    <x v="19"/>
    <s v="Rashmi"/>
    <d v="2025-11-28T00:00:00"/>
    <n v="117.2"/>
    <m/>
    <n v="0"/>
    <n v="120.27"/>
    <n v="50"/>
    <n v="5860"/>
    <n v="153.49999999999966"/>
    <n v="2.6194539249146699E-2"/>
    <n v="-0.84"/>
    <n v="-42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  <r>
    <x v="20"/>
    <m/>
    <m/>
    <m/>
    <m/>
    <m/>
    <s v=""/>
    <m/>
    <n v="0"/>
    <e v="#VALUE!"/>
    <n v="0"/>
    <n v="0"/>
    <n v="0"/>
    <n v="0"/>
    <n v="0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"/>
    <x v="0"/>
    <s v="DHAN"/>
    <m/>
    <n v="3006.15"/>
    <m/>
    <n v="0"/>
    <n v="2543.1999999999998"/>
    <n v="3"/>
    <n v="9018.4500000000007"/>
    <n v="-1388.8500000000008"/>
    <n v="-0.15400096468905419"/>
    <n v="-38.4"/>
    <n v="-115.19999999999999"/>
    <n v="0"/>
    <n v="0"/>
    <m/>
    <m/>
  </r>
  <r>
    <n v="2"/>
    <x v="1"/>
    <s v="DHAN"/>
    <m/>
    <n v="123.5"/>
    <m/>
    <n v="0"/>
    <n v="178.1"/>
    <n v="14"/>
    <n v="1729"/>
    <n v="764.39999999999986"/>
    <n v="0.44210526315789467"/>
    <n v="1.05"/>
    <n v="14.700000000000001"/>
    <n v="0"/>
    <n v="0"/>
    <m/>
    <m/>
  </r>
  <r>
    <n v="3"/>
    <x v="2"/>
    <s v="DHAN"/>
    <m/>
    <n v="1053.95"/>
    <m/>
    <n v="0"/>
    <n v="1224.5"/>
    <n v="10"/>
    <n v="10539.5"/>
    <n v="1705.4999999999995"/>
    <n v="0.16181982067460501"/>
    <n v="-8.6999999999999993"/>
    <n v="-87"/>
    <n v="0"/>
    <n v="0"/>
    <m/>
    <m/>
  </r>
  <r>
    <n v="4"/>
    <x v="3"/>
    <s v="DHAN"/>
    <d v="2023-12-28T00:00:00"/>
    <n v="524"/>
    <d v="2025-07-14T00:00:00"/>
    <n v="1549.15"/>
    <n v="1658"/>
    <n v="8"/>
    <n v="4192"/>
    <n v="0"/>
    <n v="0"/>
    <n v="0"/>
    <n v="0"/>
    <n v="8201.2000000000007"/>
    <n v="1.9563931297709924"/>
    <m/>
    <m/>
  </r>
  <r>
    <n v="5"/>
    <x v="4"/>
    <s v="DHAN"/>
    <m/>
    <n v="1750"/>
    <d v="2025-07-25T00:00:00"/>
    <n v="1948"/>
    <n v="2042"/>
    <n v="4"/>
    <n v="7000"/>
    <n v="0"/>
    <n v="0"/>
    <n v="0"/>
    <n v="0"/>
    <n v="792"/>
    <n v="0.11314285714285714"/>
    <s v="TSL"/>
    <m/>
  </r>
  <r>
    <n v="6"/>
    <x v="5"/>
    <s v="DHAN"/>
    <m/>
    <n v="205.25"/>
    <m/>
    <n v="0"/>
    <n v="369.7"/>
    <n v="66"/>
    <n v="13546.5"/>
    <n v="10853.699999999999"/>
    <n v="0.80121802679658949"/>
    <n v="-0.2"/>
    <n v="-13.200000000000001"/>
    <n v="0"/>
    <n v="0"/>
    <m/>
    <m/>
  </r>
  <r>
    <n v="7"/>
    <x v="6"/>
    <s v="DHAN"/>
    <m/>
    <n v="443"/>
    <m/>
    <n v="0"/>
    <n v="400.65"/>
    <n v="33"/>
    <n v="14619"/>
    <n v="-1397.5500000000006"/>
    <n v="-9.559819413092556E-2"/>
    <n v="14.4"/>
    <n v="475.2"/>
    <n v="0"/>
    <n v="0"/>
    <m/>
    <m/>
  </r>
  <r>
    <n v="8"/>
    <x v="7"/>
    <s v="DHAN"/>
    <m/>
    <n v="1951"/>
    <d v="2025-10-14T00:00:00"/>
    <n v="2193"/>
    <n v="2059"/>
    <n v="5"/>
    <n v="9755"/>
    <n v="0"/>
    <n v="0"/>
    <n v="0"/>
    <n v="0"/>
    <n v="1210"/>
    <n v="0.12403895438236802"/>
    <s v="TSL"/>
    <m/>
  </r>
  <r>
    <n v="9"/>
    <x v="8"/>
    <s v="DHAN"/>
    <m/>
    <n v="4417.1499999999996"/>
    <d v="2025-10-24T00:00:00"/>
    <n v="6800"/>
    <n v="7290"/>
    <n v="1"/>
    <n v="4417.1499999999996"/>
    <n v="0"/>
    <n v="0"/>
    <n v="0"/>
    <n v="0"/>
    <n v="2382.8500000000004"/>
    <n v="0.53945417293956521"/>
    <s v="TSL"/>
    <m/>
  </r>
  <r>
    <n v="10"/>
    <x v="9"/>
    <s v="DHAN"/>
    <m/>
    <n v="110.8"/>
    <m/>
    <n v="0"/>
    <n v="284.25"/>
    <n v="51"/>
    <n v="5650.8"/>
    <n v="8845.9499999999989"/>
    <n v="1.5654332129963899"/>
    <n v="-2.4500000000000002"/>
    <n v="-124.95"/>
    <n v="0"/>
    <n v="0"/>
    <m/>
    <m/>
  </r>
  <r>
    <n v="11"/>
    <x v="9"/>
    <s v="DHAN"/>
    <m/>
    <n v="110.8"/>
    <d v="2025-12-03T00:00:00"/>
    <n v="300"/>
    <n v="284.25"/>
    <n v="51"/>
    <n v="5650.8"/>
    <n v="0"/>
    <n v="0"/>
    <n v="0"/>
    <n v="0"/>
    <n v="9649.1999999999989"/>
    <n v="1.7075812274368229"/>
    <s v="Target"/>
    <m/>
  </r>
  <r>
    <n v="12"/>
    <x v="10"/>
    <s v="DHAN"/>
    <m/>
    <n v="675"/>
    <m/>
    <n v="0"/>
    <n v="863.85"/>
    <n v="10"/>
    <n v="6750"/>
    <n v="1888.5000000000002"/>
    <n v="0.27977777777777779"/>
    <n v="-0.7"/>
    <n v="-7"/>
    <n v="0"/>
    <n v="0"/>
    <m/>
    <m/>
  </r>
  <r>
    <n v="13"/>
    <x v="11"/>
    <s v="DHAN"/>
    <m/>
    <n v="1087.05"/>
    <m/>
    <n v="0"/>
    <n v="1362.4"/>
    <n v="20"/>
    <n v="21741"/>
    <n v="5507.0000000000027"/>
    <n v="0.25330021618140852"/>
    <n v="-6.1"/>
    <n v="-122"/>
    <n v="0"/>
    <n v="0"/>
    <m/>
    <m/>
  </r>
  <r>
    <n v="14"/>
    <x v="12"/>
    <s v="DHAN"/>
    <m/>
    <n v="84.06"/>
    <m/>
    <n v="0"/>
    <n v="84.9"/>
    <n v="140"/>
    <n v="11768.4"/>
    <n v="117.60000000000048"/>
    <n v="9.9928622412562857E-3"/>
    <n v="-0.45"/>
    <n v="-63"/>
    <n v="0"/>
    <n v="0"/>
    <m/>
    <m/>
  </r>
  <r>
    <n v="15"/>
    <x v="13"/>
    <s v="DHAN"/>
    <m/>
    <n v="1000.05"/>
    <m/>
    <n v="0"/>
    <n v="680.5"/>
    <n v="10"/>
    <n v="10000.5"/>
    <n v="-3195.4999999999995"/>
    <n v="-0.31953402329883501"/>
    <n v="-1.1499999999999999"/>
    <n v="-11.5"/>
    <n v="0"/>
    <n v="0"/>
    <m/>
    <m/>
  </r>
  <r>
    <n v="16"/>
    <x v="14"/>
    <s v="DHAN"/>
    <m/>
    <n v="68.05"/>
    <m/>
    <n v="0"/>
    <n v="139"/>
    <n v="200"/>
    <n v="13610"/>
    <n v="14190"/>
    <n v="1.0426157237325497"/>
    <n v="3.33"/>
    <n v="666"/>
    <n v="0"/>
    <n v="0"/>
    <m/>
    <m/>
  </r>
  <r>
    <n v="17"/>
    <x v="15"/>
    <s v="DHAN"/>
    <m/>
    <n v="391.19"/>
    <m/>
    <n v="0"/>
    <n v="408.85"/>
    <n v="20"/>
    <n v="7823.8"/>
    <n v="353.2000000000005"/>
    <n v="4.5144303279736252E-2"/>
    <n v="6.15"/>
    <n v="123"/>
    <n v="0"/>
    <n v="0"/>
    <m/>
    <m/>
  </r>
  <r>
    <n v="18"/>
    <x v="16"/>
    <s v="DHAN"/>
    <m/>
    <n v="611.05999999999995"/>
    <m/>
    <n v="0"/>
    <n v="194.6"/>
    <n v="2"/>
    <n v="1222.1199999999999"/>
    <n v="-832.91999999999985"/>
    <n v="-0.68153700127647032"/>
    <n v="-1.64"/>
    <n v="-3.28"/>
    <n v="0"/>
    <n v="0"/>
    <m/>
    <m/>
  </r>
  <r>
    <n v="19"/>
    <x v="17"/>
    <s v="DHAN"/>
    <m/>
    <n v="192.52"/>
    <d v="2025-12-09T00:00:00"/>
    <n v="291"/>
    <n v="298.5"/>
    <n v="25"/>
    <n v="4813"/>
    <n v="0"/>
    <n v="0"/>
    <n v="0"/>
    <n v="0"/>
    <n v="2461.9999999999995"/>
    <n v="0.5115312694784957"/>
    <m/>
    <m/>
  </r>
  <r>
    <n v="20"/>
    <x v="18"/>
    <s v="DHAN"/>
    <m/>
    <n v="3474.74"/>
    <m/>
    <n v="0"/>
    <n v="4070"/>
    <n v="5"/>
    <n v="17373.699999999997"/>
    <n v="2976.3000000000011"/>
    <n v="0.17131065921479025"/>
    <n v="-2.4"/>
    <n v="-12"/>
    <n v="0"/>
    <n v="0"/>
    <m/>
    <m/>
  </r>
  <r>
    <n v="21"/>
    <x v="19"/>
    <s v="DHAN"/>
    <m/>
    <n v="263"/>
    <m/>
    <n v="0"/>
    <n v="253.65"/>
    <n v="57"/>
    <n v="14991"/>
    <n v="-532.9499999999997"/>
    <n v="-3.5551330798479067E-2"/>
    <n v="1.35"/>
    <n v="76.95"/>
    <n v="0"/>
    <n v="0"/>
    <m/>
    <m/>
  </r>
  <r>
    <n v="22"/>
    <x v="20"/>
    <s v="DHAN"/>
    <m/>
    <n v="4322"/>
    <m/>
    <n v="0"/>
    <n v="7638"/>
    <n v="1"/>
    <n v="4322"/>
    <n v="3316"/>
    <n v="0.76723739009717729"/>
    <n v="35"/>
    <n v="35"/>
    <n v="0"/>
    <n v="0"/>
    <m/>
    <m/>
  </r>
  <r>
    <n v="23"/>
    <x v="21"/>
    <s v="DHAN"/>
    <m/>
    <n v="1237.1300000000001"/>
    <m/>
    <n v="0"/>
    <n v="1569"/>
    <n v="17"/>
    <n v="21031.210000000003"/>
    <n v="5641.7899999999981"/>
    <n v="0.26825798420537844"/>
    <n v="-6.4"/>
    <n v="-108.80000000000001"/>
    <n v="0"/>
    <n v="0"/>
    <m/>
    <m/>
  </r>
  <r>
    <n v="24"/>
    <x v="22"/>
    <s v="DHAN"/>
    <m/>
    <n v="131.19999999999999"/>
    <m/>
    <n v="0"/>
    <n v="133"/>
    <n v="20"/>
    <n v="2624"/>
    <n v="36.000000000000227"/>
    <n v="1.371951219512204E-2"/>
    <n v="2.94"/>
    <n v="58.8"/>
    <n v="0"/>
    <n v="0"/>
    <m/>
    <m/>
  </r>
  <r>
    <n v="25"/>
    <x v="23"/>
    <s v="DHAN"/>
    <m/>
    <n v="817.54"/>
    <m/>
    <n v="0"/>
    <n v="971.25"/>
    <n v="10"/>
    <n v="8175.4"/>
    <n v="1537.1000000000004"/>
    <n v="0.18801526530811954"/>
    <n v="-3.05"/>
    <n v="-30.5"/>
    <n v="0"/>
    <n v="0"/>
    <m/>
    <m/>
  </r>
  <r>
    <n v="26"/>
    <x v="24"/>
    <s v="DHAN"/>
    <m/>
    <n v="1075"/>
    <m/>
    <n v="0"/>
    <n v="776.9"/>
    <n v="4"/>
    <n v="4300"/>
    <n v="-1192.4000000000001"/>
    <n v="-0.27730232558139539"/>
    <n v="8.4"/>
    <n v="33.6"/>
    <n v="0"/>
    <n v="0"/>
    <m/>
    <m/>
  </r>
  <r>
    <n v="27"/>
    <x v="25"/>
    <s v="DHAN"/>
    <m/>
    <n v="445.81063499999999"/>
    <m/>
    <n v="0"/>
    <n v="362.6"/>
    <n v="25"/>
    <n v="11145.265874999999"/>
    <n v="-2080.2658749999991"/>
    <n v="-0.18665017939735773"/>
    <n v="3.45"/>
    <n v="86.25"/>
    <n v="0"/>
    <n v="0"/>
    <m/>
    <m/>
  </r>
  <r>
    <n v="28"/>
    <x v="26"/>
    <s v="DHAN"/>
    <m/>
    <n v="201.699365"/>
    <m/>
    <n v="0"/>
    <n v="425.5"/>
    <n v="25"/>
    <n v="5042.4841249999999"/>
    <n v="5595.0158750000001"/>
    <n v="1.109575307785426"/>
    <n v="13.8"/>
    <n v="345"/>
    <n v="0"/>
    <n v="0"/>
    <m/>
    <m/>
  </r>
  <r>
    <n v="29"/>
    <x v="27"/>
    <s v="DHAN"/>
    <m/>
    <n v="222.67"/>
    <d v="2025-12-08T00:00:00"/>
    <n v="380"/>
    <n v="382.4"/>
    <n v="27"/>
    <n v="6012.0899999999992"/>
    <n v="0"/>
    <n v="0"/>
    <n v="0"/>
    <n v="0"/>
    <n v="4247.9100000000008"/>
    <n v="0.70656127902276922"/>
    <m/>
    <m/>
  </r>
  <r>
    <n v="30"/>
    <x v="28"/>
    <s v="DHAN"/>
    <m/>
    <n v="142.65"/>
    <m/>
    <n v="0"/>
    <n v="170.82"/>
    <n v="106"/>
    <n v="15120.900000000001"/>
    <n v="2986.0199999999986"/>
    <n v="0.19747634069400621"/>
    <n v="1.6"/>
    <n v="169.60000000000002"/>
    <n v="0"/>
    <n v="0"/>
    <m/>
    <m/>
  </r>
  <r>
    <n v="31"/>
    <x v="29"/>
    <s v="DHAN"/>
    <m/>
    <n v="500"/>
    <m/>
    <n v="0"/>
    <n v="661.1"/>
    <n v="20"/>
    <n v="10000"/>
    <n v="3222.0000000000005"/>
    <n v="0.32220000000000004"/>
    <n v="-2.2999999999999998"/>
    <n v="-46"/>
    <n v="0"/>
    <n v="0"/>
    <m/>
    <m/>
  </r>
  <r>
    <n v="32"/>
    <x v="30"/>
    <s v="DHAN"/>
    <m/>
    <n v="93.66"/>
    <m/>
    <n v="0"/>
    <n v="116.72"/>
    <n v="443"/>
    <n v="41491.379999999997"/>
    <n v="10215.580000000002"/>
    <n v="0.24620969464018794"/>
    <n v="0.57999999999999996"/>
    <n v="256.94"/>
    <n v="0"/>
    <n v="0"/>
    <m/>
    <m/>
  </r>
  <r>
    <n v="33"/>
    <x v="31"/>
    <s v="DHAN"/>
    <m/>
    <n v="95.89"/>
    <m/>
    <n v="0"/>
    <n v="168.98"/>
    <n v="190"/>
    <n v="18219.099999999999"/>
    <n v="13887.099999999999"/>
    <n v="0.76222755240379592"/>
    <n v="2.12"/>
    <n v="402.8"/>
    <n v="0"/>
    <n v="0"/>
    <m/>
    <m/>
  </r>
  <r>
    <n v="34"/>
    <x v="32"/>
    <s v="DHAN"/>
    <m/>
    <n v="28.38"/>
    <m/>
    <n v="0"/>
    <n v="25.31"/>
    <n v="751"/>
    <n v="21313.38"/>
    <n v="-2305.5700000000002"/>
    <n v="-0.10817477096546865"/>
    <n v="-0.05"/>
    <n v="-37.550000000000004"/>
    <n v="0"/>
    <n v="0"/>
    <m/>
    <m/>
  </r>
  <r>
    <n v="35"/>
    <x v="33"/>
    <s v="DHAN"/>
    <m/>
    <n v="102.62"/>
    <m/>
    <n v="0"/>
    <n v="114.45"/>
    <n v="50"/>
    <n v="5131"/>
    <n v="591.49999999999989"/>
    <n v="0.11527967257844472"/>
    <n v="0.42"/>
    <n v="21"/>
    <n v="0"/>
    <n v="0"/>
    <m/>
    <m/>
  </r>
  <r>
    <n v="36"/>
    <x v="34"/>
    <s v="DHAN"/>
    <m/>
    <n v="90.5"/>
    <m/>
    <n v="0"/>
    <n v="91.15"/>
    <n v="50"/>
    <n v="4525"/>
    <n v="32.500000000000284"/>
    <n v="7.1823204419890129E-3"/>
    <n v="1.19"/>
    <n v="59.5"/>
    <n v="0"/>
    <n v="0"/>
    <m/>
    <m/>
  </r>
  <r>
    <n v="37"/>
    <x v="35"/>
    <s v="DHAN"/>
    <m/>
    <n v="66.56"/>
    <m/>
    <n v="0"/>
    <n v="116.68"/>
    <n v="100"/>
    <n v="6656"/>
    <n v="5012"/>
    <n v="0.75300480769230771"/>
    <n v="1.7"/>
    <n v="170"/>
    <n v="0"/>
    <n v="0"/>
    <m/>
    <m/>
  </r>
  <r>
    <n v="38"/>
    <x v="36"/>
    <s v="DHAN"/>
    <m/>
    <n v="12.8"/>
    <m/>
    <n v="0"/>
    <n v="21.49"/>
    <n v="700"/>
    <n v="8960"/>
    <n v="6082.9999999999982"/>
    <n v="0.67890624999999982"/>
    <n v="0.34"/>
    <n v="238.00000000000003"/>
    <n v="0"/>
    <n v="0"/>
    <m/>
    <m/>
  </r>
  <r>
    <n v="39"/>
    <x v="35"/>
    <s v="DHAN"/>
    <d v="2025-07-16T00:00:00"/>
    <n v="83.75"/>
    <m/>
    <n v="0"/>
    <n v="116.68"/>
    <n v="50"/>
    <n v="4187.5"/>
    <n v="1646.5000000000005"/>
    <n v="0.39319402985074636"/>
    <n v="1.7"/>
    <n v="85"/>
    <n v="0"/>
    <n v="0"/>
    <m/>
    <m/>
  </r>
  <r>
    <n v="40"/>
    <x v="37"/>
    <s v="DHAN"/>
    <d v="2025-07-16T00:00:00"/>
    <n v="22.35"/>
    <d v="2025-12-22T00:00:00"/>
    <n v="22.73"/>
    <n v="22.76"/>
    <n v="300"/>
    <n v="6705"/>
    <n v="0"/>
    <n v="0"/>
    <n v="0"/>
    <n v="0"/>
    <n v="113.9999999999997"/>
    <n v="1.700223713646528E-2"/>
    <m/>
    <m/>
  </r>
  <r>
    <n v="41"/>
    <x v="38"/>
    <s v="DHAN"/>
    <d v="2025-08-14T00:00:00"/>
    <n v="3018"/>
    <d v="2025-11-07T00:00:00"/>
    <n v="3367.3"/>
    <n v="3685.2"/>
    <n v="3"/>
    <n v="9054"/>
    <n v="0"/>
    <n v="0"/>
    <n v="0"/>
    <n v="0"/>
    <n v="1047.9000000000005"/>
    <n v="0.115738899933731"/>
    <s v="TSL"/>
    <m/>
  </r>
  <r>
    <n v="42"/>
    <x v="1"/>
    <s v="DHAN"/>
    <m/>
    <n v="123.5"/>
    <m/>
    <n v="0"/>
    <n v="178.1"/>
    <n v="14"/>
    <n v="1729"/>
    <n v="764.39999999999986"/>
    <n v="0.44210526315789467"/>
    <n v="1.05"/>
    <n v="14.700000000000001"/>
    <n v="0"/>
    <n v="0"/>
    <m/>
    <m/>
  </r>
  <r>
    <n v="43"/>
    <x v="21"/>
    <s v="DHAN"/>
    <d v="2025-10-21T00:00:00"/>
    <n v="1469"/>
    <m/>
    <n v="0"/>
    <n v="1569"/>
    <n v="5"/>
    <n v="7345"/>
    <n v="500"/>
    <n v="6.8073519400953034E-2"/>
    <n v="-6.4"/>
    <n v="-32"/>
    <n v="0"/>
    <n v="0"/>
    <s v="Diwali 25 Buy"/>
    <m/>
  </r>
  <r>
    <n v="44"/>
    <x v="34"/>
    <s v="DHAN"/>
    <d v="2025-10-21T00:00:00"/>
    <n v="94.12"/>
    <m/>
    <n v="0"/>
    <n v="91.15"/>
    <n v="21"/>
    <n v="1976.52"/>
    <n v="-62.369999999999976"/>
    <n v="-3.1555461113472148E-2"/>
    <n v="1.19"/>
    <n v="24.99"/>
    <n v="0"/>
    <n v="0"/>
    <s v="Diwali 25 Buy"/>
    <m/>
  </r>
  <r>
    <n v="45"/>
    <x v="39"/>
    <s v="DHAN"/>
    <d v="2025-11-28T00:00:00"/>
    <n v="117.2"/>
    <m/>
    <n v="0"/>
    <n v="120.27"/>
    <n v="30"/>
    <n v="3516"/>
    <n v="92.099999999999795"/>
    <n v="2.6194539249146699E-2"/>
    <n v="-0.84"/>
    <n v="-25.2"/>
    <n v="0"/>
    <n v="0"/>
    <m/>
    <m/>
  </r>
  <r>
    <n v="46"/>
    <x v="39"/>
    <s v="DHAN"/>
    <d v="2025-12-04T00:00:00"/>
    <n v="117.5"/>
    <m/>
    <n v="0"/>
    <n v="120.27"/>
    <n v="50"/>
    <n v="5875"/>
    <n v="138.4999999999998"/>
    <n v="2.357446808510635E-2"/>
    <n v="-0.84"/>
    <n v="-42"/>
    <n v="0"/>
    <n v="0"/>
    <m/>
    <m/>
  </r>
  <r>
    <n v="47"/>
    <x v="40"/>
    <s v="DHAN"/>
    <d v="2025-12-22T00:00:00"/>
    <n v="78.349999999999994"/>
    <m/>
    <n v="0"/>
    <n v="81.55"/>
    <n v="100"/>
    <n v="7834.9999999999991"/>
    <n v="320.00000000000028"/>
    <n v="4.0842373962986636E-2"/>
    <n v="3.03"/>
    <n v="303"/>
    <n v="0"/>
    <n v="0"/>
    <m/>
    <m/>
  </r>
  <r>
    <n v="48"/>
    <x v="41"/>
    <s v="DHAN"/>
    <d v="2025-12-22T00:00:00"/>
    <n v="1454.8"/>
    <m/>
    <n v="0"/>
    <n v="1457.7"/>
    <n v="4"/>
    <n v="5819.2"/>
    <n v="11.600000000000364"/>
    <n v="1.9934011547979727E-3"/>
    <n v="1.5"/>
    <n v="6"/>
    <n v="0"/>
    <n v="0"/>
    <m/>
    <m/>
  </r>
  <r>
    <n v="49"/>
    <x v="36"/>
    <s v="DHAN"/>
    <d v="2025-12-22T00:00:00"/>
    <n v="21.15"/>
    <m/>
    <n v="0"/>
    <n v="21.49"/>
    <n v="300"/>
    <n v="6345"/>
    <n v="101.99999999999996"/>
    <n v="1.6075650118203305E-2"/>
    <n v="0.34"/>
    <n v="102.00000000000001"/>
    <n v="0"/>
    <n v="0"/>
    <m/>
    <m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s v="DHAN"/>
    <d v="2025-01-01T00:00:00"/>
    <n v="3006.15"/>
    <m/>
    <m/>
    <n v="2543.1999999999998"/>
    <n v="3"/>
    <n v="9018.4500000000007"/>
    <n v="9018.4500000000007"/>
    <n v="-1388.8500000000008"/>
    <n v="-0.15400096468905419"/>
    <n v="-38.4"/>
    <n v="-115.19999999999999"/>
    <n v="0"/>
    <n v="0"/>
  </r>
  <r>
    <x v="1"/>
    <s v="DHAN"/>
    <d v="2025-05-14T00:00:00"/>
    <n v="267"/>
    <m/>
    <m/>
    <n v="298.5"/>
    <n v="18"/>
    <n v="4806"/>
    <n v="4806"/>
    <n v="567"/>
    <n v="0.11797752808988764"/>
    <n v="-0.25"/>
    <n v="-4.5"/>
    <n v="0"/>
    <n v="0"/>
  </r>
  <r>
    <x v="2"/>
    <s v="DHAN"/>
    <d v="2025-05-20T00:00:00"/>
    <n v="366.5"/>
    <m/>
    <m/>
    <n v="425.5"/>
    <n v="6"/>
    <n v="2199"/>
    <n v="2199"/>
    <n v="354"/>
    <n v="0.16098226466575716"/>
    <n v="13.8"/>
    <n v="82.800000000000011"/>
    <n v="0"/>
    <n v="0"/>
  </r>
  <r>
    <x v="3"/>
    <s v="ANGELONE"/>
    <d v="2025-06-05T00:00:00"/>
    <n v="475"/>
    <d v="2025-06-19T00:00:00"/>
    <n v="446"/>
    <n v="610.20000000000005"/>
    <n v="30"/>
    <n v="14250"/>
    <n v="27630"/>
    <n v="0"/>
    <n v="0"/>
    <n v="0"/>
    <n v="0"/>
    <n v="-870"/>
    <n v="-6.1052631578947365E-2"/>
  </r>
  <r>
    <x v="4"/>
    <s v="DHAN"/>
    <d v="2025-06-05T00:00:00"/>
    <n v="176.2"/>
    <m/>
    <n v="0"/>
    <n v="139"/>
    <n v="50"/>
    <n v="8810"/>
    <n v="8810"/>
    <n v="-1859.9999999999995"/>
    <n v="-0.21112372304199767"/>
    <n v="3.33"/>
    <n v="166.5"/>
    <n v="0"/>
    <n v="0"/>
  </r>
  <r>
    <x v="5"/>
    <s v="RAM"/>
    <d v="2025-06-03T00:00:00"/>
    <n v="2294.8000000000002"/>
    <d v="2025-07-01T00:00:00"/>
    <n v="2302"/>
    <n v="2019"/>
    <n v="5"/>
    <n v="11474"/>
    <n v="22984"/>
    <n v="0"/>
    <n v="0"/>
    <n v="0"/>
    <n v="0"/>
    <n v="35.999999999999091"/>
    <n v="3.1375283249084093E-3"/>
  </r>
  <r>
    <x v="6"/>
    <s v="ANGELONE"/>
    <d v="2025-06-24T00:00:00"/>
    <n v="267.5"/>
    <d v="2025-08-01T00:00:00"/>
    <n v="244.5"/>
    <n v="271.3"/>
    <n v="45"/>
    <n v="12037.5"/>
    <n v="23040"/>
    <n v="0"/>
    <n v="0"/>
    <n v="0"/>
    <n v="0"/>
    <n v="-1035"/>
    <n v="-8.5981308411214957E-2"/>
  </r>
  <r>
    <x v="7"/>
    <s v="RAM"/>
    <d v="2025-06-27T00:00:00"/>
    <n v="359"/>
    <d v="2025-07-11T00:00:00"/>
    <n v="335.6"/>
    <n v="259.10000000000002"/>
    <n v="33"/>
    <n v="11847"/>
    <n v="22921.8"/>
    <n v="0"/>
    <n v="0"/>
    <n v="0"/>
    <n v="0"/>
    <n v="-772.19999999999925"/>
    <n v="-6.5181058495821662E-2"/>
  </r>
  <r>
    <x v="8"/>
    <s v="RAM"/>
    <d v="2025-07-16T00:00:00"/>
    <n v="218.1"/>
    <d v="2025-08-01T00:00:00"/>
    <n v="190"/>
    <n v="177.85"/>
    <n v="40"/>
    <n v="8724"/>
    <n v="16324"/>
    <n v="0"/>
    <n v="0"/>
    <n v="0"/>
    <n v="0"/>
    <n v="-1123.9999999999998"/>
    <n v="-0.12883998165978908"/>
  </r>
  <r>
    <x v="9"/>
    <s v="RAM"/>
    <d v="2025-07-18T00:00:00"/>
    <n v="537.9"/>
    <d v="2025-11-25T00:00:00"/>
    <n v="477.04"/>
    <n v="484.5"/>
    <n v="25"/>
    <n v="13447.5"/>
    <n v="25373.5"/>
    <n v="0"/>
    <n v="0"/>
    <n v="0"/>
    <n v="0"/>
    <n v="-1521.4999999999989"/>
    <n v="-0.1131437070087376"/>
  </r>
  <r>
    <x v="10"/>
    <s v="RAM"/>
    <d v="2025-08-18T00:00:00"/>
    <n v="1402"/>
    <m/>
    <n v="0"/>
    <n v="1380"/>
    <n v="5"/>
    <n v="7010"/>
    <n v="7010"/>
    <n v="-110"/>
    <n v="-1.5691868758915834E-2"/>
    <n v="-8"/>
    <n v="-40"/>
    <n v="0"/>
    <n v="0"/>
  </r>
  <r>
    <x v="11"/>
    <s v="RAM"/>
    <d v="2025-08-19T00:00:00"/>
    <n v="589.1"/>
    <d v="2025-08-28T00:00:00"/>
    <n v="550"/>
    <n v="532"/>
    <n v="19"/>
    <n v="11192.9"/>
    <n v="21642.899999999998"/>
    <n v="0"/>
    <n v="0"/>
    <n v="0"/>
    <n v="0"/>
    <n v="-742.90000000000043"/>
    <n v="-6.6372432524189479E-2"/>
  </r>
  <r>
    <x v="12"/>
    <s v="RAM"/>
    <d v="2025-10-08T00:00:00"/>
    <n v="920"/>
    <m/>
    <m/>
    <n v="835"/>
    <n v="11"/>
    <n v="10120"/>
    <n v="10120"/>
    <n v="-935"/>
    <n v="-9.2391304347826081E-2"/>
    <n v="18.5"/>
    <n v="203.5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  <r>
    <x v="13"/>
    <m/>
    <m/>
    <m/>
    <m/>
    <m/>
    <s v=""/>
    <m/>
    <n v="0"/>
    <n v="0"/>
    <e v="#VALUE!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 3" cacheId="162" applyNumberFormats="0" applyBorderFormats="0" applyFontFormats="0" applyPatternFormats="0" applyAlignmentFormats="0" applyWidthHeightFormats="0" dataCaption="" updatedVersion="8" compact="0" compactData="0">
  <location ref="K2:N25" firstHeaderRow="1" firstDataRow="2" firstDataCol="1"/>
  <pivotFields count="15">
    <pivotField name="SYMBOL" axis="axisRow" compact="0" numFmtId="164" outline="0" multipleItemSelectionAllowed="1" showAll="0" sortType="ascending">
      <items count="22">
        <item x="15"/>
        <item x="13"/>
        <item x="0"/>
        <item x="1"/>
        <item x="11"/>
        <item x="2"/>
        <item x="3"/>
        <item x="18"/>
        <item x="4"/>
        <item x="5"/>
        <item x="14"/>
        <item x="9"/>
        <item x="6"/>
        <item x="19"/>
        <item x="8"/>
        <item x="16"/>
        <item x="7"/>
        <item x="17"/>
        <item x="10"/>
        <item x="12"/>
        <item x="20"/>
        <item t="default"/>
      </items>
    </pivotField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3" baseField="0"/>
    <dataField name="Unrealised P/L" fld="9" baseField="0"/>
    <dataField name="Change Today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 4" cacheId="158" applyNumberFormats="0" applyBorderFormats="0" applyFontFormats="0" applyPatternFormats="0" applyAlignmentFormats="0" applyWidthHeightFormats="0" dataCaption="" updatedVersion="8" compact="0" compactData="0">
  <location ref="P2:S15" firstHeaderRow="1" firstDataRow="2" firstDataCol="1"/>
  <pivotFields count="15">
    <pivotField name="SYMBOL" axis="axisRow" compact="0" numFmtId="164" outline="0" multipleItemSelectionAllowed="1" showAll="0" sortType="ascending">
      <items count="12">
        <item x="0"/>
        <item x="9"/>
        <item x="7"/>
        <item x="1"/>
        <item x="2"/>
        <item x="3"/>
        <item x="4"/>
        <item x="6"/>
        <item x="8"/>
        <item x="10"/>
        <item x="5"/>
        <item t="default"/>
      </items>
    </pivotField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3" baseField="0"/>
    <dataField name="Unrealised P/L" fld="9" baseField="0"/>
    <dataField name="Change Today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" cacheId="170" applyNumberFormats="0" applyBorderFormats="0" applyFontFormats="0" applyPatternFormats="0" applyAlignmentFormats="0" applyWidthHeightFormats="0" dataCaption="" updatedVersion="8" compact="0" compactData="0">
  <location ref="A2:D18" firstHeaderRow="1" firstDataRow="2" firstDataCol="1"/>
  <pivotFields count="16">
    <pivotField name="SYMBOL" axis="axisRow" compact="0" numFmtId="164" outline="0" multipleItemSelectionAllowed="1" showAll="0" sortType="ascending">
      <items count="15">
        <item x="0"/>
        <item x="7"/>
        <item x="5"/>
        <item x="3"/>
        <item x="11"/>
        <item x="4"/>
        <item x="1"/>
        <item x="9"/>
        <item x="8"/>
        <item x="12"/>
        <item x="2"/>
        <item x="10"/>
        <item x="6"/>
        <item x="13"/>
        <item t="default"/>
      </items>
    </pivotField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4" baseField="0"/>
    <dataField name="Unrealised P/L" fld="10" baseField="0"/>
    <dataField name="Change Today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 2" cacheId="166" applyNumberFormats="0" applyBorderFormats="0" applyFontFormats="0" applyPatternFormats="0" applyAlignmentFormats="0" applyWidthHeightFormats="0" dataCaption="" updatedVersion="8" compact="0" compactData="0">
  <location ref="F2:I46" firstHeaderRow="1" firstDataRow="2" firstDataCol="1"/>
  <pivotFields count="18">
    <pivotField name="Column 1" compact="0" outline="0" multipleItemSelectionAllowed="1" showAll="0"/>
    <pivotField name="SYMBOL" axis="axisRow" compact="0" numFmtId="164" outline="0" multipleItemSelectionAllowed="1" showAll="0" sortType="ascending">
      <items count="43">
        <item x="32"/>
        <item x="0"/>
        <item x="1"/>
        <item x="2"/>
        <item x="3"/>
        <item x="4"/>
        <item x="41"/>
        <item x="5"/>
        <item x="6"/>
        <item x="34"/>
        <item x="7"/>
        <item x="8"/>
        <item x="9"/>
        <item x="36"/>
        <item x="10"/>
        <item x="30"/>
        <item x="11"/>
        <item x="12"/>
        <item x="13"/>
        <item x="14"/>
        <item x="15"/>
        <item x="16"/>
        <item x="17"/>
        <item x="18"/>
        <item x="31"/>
        <item x="37"/>
        <item x="39"/>
        <item x="33"/>
        <item x="40"/>
        <item x="19"/>
        <item x="20"/>
        <item x="21"/>
        <item x="22"/>
        <item x="23"/>
        <item x="35"/>
        <item x="24"/>
        <item x="27"/>
        <item x="28"/>
        <item x="29"/>
        <item x="26"/>
        <item x="25"/>
        <item x="38"/>
        <item t="default"/>
      </items>
    </pivotField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  <pivotField compact="0" outline="0" showAll="0" includeNewItemsInFilter="1"/>
    <pivotField name="Column 2" compact="0" outline="0" multipleItemSelectionAllowed="1" showAll="0"/>
  </pivotFields>
  <rowFields count="1">
    <field x="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alised P/L" fld="14" baseField="0"/>
    <dataField name="SUM of Unrealised P/L" fld="10" baseField="0"/>
    <dataField name="SUM of Change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Equity_Trade-2025" cacheId="154" applyNumberFormats="0" applyBorderFormats="0" applyFontFormats="0" applyPatternFormats="0" applyAlignmentFormats="0" applyWidthHeightFormats="0" dataCaption="" updatedVersion="8" compact="0" compactData="0">
  <location ref="AG2:AJ18" firstHeaderRow="1" firstDataRow="2" firstDataCol="2"/>
  <pivotFields count="16">
    <pivotField name="Column 1" compact="0" outline="0" multipleItemSelectionAllowed="1" showAll="0"/>
    <pivotField name="SYMBOL" axis="axisRow" compact="0" numFmtId="164" outline="0" multipleItemSelectionAllowed="1" showAll="0" sortType="ascending">
      <items count="15">
        <item x="0"/>
        <item x="7"/>
        <item x="5"/>
        <item x="3"/>
        <item x="11"/>
        <item x="4"/>
        <item x="1"/>
        <item x="9"/>
        <item x="8"/>
        <item x="12"/>
        <item x="2"/>
        <item x="10"/>
        <item x="6"/>
        <item x="13"/>
        <item t="default"/>
      </items>
    </pivotField>
    <pivotField name="Holder" axis="axisRow" compact="0" outline="0" multipleItemSelectionAllowed="1" showAll="0" sortType="ascending" defaultSubtotal="0">
      <items count="4">
        <item x="1"/>
        <item x="0"/>
        <item x="2"/>
        <item x="3"/>
      </items>
    </pivotField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</pivotFields>
  <rowFields count="2">
    <field x="2"/>
    <field x="1"/>
  </rowFields>
  <rowItems count="15">
    <i>
      <x/>
      <x v="3"/>
    </i>
    <i r="1">
      <x v="12"/>
    </i>
    <i>
      <x v="1"/>
      <x/>
    </i>
    <i r="1">
      <x v="5"/>
    </i>
    <i r="1">
      <x v="6"/>
    </i>
    <i r="1">
      <x v="10"/>
    </i>
    <i>
      <x v="2"/>
      <x v="1"/>
    </i>
    <i r="1">
      <x v="2"/>
    </i>
    <i r="1">
      <x v="4"/>
    </i>
    <i r="1">
      <x v="7"/>
    </i>
    <i r="1">
      <x v="8"/>
    </i>
    <i r="1">
      <x v="9"/>
    </i>
    <i r="1">
      <x v="11"/>
    </i>
    <i>
      <x v="3"/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realised P/L" fld="11" baseField="0"/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Equity_Trade-2025 2" cacheId="170" applyNumberFormats="0" applyBorderFormats="0" applyFontFormats="0" applyPatternFormats="0" applyAlignmentFormats="0" applyWidthHeightFormats="0" dataCaption="" updatedVersion="8" compact="0" compactData="0">
  <location ref="AL2:AO18" firstHeaderRow="1" firstDataRow="2" firstDataCol="1"/>
  <pivotFields count="16">
    <pivotField name="SYMBOL" axis="axisRow" compact="0" numFmtId="164" outline="0" multipleItemSelectionAllowed="1" showAll="0" sortType="ascending">
      <items count="15">
        <item x="0"/>
        <item x="7"/>
        <item x="5"/>
        <item x="3"/>
        <item x="11"/>
        <item x="4"/>
        <item x="1"/>
        <item x="9"/>
        <item x="8"/>
        <item x="12"/>
        <item x="2"/>
        <item x="10"/>
        <item x="6"/>
        <item x="13"/>
        <item t="default"/>
      </items>
    </pivotField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4" baseField="0"/>
    <dataField name="Unrealised P/L" fld="10" baseField="0"/>
    <dataField name="Change Today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Equity_Trade-2025 3" cacheId="149" applyNumberFormats="0" applyBorderFormats="0" applyFontFormats="0" applyPatternFormats="0" applyAlignmentFormats="0" applyWidthHeightFormats="0" dataCaption="" updatedVersion="8" compact="0" compactData="0">
  <location ref="AD7:AE15" firstHeaderRow="1" firstDataRow="1" firstDataCol="1"/>
  <pivotFields count="17">
    <pivotField name="Column 1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axis="axisRow" compact="0" outline="0" multipleItemSelectionAllowed="1" showAll="0" sortType="ascending">
      <items count="8">
        <item x="1"/>
        <item x="2"/>
        <item x="4"/>
        <item x="3"/>
        <item x="6"/>
        <item x="5"/>
        <item x="0"/>
        <item t="default"/>
      </items>
    </pivotField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Dashrathlal 2" cacheId="140" applyNumberFormats="0" applyBorderFormats="0" applyFontFormats="0" applyPatternFormats="0" applyAlignmentFormats="0" applyWidthHeightFormats="0" dataCaption="" updatedVersion="8" compact="0" compactData="0">
  <location ref="AL2:AO19" firstHeaderRow="1" firstDataRow="2" firstDataCol="1"/>
  <pivotFields count="16">
    <pivotField name="SYMBOL" axis="axisRow" compact="0" numFmtId="164" outline="0" multipleItemSelectionAllowed="1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4" baseField="0"/>
    <dataField name="Unrealised P/L" fld="10" baseField="0"/>
    <dataField name="Change Today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Dashrathlal 3" cacheId="136" applyNumberFormats="0" applyBorderFormats="0" applyFontFormats="0" applyPatternFormats="0" applyAlignmentFormats="0" applyWidthHeightFormats="0" dataCaption="" updatedVersion="8" compact="0" compactData="0">
  <location ref="AD7:AE9" firstHeaderRow="1" firstDataRow="1" firstDataCol="1"/>
  <pivotFields count="17">
    <pivotField name="Column 1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axis="axisRow" compact="0" outline="0" multipleItemSelectionAllowed="1" showAll="0" sortType="ascending">
      <items count="2">
        <item x="0"/>
        <item t="default"/>
      </items>
    </pivotField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Dashrathlal" cacheId="145" applyNumberFormats="0" applyBorderFormats="0" applyFontFormats="0" applyPatternFormats="0" applyAlignmentFormats="0" applyWidthHeightFormats="0" dataCaption="" updatedVersion="8" compact="0" compactData="0">
  <location ref="AG2:AJ19" firstHeaderRow="1" firstDataRow="2" firstDataCol="2"/>
  <pivotFields count="16">
    <pivotField name="Column 1" compact="0" outline="0" multipleItemSelectionAllowed="1" showAll="0"/>
    <pivotField name="SYMBOL" axis="axisRow" compact="0" numFmtId="164" outline="0" multipleItemSelectionAllowed="1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older" axis="axisRow" compact="0" outline="0" multipleItemSelectionAllowed="1" showAll="0" sortType="ascending" defaultSubtotal="0">
      <items count="2">
        <item x="0"/>
        <item x="1"/>
      </items>
    </pivotField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</pivotFields>
  <rowFields count="2">
    <field x="2"/>
    <field x="1"/>
  </rowFields>
  <row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realised P/L" fld="11" baseField="0"/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C000000}" name="Ramkishor" cacheId="132" applyNumberFormats="0" applyBorderFormats="0" applyFontFormats="0" applyPatternFormats="0" applyAlignmentFormats="0" applyWidthHeightFormats="0" dataCaption="" updatedVersion="8" compact="0" compactData="0">
  <location ref="AG2:AJ15" firstHeaderRow="1" firstDataRow="2" firstDataCol="2"/>
  <pivotFields count="16">
    <pivotField name="Column 1" compact="0" outline="0" multipleItemSelectionAllowed="1" showAll="0"/>
    <pivotField name="SYMBOL" axis="axisRow" compact="0" numFmtId="164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lder" axis="axisRow" compact="0" outline="0" multipleItemSelectionAllowed="1" showAll="0" sortType="ascending" defaultSubtotal="0">
      <items count="2">
        <item x="0"/>
        <item x="1"/>
      </items>
    </pivotField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</pivotFields>
  <rowFields count="2">
    <field x="2"/>
    <field x="1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realised P/L" fld="11" baseField="0"/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B000000}" name="Ramkishor 2" cacheId="127" applyNumberFormats="0" applyBorderFormats="0" applyFontFormats="0" applyPatternFormats="0" applyAlignmentFormats="0" applyWidthHeightFormats="0" dataCaption="" updatedVersion="8" compact="0" compactData="0">
  <location ref="AL2:AO14" firstHeaderRow="1" firstDataRow="2" firstDataCol="1"/>
  <pivotFields count="16">
    <pivotField name="SYMBOL" axis="axisRow" compact="0" numFmtId="164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4" baseField="0"/>
    <dataField name="Unrealised P/L" fld="10" baseField="0"/>
    <dataField name="Change Today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A000000}" name="Ramkishor 3" cacheId="123" applyNumberFormats="0" applyBorderFormats="0" applyFontFormats="0" applyPatternFormats="0" applyAlignmentFormats="0" applyWidthHeightFormats="0" dataCaption="" updatedVersion="8" compact="0" compactData="0">
  <location ref="AD7:AE9" firstHeaderRow="1" firstDataRow="1" firstDataCol="1"/>
  <pivotFields count="17">
    <pivotField name="Column 1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axis="axisRow" compact="0" outline="0" multipleItemSelectionAllowed="1" showAll="0" sortType="ascending">
      <items count="2">
        <item x="0"/>
        <item t="default"/>
      </items>
    </pivotField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D000000}" name="Rashmi" cacheId="162" applyNumberFormats="0" applyBorderFormats="0" applyFontFormats="0" applyPatternFormats="0" applyAlignmentFormats="0" applyWidthHeightFormats="0" dataCaption="" updatedVersion="8" compact="0" compactData="0">
  <location ref="R2:W25" firstHeaderRow="1" firstDataRow="2" firstDataCol="1"/>
  <pivotFields count="15">
    <pivotField name="SYMBOL" axis="axisRow" compact="0" numFmtId="164" outline="0" multipleItemSelectionAllowed="1" showAll="0" sortType="ascending">
      <items count="22">
        <item x="15"/>
        <item x="13"/>
        <item x="0"/>
        <item x="1"/>
        <item x="11"/>
        <item x="2"/>
        <item x="3"/>
        <item x="18"/>
        <item x="4"/>
        <item x="5"/>
        <item x="14"/>
        <item x="9"/>
        <item x="6"/>
        <item x="19"/>
        <item x="8"/>
        <item x="16"/>
        <item x="7"/>
        <item x="17"/>
        <item x="10"/>
        <item x="12"/>
        <item x="20"/>
        <item t="default"/>
      </items>
    </pivotField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dataField="1" compact="0" outline="0" multipleItemSelectionAllowed="1" showAll="0"/>
    <pivotField name="Invested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QTY" fld="7" baseField="0"/>
    <dataField name="Realised P/L" fld="13" baseField="0"/>
    <dataField name="Unrealised P/L" fld="9" baseField="0"/>
    <dataField name="Change Today" fld="12" baseField="0"/>
    <dataField name="SUM of QTY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E000000}" name="Aishwarya" cacheId="119" applyNumberFormats="0" applyBorderFormats="0" applyFontFormats="0" applyPatternFormats="0" applyAlignmentFormats="0" applyWidthHeightFormats="0" dataCaption="" updatedVersion="8" compact="0" compactData="0">
  <location ref="R2:V14" firstHeaderRow="1" firstDataRow="2" firstDataCol="1"/>
  <pivotFields count="15">
    <pivotField name="SYMBOL" axis="axisRow" compact="0" numFmtId="164" outline="0" multipleItemSelectionAllowed="1" showAll="0" sortType="ascending">
      <items count="11">
        <item x="0"/>
        <item x="9"/>
        <item x="7"/>
        <item x="1"/>
        <item x="2"/>
        <item x="3"/>
        <item x="4"/>
        <item x="6"/>
        <item x="8"/>
        <item x="5"/>
        <item t="default"/>
      </items>
    </pivotField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dataField="1" compact="0" outline="0" multipleItemSelectionAllowed="1" showAll="0"/>
    <pivotField name="Invested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TY" fld="7" baseField="0"/>
    <dataField name="Realised P/L" fld="13" baseField="0"/>
    <dataField name="Unrealised P/L" fld="9" baseField="0"/>
    <dataField name="Change Today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F000000}" name="Sudhadevi" cacheId="166" applyNumberFormats="0" applyBorderFormats="0" applyFontFormats="0" applyPatternFormats="0" applyAlignmentFormats="0" applyWidthHeightFormats="0" dataCaption="" updatedVersion="8" compact="0" compactData="0">
  <location ref="R2:U46" firstHeaderRow="1" firstDataRow="2" firstDataCol="1"/>
  <pivotFields count="18">
    <pivotField name="Column 1" compact="0" outline="0" multipleItemSelectionAllowed="1" showAll="0"/>
    <pivotField name="SYMBOL" axis="axisRow" compact="0" numFmtId="164" outline="0" multipleItemSelectionAllowed="1" showAll="0" sortType="ascending">
      <items count="43">
        <item x="32"/>
        <item x="0"/>
        <item x="1"/>
        <item x="2"/>
        <item x="3"/>
        <item x="4"/>
        <item x="41"/>
        <item x="5"/>
        <item x="6"/>
        <item x="34"/>
        <item x="7"/>
        <item x="8"/>
        <item x="9"/>
        <item x="36"/>
        <item x="10"/>
        <item x="30"/>
        <item x="11"/>
        <item x="12"/>
        <item x="13"/>
        <item x="14"/>
        <item x="15"/>
        <item x="16"/>
        <item x="17"/>
        <item x="18"/>
        <item x="31"/>
        <item x="37"/>
        <item x="39"/>
        <item x="33"/>
        <item x="40"/>
        <item x="19"/>
        <item x="20"/>
        <item x="21"/>
        <item x="22"/>
        <item x="23"/>
        <item x="35"/>
        <item x="24"/>
        <item x="27"/>
        <item x="28"/>
        <item x="29"/>
        <item x="26"/>
        <item x="25"/>
        <item x="38"/>
        <item t="default"/>
      </items>
    </pivotField>
    <pivotField name="Holder" compact="0" outline="0" multipleItemSelectionAllowed="1" showAll="0"/>
    <pivotField name="Buy Date" compact="0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  <pivotField compact="0" outline="0" showAll="0" includeNewItemsInFilter="1"/>
    <pivotField name="Column 2" compact="0" outline="0" multipleItemSelectionAllowed="1" showAll="0"/>
  </pivotFields>
  <rowFields count="1">
    <field x="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alised P/L" fld="14" baseField="0"/>
    <dataField name="SUM of Unrealised P/L" fld="10" baseField="0"/>
    <dataField name="SUM of Change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3000000}" name="Long Term Holiding 3" cacheId="106" applyNumberFormats="0" applyBorderFormats="0" applyFontFormats="0" applyPatternFormats="0" applyAlignmentFormats="0" applyWidthHeightFormats="0" dataCaption="" updatedVersion="8" compact="0" compactData="0">
  <location ref="AM2:AO52" firstHeaderRow="1" firstDataRow="2" firstDataCol="1"/>
  <pivotFields count="16">
    <pivotField name="SYMBOL" axis="axisRow" compact="0" numFmtId="164" outline="0" multipleItemSelectionAllowed="1" showAll="0" sortType="ascending">
      <items count="49">
        <item x="10"/>
        <item x="13"/>
        <item x="41"/>
        <item x="40"/>
        <item x="43"/>
        <item x="15"/>
        <item x="28"/>
        <item x="2"/>
        <item x="9"/>
        <item x="3"/>
        <item x="29"/>
        <item x="21"/>
        <item x="19"/>
        <item x="37"/>
        <item x="1"/>
        <item x="27"/>
        <item x="18"/>
        <item x="32"/>
        <item x="7"/>
        <item x="42"/>
        <item x="4"/>
        <item x="12"/>
        <item x="5"/>
        <item x="26"/>
        <item x="36"/>
        <item x="16"/>
        <item x="24"/>
        <item x="44"/>
        <item x="8"/>
        <item x="30"/>
        <item x="14"/>
        <item x="38"/>
        <item x="35"/>
        <item x="31"/>
        <item x="0"/>
        <item x="33"/>
        <item x="46"/>
        <item x="11"/>
        <item x="47"/>
        <item x="34"/>
        <item x="17"/>
        <item x="22"/>
        <item x="20"/>
        <item x="6"/>
        <item x="25"/>
        <item x="45"/>
        <item x="23"/>
        <item x="39"/>
        <item t="default"/>
      </items>
    </pivotField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outline="0" multipleItemSelectionAllowed="1" showAll="0"/>
    <pivotField name="U P/L %" compact="0" outline="0" multipleItemSelectionAllowed="1" showAll="0"/>
    <pivotField name="Change" compact="0" outline="0" multipleItemSelectionAllowed="1" showAll="0"/>
    <pivotField compact="0" outline="0" showAll="0" includeNewItemsInFilter="1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Realised P/L" fld="14" baseField="0"/>
    <dataField name="Unrealised P/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2000000}" name="Long Term Holiding 4" cacheId="106" applyNumberFormats="0" applyBorderFormats="0" applyFontFormats="0" applyPatternFormats="0" applyAlignmentFormats="0" applyWidthHeightFormats="0" dataCaption="" updatedVersion="8" compact="0" compactData="0">
  <location ref="AR2:AT10" firstHeaderRow="1" firstDataRow="2" firstDataCol="1"/>
  <pivotFields count="16">
    <pivotField name="SYMBOL" compact="0" numFmtId="164" outline="0" multipleItemSelectionAllowed="1" showAll="0"/>
    <pivotField name="Holder" axis="axisRow" compact="0" outline="0" multipleItemSelectionAllowed="1" showAll="0" sortType="ascending">
      <items count="7">
        <item x="3"/>
        <item x="0"/>
        <item x="5"/>
        <item x="4"/>
        <item x="2"/>
        <item x="1"/>
        <item t="default"/>
      </items>
    </pivotField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outline="0" multipleItemSelectionAllowed="1" showAll="0"/>
    <pivotField name="U P/L %" compact="0" outline="0" multipleItemSelectionAllowed="1" showAll="0"/>
    <pivotField name="Change" compact="0" outline="0" multipleItemSelectionAllowed="1" showAll="0"/>
    <pivotField compact="0" outline="0" showAll="0" includeNewItemsInFilter="1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Realised P/L" fld="14" baseField="0"/>
    <dataField name="Unrealised P/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1000000}" name="Long Term Holiding" cacheId="115" applyNumberFormats="0" applyBorderFormats="0" applyFontFormats="0" applyPatternFormats="0" applyAlignmentFormats="0" applyWidthHeightFormats="0" dataCaption="" updatedVersion="8" compact="0" compactData="0">
  <location ref="AD2:AE24" firstHeaderRow="1" firstDataRow="1" firstDataCol="1"/>
  <pivotFields count="17">
    <pivotField name="h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axis="axisRow" compact="0" outline="0" multipleItemSelectionAllowed="1" showAll="0" sortType="ascending">
      <items count="22">
        <item x="9"/>
        <item x="6"/>
        <item x="1"/>
        <item x="3"/>
        <item x="12"/>
        <item x="13"/>
        <item x="17"/>
        <item x="14"/>
        <item x="15"/>
        <item x="7"/>
        <item x="5"/>
        <item x="8"/>
        <item x="19"/>
        <item x="4"/>
        <item x="20"/>
        <item x="18"/>
        <item x="10"/>
        <item x="2"/>
        <item x="11"/>
        <item x="16"/>
        <item x="0"/>
        <item t="default"/>
      </items>
    </pivotField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outline="0" multipleItemSelectionAllowed="1" showAll="0"/>
    <pivotField name="U P/L %" compact="0" outline="0" multipleItemSelectionAllowed="1" showAll="0"/>
    <pivotField name="Change" compact="0" outline="0" multipleItemSelectionAllowed="1" showAll="0"/>
    <pivotField compact="0" outline="0" showAll="0" includeNewItemsInFilter="1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0000000}" name="Long Term Holiding 2" cacheId="111" applyNumberFormats="0" applyBorderFormats="0" applyFontFormats="0" applyPatternFormats="0" applyAlignmentFormats="0" applyWidthHeightFormats="0" dataCaption="" updatedVersion="8" compact="0" compactData="0">
  <location ref="AG2:AJ12" firstHeaderRow="1" firstDataRow="2" firstDataCol="2"/>
  <pivotFields count="16">
    <pivotField name="h" compact="0" outline="0" multipleItemSelectionAllowed="1" showAll="0"/>
    <pivotField name="SYMBOL" axis="axisRow" compact="0" numFmtId="164" outline="0" multipleItemSelectionAllowed="1" showAll="0" sortType="ascending">
      <items count="49">
        <item x="10"/>
        <item x="13"/>
        <item x="41"/>
        <item x="40"/>
        <item x="43"/>
        <item x="15"/>
        <item x="28"/>
        <item x="2"/>
        <item x="9"/>
        <item x="3"/>
        <item x="29"/>
        <item x="21"/>
        <item x="19"/>
        <item x="37"/>
        <item x="1"/>
        <item x="27"/>
        <item x="18"/>
        <item x="32"/>
        <item x="7"/>
        <item x="42"/>
        <item x="4"/>
        <item x="12"/>
        <item x="5"/>
        <item x="26"/>
        <item x="36"/>
        <item x="16"/>
        <item x="24"/>
        <item x="44"/>
        <item x="8"/>
        <item x="30"/>
        <item x="14"/>
        <item x="38"/>
        <item x="35"/>
        <item x="31"/>
        <item x="0"/>
        <item x="33"/>
        <item x="46"/>
        <item x="11"/>
        <item x="47"/>
        <item x="34"/>
        <item x="17"/>
        <item x="22"/>
        <item x="20"/>
        <item x="6"/>
        <item x="25"/>
        <item x="45"/>
        <item x="23"/>
        <item x="39"/>
        <item t="default"/>
      </items>
    </pivotField>
    <pivotField name="Holder" axis="axisRow" compact="0" outline="0" multipleItemSelectionAllowed="1" showAll="0" sortType="ascending">
      <items count="7">
        <item sd="0" x="3"/>
        <item sd="0" x="0"/>
        <item sd="0" x="5"/>
        <item sd="0" x="4"/>
        <item sd="0" x="2"/>
        <item x="1"/>
        <item t="default"/>
      </items>
    </pivotField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outline="0" multipleItemSelectionAllowed="1" showAll="0"/>
    <pivotField name="U P/L %" compact="0" outline="0" multipleItemSelectionAllowed="1" showAll="0"/>
    <pivotField name="Change" compact="0" outline="0" multipleItemSelectionAllowed="1" showAll="0"/>
    <pivotField compact="0" outline="0" showAll="0" includeNewItemsInFilter="1"/>
    <pivotField name="Realised P/L" dataField="1" compact="0" numFmtId="164" outline="0" multipleItemSelectionAllowed="1" showAll="0"/>
  </pivotFields>
  <rowFields count="2">
    <field x="2"/>
    <field x="1"/>
  </rowFields>
  <rowItems count="9">
    <i>
      <x/>
    </i>
    <i>
      <x v="1"/>
    </i>
    <i>
      <x v="2"/>
    </i>
    <i>
      <x v="3"/>
    </i>
    <i>
      <x v="4"/>
    </i>
    <i>
      <x v="5"/>
      <x v="9"/>
    </i>
    <i r="1">
      <x v="22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realised P/L" fld="11" baseField="0"/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15000000}" name="Dividend" cacheId="101" applyNumberFormats="0" applyBorderFormats="0" applyFontFormats="0" applyPatternFormats="0" applyAlignmentFormats="0" applyWidthHeightFormats="0" dataCaption="" updatedVersion="8" compact="0" compactData="0">
  <location ref="J1:P38" firstHeaderRow="1" firstDataRow="2" firstDataCol="1"/>
  <pivotFields count="5">
    <pivotField name="Date" compact="0" numFmtId="165" outline="0" multipleItemSelectionAllowed="1" showAll="0"/>
    <pivotField name="Payment_Date" compact="0" outline="0" multipleItemSelectionAllowed="1" showAll="0"/>
    <pivotField name="Holder" axis="axisCol" compact="0" outline="0" multipleItemSelectionAllowed="1" showAll="0" sortType="ascending">
      <items count="6">
        <item x="0"/>
        <item x="3"/>
        <item x="2"/>
        <item x="4"/>
        <item x="1"/>
        <item t="default"/>
      </items>
    </pivotField>
    <pivotField name="Symbol" axis="axisRow" compact="0" outline="0" multipleItemSelectionAllowed="1" showAll="0" sortType="ascending">
      <items count="36">
        <item x="21"/>
        <item x="6"/>
        <item x="14"/>
        <item x="2"/>
        <item x="28"/>
        <item x="7"/>
        <item x="22"/>
        <item x="33"/>
        <item x="30"/>
        <item x="9"/>
        <item x="11"/>
        <item x="0"/>
        <item x="10"/>
        <item x="27"/>
        <item x="31"/>
        <item x="13"/>
        <item x="29"/>
        <item x="15"/>
        <item x="34"/>
        <item x="32"/>
        <item x="25"/>
        <item x="26"/>
        <item x="16"/>
        <item x="12"/>
        <item x="19"/>
        <item x="20"/>
        <item x="23"/>
        <item x="5"/>
        <item x="1"/>
        <item x="8"/>
        <item x="3"/>
        <item x="4"/>
        <item x="24"/>
        <item x="17"/>
        <item x="18"/>
        <item t="default"/>
      </items>
    </pivotField>
    <pivotField name="Amount" dataField="1" compact="0" numFmtId="164" outline="0" multipleItemSelectionAllowed="1" showAll="0"/>
  </pivotFields>
  <rowFields count="1">
    <field x="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14000000}" name="Dividend 2" cacheId="96" applyNumberFormats="0" applyBorderFormats="0" applyFontFormats="0" applyPatternFormats="0" applyAlignmentFormats="0" applyWidthHeightFormats="0" dataCaption="" updatedVersion="8" compact="0" compactData="0">
  <location ref="S1:Y52" firstHeaderRow="1" firstDataRow="2" firstDataCol="1"/>
  <pivotFields count="5">
    <pivotField name="Date" axis="axisRow" compact="0" numFmtId="165" outline="0" multipleItemSelectionAllowed="1" showAll="0" sortType="ascending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37"/>
        <item x="11"/>
        <item x="12"/>
        <item x="13"/>
        <item x="38"/>
        <item x="15"/>
        <item x="14"/>
        <item x="39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40"/>
        <item x="29"/>
        <item x="30"/>
        <item x="31"/>
        <item x="32"/>
        <item x="41"/>
        <item x="33"/>
        <item x="34"/>
        <item x="42"/>
        <item x="35"/>
        <item x="36"/>
        <item x="47"/>
        <item x="43"/>
        <item x="44"/>
        <item x="45"/>
        <item x="46"/>
        <item x="48"/>
        <item t="default"/>
      </items>
    </pivotField>
    <pivotField name="Payment_Date" compact="0" outline="0" multipleItemSelectionAllowed="1" showAll="0"/>
    <pivotField name="Holder" axis="axisCol" compact="0" outline="0" multipleItemSelectionAllowed="1" showAll="0" sortType="ascending">
      <items count="6">
        <item x="0"/>
        <item x="3"/>
        <item x="2"/>
        <item x="4"/>
        <item x="1"/>
        <item t="default"/>
      </items>
    </pivotField>
    <pivotField name="Symbol" compact="0" outline="0" multipleItemSelectionAllowed="1" showAll="0"/>
    <pivotField name="Amount" dataField="1" compact="0" numFmtId="164" outline="0" multipleItemSelectionAllowe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8000000}" name="Equity_Trade-2024" cacheId="91" applyNumberFormats="0" applyBorderFormats="0" applyFontFormats="0" applyPatternFormats="0" applyAlignmentFormats="0" applyWidthHeightFormats="0" dataCaption="" updatedVersion="8" compact="0" compactData="0">
  <location ref="AG2:AJ17" firstHeaderRow="1" firstDataRow="2" firstDataCol="2"/>
  <pivotFields count="16">
    <pivotField name="Column 1" compact="0" outline="0" multipleItemSelectionAllowed="1" showAll="0"/>
    <pivotField name="SYMBOL" axis="axisRow" compact="0" numFmtId="164" outline="0" multipleItemSelectionAllowed="1" showAll="0" sortType="ascending">
      <items count="29">
        <item x="13"/>
        <item x="21"/>
        <item x="1"/>
        <item x="8"/>
        <item x="16"/>
        <item x="9"/>
        <item x="26"/>
        <item x="18"/>
        <item x="2"/>
        <item x="6"/>
        <item x="24"/>
        <item x="20"/>
        <item x="4"/>
        <item x="17"/>
        <item x="25"/>
        <item x="11"/>
        <item x="22"/>
        <item x="5"/>
        <item x="12"/>
        <item x="10"/>
        <item x="15"/>
        <item x="7"/>
        <item x="3"/>
        <item x="0"/>
        <item x="23"/>
        <item x="19"/>
        <item x="14"/>
        <item x="27"/>
        <item t="default"/>
      </items>
    </pivotField>
    <pivotField name="Holder" axis="axisRow" compact="0" outline="0" multipleItemSelectionAllowed="1" showAll="0" sortType="ascending">
      <items count="9">
        <item x="6"/>
        <item sd="0" x="0"/>
        <item sd="0" x="3"/>
        <item sd="0" x="4"/>
        <item sd="0" x="2"/>
        <item sd="0" x="5"/>
        <item x="1"/>
        <item sd="0" x="7"/>
        <item t="default"/>
      </items>
    </pivotField>
    <pivotField name="Buy Date" compact="0" numFmtId="165" outline="0" multipleItemSelectionAllowed="1" showAll="0"/>
    <pivotField name="Buy" compact="0" numFmtId="164" outline="0" multipleItemSelectionAllowed="1" showAll="0"/>
    <pivotField name="Sell Date" compact="0" numFmtId="165" outline="0" multipleItemSelectionAllowed="1" showAll="0"/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</pivotFields>
  <rowFields count="2">
    <field x="2"/>
    <field x="1"/>
  </rowFields>
  <rowItems count="14">
    <i>
      <x/>
      <x v="10"/>
    </i>
    <i t="default">
      <x/>
    </i>
    <i>
      <x v="1"/>
    </i>
    <i>
      <x v="2"/>
    </i>
    <i>
      <x v="3"/>
    </i>
    <i>
      <x v="4"/>
    </i>
    <i>
      <x v="5"/>
    </i>
    <i>
      <x v="6"/>
      <x v="6"/>
    </i>
    <i r="1">
      <x v="11"/>
    </i>
    <i r="1">
      <x v="12"/>
    </i>
    <i r="1">
      <x v="25"/>
    </i>
    <i t="default"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realised P/L" fld="11" baseField="0"/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7000000}" name="Equity_Trade-2024 2" cacheId="86" applyNumberFormats="0" applyBorderFormats="0" applyFontFormats="0" applyPatternFormats="0" applyAlignmentFormats="0" applyWidthHeightFormats="0" dataCaption="" updatedVersion="8" compact="0" compactData="0">
  <location ref="AL2:AO32" firstHeaderRow="1" firstDataRow="2" firstDataCol="1"/>
  <pivotFields count="16">
    <pivotField name="SYMBOL" axis="axisRow" compact="0" numFmtId="164" outline="0" multipleItemSelectionAllowed="1" showAll="0" sortType="ascending">
      <items count="29">
        <item x="13"/>
        <item x="21"/>
        <item x="1"/>
        <item x="8"/>
        <item x="16"/>
        <item x="9"/>
        <item x="26"/>
        <item x="18"/>
        <item x="2"/>
        <item x="6"/>
        <item x="24"/>
        <item x="20"/>
        <item x="4"/>
        <item x="17"/>
        <item x="25"/>
        <item x="11"/>
        <item x="22"/>
        <item x="5"/>
        <item x="12"/>
        <item x="10"/>
        <item x="15"/>
        <item x="7"/>
        <item x="3"/>
        <item x="0"/>
        <item x="23"/>
        <item x="19"/>
        <item x="14"/>
        <item x="27"/>
        <item t="default"/>
      </items>
    </pivotField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compact="0" numFmtId="165" outline="0" multipleItemSelectionAllowed="1" showAll="0"/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4" baseField="0"/>
    <dataField name="Unrealised P/L" fld="10" baseField="0"/>
    <dataField name="Change Today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16000000}" name="Equity_Trade-2024 3" cacheId="82" applyNumberFormats="0" applyBorderFormats="0" applyFontFormats="0" applyPatternFormats="0" applyAlignmentFormats="0" applyWidthHeightFormats="0" dataCaption="" updatedVersion="8" compact="0" compactData="0">
  <location ref="AD7:AE25" firstHeaderRow="1" firstDataRow="1" firstDataCol="1"/>
  <pivotFields count="17">
    <pivotField name="Column 1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axis="axisRow" compact="0" numFmtId="165" outline="0" multipleItemSelectionAllowed="1" showAll="0" sortType="ascending">
      <items count="18">
        <item x="0"/>
        <item x="2"/>
        <item x="5"/>
        <item x="6"/>
        <item x="3"/>
        <item x="1"/>
        <item x="11"/>
        <item x="9"/>
        <item x="14"/>
        <item x="4"/>
        <item x="7"/>
        <item x="15"/>
        <item x="16"/>
        <item x="13"/>
        <item x="10"/>
        <item x="12"/>
        <item x="8"/>
        <item t="default"/>
      </items>
    </pivotField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numFmtId="164" outline="0" multipleItemSelectionAllowed="1" showAll="0"/>
    <pivotField name="U P/L %" compact="0" numFmtId="10" outline="0" multipleItemSelectionAllowed="1" showAll="0"/>
    <pivotField name="Day_Change" compact="0" numFmtId="164" outline="0" multipleItemSelectionAllowed="1" showAll="0"/>
    <pivotField name="Change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1B000000}" name="Equity_Trade-2023" cacheId="78" applyNumberFormats="0" applyBorderFormats="0" applyFontFormats="0" applyPatternFormats="0" applyAlignmentFormats="0" applyWidthHeightFormats="0" dataCaption="" updatedVersion="8" compact="0" compactData="0">
  <location ref="AG2:AJ11" firstHeaderRow="1" firstDataRow="2" firstDataCol="2"/>
  <pivotFields count="16">
    <pivotField name=" " compact="0" outline="0" multipleItemSelectionAllowed="1" showAll="0"/>
    <pivotField name="SYMBOL" axis="axisRow" compact="0" numFmtId="164" outline="0" multipleItemSelectionAllowed="1" showAll="0" sortType="ascending">
      <items count="27">
        <item x="6"/>
        <item x="4"/>
        <item x="8"/>
        <item x="9"/>
        <item x="3"/>
        <item x="13"/>
        <item x="2"/>
        <item x="10"/>
        <item x="23"/>
        <item x="1"/>
        <item x="17"/>
        <item x="7"/>
        <item x="20"/>
        <item x="5"/>
        <item x="18"/>
        <item x="24"/>
        <item x="11"/>
        <item x="19"/>
        <item x="0"/>
        <item x="22"/>
        <item x="14"/>
        <item x="12"/>
        <item x="21"/>
        <item x="16"/>
        <item x="15"/>
        <item x="25"/>
        <item t="default"/>
      </items>
    </pivotField>
    <pivotField name="Holder" axis="axisRow" compact="0" outline="0" multipleItemSelectionAllowed="1" showAll="0" sortType="ascending">
      <items count="7">
        <item sd="0" x="1"/>
        <item sd="0" x="0"/>
        <item sd="0" x="3"/>
        <item sd="0" x="4"/>
        <item sd="0" x="2"/>
        <item x="5"/>
        <item t="default"/>
      </items>
    </pivotField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Change" compact="0" numFmtId="164" outline="0" multipleItemSelectionAllowed="1" showAll="0"/>
    <pivotField name="change2" compact="0" numFmtId="164" outline="0" multipleItemSelectionAllowed="1" showAll="0"/>
    <pivotField name="Realised P/L" dataField="1" compact="0" numFmtId="164" outline="0" multipleItemSelectionAllowed="1" showAll="0"/>
  </pivotFields>
  <rowFields count="2">
    <field x="2"/>
    <field x="1"/>
  </rowFields>
  <rowItems count="8">
    <i>
      <x/>
    </i>
    <i>
      <x v="1"/>
    </i>
    <i>
      <x v="2"/>
    </i>
    <i>
      <x v="3"/>
    </i>
    <i>
      <x v="4"/>
    </i>
    <i>
      <x v="5"/>
      <x v="25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realised P/L" fld="11" baseField="0"/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1A000000}" name="Equity_Trade-2023 2" cacheId="73" applyNumberFormats="0" applyBorderFormats="0" applyFontFormats="0" applyPatternFormats="0" applyAlignmentFormats="0" applyWidthHeightFormats="0" dataCaption="" updatedVersion="8" compact="0" compactData="0">
  <location ref="AL2:AO30" firstHeaderRow="1" firstDataRow="2" firstDataCol="1"/>
  <pivotFields count="16">
    <pivotField name="SYMBOL" axis="axisRow" compact="0" numFmtId="164" outline="0" multipleItemSelectionAllowed="1" showAll="0" sortType="ascending">
      <items count="27">
        <item x="6"/>
        <item x="4"/>
        <item x="8"/>
        <item x="9"/>
        <item x="3"/>
        <item x="13"/>
        <item x="2"/>
        <item x="10"/>
        <item x="23"/>
        <item x="1"/>
        <item x="17"/>
        <item x="7"/>
        <item x="20"/>
        <item x="5"/>
        <item x="18"/>
        <item x="24"/>
        <item x="11"/>
        <item x="19"/>
        <item x="0"/>
        <item x="22"/>
        <item x="14"/>
        <item x="12"/>
        <item x="21"/>
        <item x="16"/>
        <item x="15"/>
        <item x="25"/>
        <item t="default"/>
      </items>
    </pivotField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numFmtId="164" outline="0" multipleItemSelectionAllowed="1" showAll="0"/>
    <pivotField name="LTP" compact="0" numFmtId="164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numFmtId="164" outline="0" multipleItemSelectionAllowed="1" showAll="0"/>
    <pivotField name="U P/L %" compact="0" numFmtId="10" outline="0" multipleItemSelectionAllowed="1" showAll="0"/>
    <pivotField name="Change" compact="0" numFmtId="164" outline="0" multipleItemSelectionAllowed="1" showAll="0"/>
    <pivotField name="change2" dataField="1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lised P/L" fld="14" baseField="0"/>
    <dataField name="Unrealised P/L" fld="10" baseField="0"/>
    <dataField name="Change Today" fld="1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19000000}" name="Equity_Trade-2023 3" cacheId="69" applyNumberFormats="0" applyBorderFormats="0" applyFontFormats="0" applyPatternFormats="0" applyAlignmentFormats="0" applyWidthHeightFormats="0" dataCaption="" updatedVersion="8" compact="0" compactData="0">
  <location ref="AD7:AE26" firstHeaderRow="1" firstDataRow="1" firstDataCol="1"/>
  <pivotFields count="17">
    <pivotField name=" 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axis="axisRow" compact="0" outline="0" multipleItemSelectionAllowed="1" showAll="0" sortType="ascending">
      <items count="19">
        <item x="3"/>
        <item x="4"/>
        <item x="5"/>
        <item x="6"/>
        <item x="7"/>
        <item x="10"/>
        <item x="9"/>
        <item x="11"/>
        <item x="8"/>
        <item x="2"/>
        <item x="13"/>
        <item x="1"/>
        <item x="14"/>
        <item x="12"/>
        <item x="16"/>
        <item x="17"/>
        <item x="15"/>
        <item x="0"/>
        <item t="default"/>
      </items>
    </pivotField>
    <pivotField name="Sell" compact="0" numFmtId="164" outline="0" multipleItemSelectionAllowed="1" showAll="0"/>
    <pivotField name="LTP" compact="0" numFmtId="164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numFmtId="164" outline="0" multipleItemSelectionAllowed="1" showAll="0"/>
    <pivotField name="U P/L %" compact="0" numFmtId="10" outline="0" multipleItemSelectionAllowed="1" showAll="0"/>
    <pivotField name="Change" compact="0" numFmtId="164" outline="0" multipleItemSelectionAllowed="1" showAll="0"/>
    <pivotField name="change2" compact="0" numFmtId="164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Realised P/L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1C000000}" name="Equity_Trade-2022" cacheId="65" applyNumberFormats="0" applyBorderFormats="0" applyFontFormats="0" applyPatternFormats="0" applyAlignmentFormats="0" applyWidthHeightFormats="0" dataCaption="" updatedVersion="8" compact="0" compactData="0">
  <location ref="AA7:AB27" firstHeaderRow="1" firstDataRow="1" firstDataCol="1"/>
  <pivotFields count="24">
    <pivotField name=" 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axis="axisRow" compact="0" outline="0" multipleItemSelectionAllowed="1" showAll="0" sortType="ascending">
      <items count="20">
        <item x="1"/>
        <item x="4"/>
        <item x="6"/>
        <item x="5"/>
        <item x="7"/>
        <item x="8"/>
        <item x="9"/>
        <item x="11"/>
        <item x="12"/>
        <item x="13"/>
        <item x="10"/>
        <item x="14"/>
        <item x="3"/>
        <item x="15"/>
        <item x="17"/>
        <item x="2"/>
        <item x="16"/>
        <item x="18"/>
        <item x="0"/>
        <item t="default"/>
      </items>
    </pivotField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numFmtId="164" outline="0" multipleItemSelectionAllowed="1" showAll="0"/>
    <pivotField name="U P/L %" compact="0" numFmtId="10" outline="0" multipleItemSelectionAllowed="1" showAll="0"/>
    <pivotField name="Realised P/L" compact="0" numFmtId="164" outline="0" multipleItemSelectionAllowed="1" showAll="0"/>
    <pivotField name="R P/L %" compact="0" numFmtId="10" outline="0" multipleItemSelectionAllowed="1" showAll="0"/>
    <pivotField name="STT" compact="0" numFmtId="164" outline="0" multipleItemSelectionAllowed="1" showAll="0"/>
    <pivotField name="Ex Txn Chg" compact="0" numFmtId="164" outline="0" multipleItemSelectionAllowed="1" showAll="0"/>
    <pivotField name="GST" compact="0" numFmtId="164" outline="0" multipleItemSelectionAllowed="1" showAll="0"/>
    <pivotField name="SEBI charges" compact="0" numFmtId="164" outline="0" multipleItemSelectionAllowed="1" showAll="0"/>
    <pivotField name="Total tax and charges" compact="0" numFmtId="164" outline="0" multipleItemSelectionAllowed="1" showAll="0"/>
    <pivotField name="DP Charges" compact="0" numFmtId="164" outline="0" multipleItemSelectionAllowed="1" showAll="0"/>
    <pivotField name="Total Charges" compact="0" numFmtId="164" outline="0" multipleItemSelectionAllowed="1" showAll="0"/>
    <pivotField name="Net P/L" dataField="1" compact="0" numFmtId="164" outline="0" multipleItemSelectionAllowed="1" showAll="0"/>
    <pivotField name="Net P/L %" compact="0" numFmtId="10" outline="0" multipleItemSelectionAllowed="1"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Net P/L" fld="2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1D000000}" name="Equity_Trade_2021" cacheId="61" applyNumberFormats="0" applyBorderFormats="0" applyFontFormats="0" applyPatternFormats="0" applyAlignmentFormats="0" applyWidthHeightFormats="0" dataCaption="" updatedVersion="8" compact="0" compactData="0">
  <location ref="AA7:AB44" firstHeaderRow="1" firstDataRow="1" firstDataCol="1"/>
  <pivotFields count="24">
    <pivotField name="QUITY" compact="0" outline="0" multipleItemSelectionAllowed="1" showAll="0"/>
    <pivotField name="SYMBOL" compact="0" numFmtId="164" outline="0" multipleItemSelectionAllowed="1" showAll="0"/>
    <pivotField name="Holder" compact="0" outline="0" multipleItemSelectionAllowed="1" showAll="0"/>
    <pivotField name="Buy Date" compact="0" numFmtId="165" outline="0" multipleItemSelectionAllowed="1" showAll="0"/>
    <pivotField name="Buy" compact="0" numFmtId="164" outline="0" multipleItemSelectionAllowed="1" showAll="0"/>
    <pivotField name="Sell Date" axis="axisRow" compact="0" numFmtId="165" outline="0" multipleItemSelectionAllowed="1" showAll="0" sortType="ascending">
      <items count="37">
        <item x="0"/>
        <item x="2"/>
        <item x="1"/>
        <item x="6"/>
        <item x="9"/>
        <item x="7"/>
        <item x="15"/>
        <item x="12"/>
        <item x="14"/>
        <item x="11"/>
        <item x="19"/>
        <item x="13"/>
        <item x="10"/>
        <item x="18"/>
        <item x="4"/>
        <item x="21"/>
        <item x="3"/>
        <item x="23"/>
        <item x="24"/>
        <item x="25"/>
        <item x="27"/>
        <item x="26"/>
        <item x="20"/>
        <item x="28"/>
        <item x="29"/>
        <item x="17"/>
        <item x="5"/>
        <item x="32"/>
        <item x="30"/>
        <item x="22"/>
        <item x="33"/>
        <item x="31"/>
        <item x="34"/>
        <item x="35"/>
        <item x="16"/>
        <item x="8"/>
        <item t="default"/>
      </items>
    </pivotField>
    <pivotField name="Sell" compact="0" numFmtId="164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compact="0" outline="0" multipleItemSelectionAllowed="1" showAll="0"/>
    <pivotField name="U P/L %" compact="0" outline="0" multipleItemSelectionAllowed="1" showAll="0"/>
    <pivotField name="Realised P/L" compact="0" numFmtId="164" outline="0" multipleItemSelectionAllowed="1" showAll="0"/>
    <pivotField name="R P/L %" compact="0" numFmtId="10" outline="0" multipleItemSelectionAllowed="1" showAll="0"/>
    <pivotField name="STT" compact="0" numFmtId="164" outline="0" multipleItemSelectionAllowed="1" showAll="0"/>
    <pivotField name="Ex Txn Chg" compact="0" numFmtId="164" outline="0" multipleItemSelectionAllowed="1" showAll="0"/>
    <pivotField name="GST" compact="0" numFmtId="164" outline="0" multipleItemSelectionAllowed="1" showAll="0"/>
    <pivotField name="SEBI charges" compact="0" numFmtId="164" outline="0" multipleItemSelectionAllowed="1" showAll="0"/>
    <pivotField name="Total tax and charges" compact="0" numFmtId="164" outline="0" multipleItemSelectionAllowed="1" showAll="0"/>
    <pivotField name="DP Charges" compact="0" numFmtId="164" outline="0" multipleItemSelectionAllowed="1" showAll="0"/>
    <pivotField name="Total Charges" compact="0" numFmtId="164" outline="0" multipleItemSelectionAllowed="1" showAll="0"/>
    <pivotField name="Net P/L" dataField="1" compact="0" numFmtId="164" outline="0" multipleItemSelectionAllowed="1" showAll="0"/>
    <pivotField name="Net P/L %" compact="0" numFmtId="10" outline="0" multipleItemSelectionAllowed="1" showAll="0"/>
  </pivotFields>
  <rowFields count="1">
    <field x="5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Net P/L" fld="2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1E000000}" name="Long Term Holiding-" cacheId="57" applyNumberFormats="0" applyBorderFormats="0" applyFontFormats="0" applyPatternFormats="0" applyAlignmentFormats="0" applyWidthHeightFormats="0" dataCaption="" updatedVersion="8" compact="0" compactData="0">
  <location ref="Z8:AB20" firstHeaderRow="1" firstDataRow="2" firstDataCol="1"/>
  <pivotFields count="24">
    <pivotField name="Sr. #" compact="0" outline="0" multipleItemSelectionAllowed="1" showAll="0"/>
    <pivotField name="SYMBOL" axis="axisRow" compact="0" outline="0" multipleItemSelectionAllowed="1" showAll="0" sortType="ascending">
      <items count="11">
        <item x="1"/>
        <item x="4"/>
        <item x="6"/>
        <item x="0"/>
        <item x="3"/>
        <item x="7"/>
        <item x="8"/>
        <item x="5"/>
        <item x="2"/>
        <item x="9"/>
        <item t="default"/>
      </items>
    </pivotField>
    <pivotField name="Buy Date" compact="0" numFmtId="165" outline="0" multipleItemSelectionAllowed="1" showAll="0"/>
    <pivotField name="Buy" compact="0" numFmtId="164" outline="0" multipleItemSelectionAllowed="1" showAll="0"/>
    <pivotField name="Sell Date" compact="0" outline="0" multipleItemSelectionAllowed="1" showAll="0"/>
    <pivotField name="Sell" compact="0" outline="0" multipleItemSelectionAllowed="1" showAll="0"/>
    <pivotField name="LTP" compact="0" outline="0" multipleItemSelectionAllowed="1" showAll="0"/>
    <pivotField name="QTY" compact="0" outline="0" multipleItemSelectionAllowed="1" showAll="0"/>
    <pivotField name="Invested" compact="0" numFmtId="164" outline="0" multipleItemSelectionAllowed="1" showAll="0"/>
    <pivotField name="Turnover" compact="0" numFmtId="164" outline="0" multipleItemSelectionAllowed="1" showAll="0"/>
    <pivotField name="Unrealised P/L" dataField="1" compact="0" outline="0" multipleItemSelectionAllowed="1" showAll="0"/>
    <pivotField name="U P/L %" compact="0" outline="0" multipleItemSelectionAllowed="1" showAll="0"/>
    <pivotField name="Realised P/L" dataField="1" compact="0" numFmtId="164" outline="0" multipleItemSelectionAllowed="1" showAll="0"/>
    <pivotField name="R P/L %" compact="0" numFmtId="10" outline="0" multipleItemSelectionAllowed="1" showAll="0"/>
    <pivotField name="STT" compact="0" numFmtId="164" outline="0" multipleItemSelectionAllowed="1" showAll="0"/>
    <pivotField name="Ex Txn Chg" compact="0" numFmtId="164" outline="0" multipleItemSelectionAllowed="1" showAll="0"/>
    <pivotField name="GST" compact="0" numFmtId="164" outline="0" multipleItemSelectionAllowed="1" showAll="0"/>
    <pivotField name="SEBI charges" compact="0" numFmtId="164" outline="0" multipleItemSelectionAllowed="1" showAll="0"/>
    <pivotField name="Total tax and charges" compact="0" numFmtId="164" outline="0" multipleItemSelectionAllowed="1" showAll="0"/>
    <pivotField name="DP Charges" compact="0" numFmtId="164" outline="0" multipleItemSelectionAllowed="1" showAll="0"/>
    <pivotField name="Total Charges" compact="0" numFmtId="164" outline="0" multipleItemSelectionAllowed="1" showAll="0"/>
    <pivotField name="Net P/L" compact="0" numFmtId="164" outline="0" multipleItemSelectionAllowed="1" showAll="0"/>
    <pivotField name="Net P/L %" compact="0" numFmtId="10" outline="0" multipleItemSelectionAllowed="1" showAll="0"/>
    <pivotField name="Balance" compact="0" numFmtId="164" outline="0" multipleItemSelectionAllowe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realised P/L" fld="10" baseField="0"/>
    <dataField name="SUM of Realised P/L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_List_2" displayName="Trade_List_2" ref="A1:AB53">
  <autoFilter ref="A1:AB53" xr:uid="{00000000-0009-0000-0100-000001000000}"/>
  <tableColumns count="28">
    <tableColumn id="1" xr3:uid="{00000000-0010-0000-0000-000001000000}" name="Column 1"/>
    <tableColumn id="2" xr3:uid="{00000000-0010-0000-0000-000002000000}" name="SYMBOL"/>
    <tableColumn id="3" xr3:uid="{00000000-0010-0000-0000-000003000000}" name="Holder"/>
    <tableColumn id="4" xr3:uid="{00000000-0010-0000-0000-000004000000}" name="Buy Date"/>
    <tableColumn id="5" xr3:uid="{00000000-0010-0000-0000-000005000000}" name="Buy"/>
    <tableColumn id="6" xr3:uid="{00000000-0010-0000-0000-000006000000}" name="Sell Date"/>
    <tableColumn id="7" xr3:uid="{00000000-0010-0000-0000-000007000000}" name="Sell"/>
    <tableColumn id="8" xr3:uid="{00000000-0010-0000-0000-000008000000}" name="LTP"/>
    <tableColumn id="9" xr3:uid="{00000000-0010-0000-0000-000009000000}" name="QTY"/>
    <tableColumn id="10" xr3:uid="{00000000-0010-0000-0000-00000A000000}" name="Invested"/>
    <tableColumn id="11" xr3:uid="{00000000-0010-0000-0000-00000B000000}" name="Turnover"/>
    <tableColumn id="12" xr3:uid="{00000000-0010-0000-0000-00000C000000}" name="Unrealised P/L"/>
    <tableColumn id="13" xr3:uid="{00000000-0010-0000-0000-00000D000000}" name="U P/L %"/>
    <tableColumn id="14" xr3:uid="{00000000-0010-0000-0000-00000E000000}" name="Day_Change"/>
    <tableColumn id="15" xr3:uid="{00000000-0010-0000-0000-00000F000000}" name="Change"/>
    <tableColumn id="16" xr3:uid="{00000000-0010-0000-0000-000010000000}" name="Realised P/L"/>
    <tableColumn id="17" xr3:uid="{00000000-0010-0000-0000-000011000000}" name="R P/L %"/>
    <tableColumn id="18" xr3:uid="{00000000-0010-0000-0000-000012000000}" name="STT"/>
    <tableColumn id="19" xr3:uid="{00000000-0010-0000-0000-000013000000}" name="Ex Txn Chg"/>
    <tableColumn id="20" xr3:uid="{00000000-0010-0000-0000-000014000000}" name="GST"/>
    <tableColumn id="21" xr3:uid="{00000000-0010-0000-0000-000015000000}" name="SEBI charges"/>
    <tableColumn id="22" xr3:uid="{00000000-0010-0000-0000-000016000000}" name="Total tax and charges"/>
    <tableColumn id="23" xr3:uid="{00000000-0010-0000-0000-000017000000}" name="DP Charges"/>
    <tableColumn id="24" xr3:uid="{00000000-0010-0000-0000-000018000000}" name="Total Charges"/>
    <tableColumn id="25" xr3:uid="{00000000-0010-0000-0000-000019000000}" name="Net P/L"/>
    <tableColumn id="26" xr3:uid="{00000000-0010-0000-0000-00001A000000}" name="Net P/L %"/>
    <tableColumn id="27" xr3:uid="{00000000-0010-0000-0000-00001B000000}" name="Balance"/>
    <tableColumn id="28" xr3:uid="{00000000-0010-0000-0000-00001C000000}" name="Comment"/>
  </tableColumns>
  <tableStyleInfo name="Equity_Trade-20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de_List_3" displayName="Trade_List_3" ref="A1:AB53">
  <autoFilter ref="A1:AB53" xr:uid="{00000000-0009-0000-0100-000002000000}"/>
  <tableColumns count="28">
    <tableColumn id="1" xr3:uid="{00000000-0010-0000-0100-000001000000}" name="Column 1"/>
    <tableColumn id="2" xr3:uid="{00000000-0010-0000-0100-000002000000}" name="SYMBOL"/>
    <tableColumn id="3" xr3:uid="{00000000-0010-0000-0100-000003000000}" name="Holder"/>
    <tableColumn id="4" xr3:uid="{00000000-0010-0000-0100-000004000000}" name="Buy Date"/>
    <tableColumn id="5" xr3:uid="{00000000-0010-0000-0100-000005000000}" name="Buy"/>
    <tableColumn id="6" xr3:uid="{00000000-0010-0000-0100-000006000000}" name="Sell Date"/>
    <tableColumn id="7" xr3:uid="{00000000-0010-0000-0100-000007000000}" name="Sell"/>
    <tableColumn id="8" xr3:uid="{00000000-0010-0000-0100-000008000000}" name="LTP"/>
    <tableColumn id="9" xr3:uid="{00000000-0010-0000-0100-000009000000}" name="QTY"/>
    <tableColumn id="10" xr3:uid="{00000000-0010-0000-0100-00000A000000}" name="Invested"/>
    <tableColumn id="11" xr3:uid="{00000000-0010-0000-0100-00000B000000}" name="Turnover"/>
    <tableColumn id="12" xr3:uid="{00000000-0010-0000-0100-00000C000000}" name="Unrealised P/L"/>
    <tableColumn id="13" xr3:uid="{00000000-0010-0000-0100-00000D000000}" name="U P/L %"/>
    <tableColumn id="14" xr3:uid="{00000000-0010-0000-0100-00000E000000}" name="Day_Change"/>
    <tableColumn id="15" xr3:uid="{00000000-0010-0000-0100-00000F000000}" name="Change"/>
    <tableColumn id="16" xr3:uid="{00000000-0010-0000-0100-000010000000}" name="Realised P/L"/>
    <tableColumn id="17" xr3:uid="{00000000-0010-0000-0100-000011000000}" name="R P/L %"/>
    <tableColumn id="18" xr3:uid="{00000000-0010-0000-0100-000012000000}" name="STT"/>
    <tableColumn id="19" xr3:uid="{00000000-0010-0000-0100-000013000000}" name="Ex Txn Chg"/>
    <tableColumn id="20" xr3:uid="{00000000-0010-0000-0100-000014000000}" name="GST"/>
    <tableColumn id="21" xr3:uid="{00000000-0010-0000-0100-000015000000}" name="SEBI charges"/>
    <tableColumn id="22" xr3:uid="{00000000-0010-0000-0100-000016000000}" name="Total tax and charges"/>
    <tableColumn id="23" xr3:uid="{00000000-0010-0000-0100-000017000000}" name="DP Charges"/>
    <tableColumn id="24" xr3:uid="{00000000-0010-0000-0100-000018000000}" name="Total Charges"/>
    <tableColumn id="25" xr3:uid="{00000000-0010-0000-0100-000019000000}" name="Net P/L"/>
    <tableColumn id="26" xr3:uid="{00000000-0010-0000-0100-00001A000000}" name="Net P/L %"/>
    <tableColumn id="27" xr3:uid="{00000000-0010-0000-0100-00001B000000}" name="Balance"/>
    <tableColumn id="28" xr3:uid="{00000000-0010-0000-0100-00001C000000}" name="Comment"/>
  </tableColumns>
  <tableStyleInfo name="Dashrathl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de_List_4" displayName="Trade_List_4" ref="A1:AB53">
  <autoFilter ref="A1:AB53" xr:uid="{00000000-0009-0000-0100-000003000000}"/>
  <tableColumns count="28">
    <tableColumn id="1" xr3:uid="{00000000-0010-0000-0200-000001000000}" name="Column 1"/>
    <tableColumn id="2" xr3:uid="{00000000-0010-0000-0200-000002000000}" name="SYMBOL"/>
    <tableColumn id="3" xr3:uid="{00000000-0010-0000-0200-000003000000}" name="Holder"/>
    <tableColumn id="4" xr3:uid="{00000000-0010-0000-0200-000004000000}" name="Buy Date"/>
    <tableColumn id="5" xr3:uid="{00000000-0010-0000-0200-000005000000}" name="Buy"/>
    <tableColumn id="6" xr3:uid="{00000000-0010-0000-0200-000006000000}" name="Sell Date"/>
    <tableColumn id="7" xr3:uid="{00000000-0010-0000-0200-000007000000}" name="Sell"/>
    <tableColumn id="8" xr3:uid="{00000000-0010-0000-0200-000008000000}" name="LTP"/>
    <tableColumn id="9" xr3:uid="{00000000-0010-0000-0200-000009000000}" name="QTY"/>
    <tableColumn id="10" xr3:uid="{00000000-0010-0000-0200-00000A000000}" name="Invested"/>
    <tableColumn id="11" xr3:uid="{00000000-0010-0000-0200-00000B000000}" name="Turnover"/>
    <tableColumn id="12" xr3:uid="{00000000-0010-0000-0200-00000C000000}" name="Unrealised P/L"/>
    <tableColumn id="13" xr3:uid="{00000000-0010-0000-0200-00000D000000}" name="U P/L %"/>
    <tableColumn id="14" xr3:uid="{00000000-0010-0000-0200-00000E000000}" name="Day_Change"/>
    <tableColumn id="15" xr3:uid="{00000000-0010-0000-0200-00000F000000}" name="Change"/>
    <tableColumn id="16" xr3:uid="{00000000-0010-0000-0200-000010000000}" name="Realised P/L"/>
    <tableColumn id="17" xr3:uid="{00000000-0010-0000-0200-000011000000}" name="R P/L %"/>
    <tableColumn id="18" xr3:uid="{00000000-0010-0000-0200-000012000000}" name="STT"/>
    <tableColumn id="19" xr3:uid="{00000000-0010-0000-0200-000013000000}" name="Ex Txn Chg"/>
    <tableColumn id="20" xr3:uid="{00000000-0010-0000-0200-000014000000}" name="GST"/>
    <tableColumn id="21" xr3:uid="{00000000-0010-0000-0200-000015000000}" name="SEBI charges"/>
    <tableColumn id="22" xr3:uid="{00000000-0010-0000-0200-000016000000}" name="Total tax and charges"/>
    <tableColumn id="23" xr3:uid="{00000000-0010-0000-0200-000017000000}" name="DP Charges"/>
    <tableColumn id="24" xr3:uid="{00000000-0010-0000-0200-000018000000}" name="Total Charges"/>
    <tableColumn id="25" xr3:uid="{00000000-0010-0000-0200-000019000000}" name="Net P/L"/>
    <tableColumn id="26" xr3:uid="{00000000-0010-0000-0200-00001A000000}" name="Net P/L %"/>
    <tableColumn id="27" xr3:uid="{00000000-0010-0000-0200-00001B000000}" name="Balance"/>
    <tableColumn id="28" xr3:uid="{00000000-0010-0000-0200-00001C000000}" name="Comment"/>
  </tableColumns>
  <tableStyleInfo name="Ramkisho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shmi_Trades" displayName="Rashmi_Trades" ref="A1:P54" totalsRowCount="1">
  <autoFilter ref="A1:P53" xr:uid="{00000000-0009-0000-0100-000004000000}"/>
  <tableColumns count="16">
    <tableColumn id="1" xr3:uid="{00000000-0010-0000-0300-000001000000}" name="Sr.#"/>
    <tableColumn id="2" xr3:uid="{00000000-0010-0000-0300-000002000000}" name="SYMBOL"/>
    <tableColumn id="3" xr3:uid="{00000000-0010-0000-0300-000003000000}" name="Holder"/>
    <tableColumn id="4" xr3:uid="{00000000-0010-0000-0300-000004000000}" name="Buy Date"/>
    <tableColumn id="5" xr3:uid="{00000000-0010-0000-0300-000005000000}" name="Buy" totalsRowFunction="custom">
      <totalsRowFormula>SUM(Rashmi_Trades[Buy])</totalsRowFormula>
    </tableColumn>
    <tableColumn id="6" xr3:uid="{00000000-0010-0000-0300-000006000000}" name="Sell Date"/>
    <tableColumn id="7" xr3:uid="{00000000-0010-0000-0300-000007000000}" name="Sell" totalsRowFunction="custom">
      <totalsRowFormula>SUM(Rashmi_Trades[Sell])</totalsRowFormula>
    </tableColumn>
    <tableColumn id="8" xr3:uid="{00000000-0010-0000-0300-000008000000}" name="LTP" totalsRowFunction="custom">
      <totalsRowFormula>SUM(Rashmi_Trades[LTP])</totalsRowFormula>
    </tableColumn>
    <tableColumn id="9" xr3:uid="{00000000-0010-0000-0300-000009000000}" name="QTY"/>
    <tableColumn id="10" xr3:uid="{00000000-0010-0000-0300-00000A000000}" name="Invested" totalsRowFunction="custom">
      <totalsRowFormula>SUM(Rashmi_Trades[Invested])</totalsRowFormula>
    </tableColumn>
    <tableColumn id="11" xr3:uid="{00000000-0010-0000-0300-00000B000000}" name="Unrealised P/L" totalsRowFunction="custom">
      <totalsRowFormula>SUM(Rashmi_Trades[Unrealised P/L])</totalsRowFormula>
    </tableColumn>
    <tableColumn id="12" xr3:uid="{00000000-0010-0000-0300-00000C000000}" name="U P/L %"/>
    <tableColumn id="13" xr3:uid="{00000000-0010-0000-0300-00000D000000}" name="Day_Change" totalsRowFunction="custom">
      <totalsRowFormula>SUM(Rashmi_Trades[Day_Change])</totalsRowFormula>
    </tableColumn>
    <tableColumn id="14" xr3:uid="{00000000-0010-0000-0300-00000E000000}" name="Change" totalsRowFunction="custom">
      <totalsRowFormula>SUM(Rashmi_Trades[Change])</totalsRowFormula>
    </tableColumn>
    <tableColumn id="15" xr3:uid="{00000000-0010-0000-0300-00000F000000}" name="Realised P/L" totalsRowFunction="custom">
      <totalsRowFormula>SUM(Rashmi_Trades[Realised P/L])</totalsRowFormula>
    </tableColumn>
    <tableColumn id="16" xr3:uid="{00000000-0010-0000-0300-000010000000}" name="R P/L %"/>
  </tableColumns>
  <tableStyleInfo name="Rashmi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ishwarya_Trades" displayName="Aishwarya_Trades" ref="A1:P13">
  <tableColumns count="16">
    <tableColumn id="1" xr3:uid="{00000000-0010-0000-0400-000001000000}" name="Sr.#"/>
    <tableColumn id="2" xr3:uid="{00000000-0010-0000-0400-000002000000}" name="SYMBOL"/>
    <tableColumn id="3" xr3:uid="{00000000-0010-0000-0400-000003000000}" name="Holder"/>
    <tableColumn id="4" xr3:uid="{00000000-0010-0000-0400-000004000000}" name="Buy Date"/>
    <tableColumn id="5" xr3:uid="{00000000-0010-0000-0400-000005000000}" name="Buy"/>
    <tableColumn id="6" xr3:uid="{00000000-0010-0000-0400-000006000000}" name="Sell Date"/>
    <tableColumn id="7" xr3:uid="{00000000-0010-0000-0400-000007000000}" name="Sell"/>
    <tableColumn id="8" xr3:uid="{00000000-0010-0000-0400-000008000000}" name="LTP"/>
    <tableColumn id="9" xr3:uid="{00000000-0010-0000-0400-000009000000}" name="QTY"/>
    <tableColumn id="10" xr3:uid="{00000000-0010-0000-0400-00000A000000}" name="Invested"/>
    <tableColumn id="11" xr3:uid="{00000000-0010-0000-0400-00000B000000}" name="Unrealised P/L"/>
    <tableColumn id="12" xr3:uid="{00000000-0010-0000-0400-00000C000000}" name="U P/L %"/>
    <tableColumn id="13" xr3:uid="{00000000-0010-0000-0400-00000D000000}" name="Day_Change"/>
    <tableColumn id="14" xr3:uid="{00000000-0010-0000-0400-00000E000000}" name="Change"/>
    <tableColumn id="15" xr3:uid="{00000000-0010-0000-0400-00000F000000}" name="Realised P/L"/>
    <tableColumn id="16" xr3:uid="{00000000-0010-0000-0400-000010000000}" name="R P/L %"/>
  </tableColumns>
  <tableStyleInfo name="Aishwary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" displayName="Table2" ref="A1:AC103">
  <autoFilter ref="A1:AC103" xr:uid="{00000000-0009-0000-0100-000007000000}"/>
  <tableColumns count="29">
    <tableColumn id="1" xr3:uid="{00000000-0010-0000-0600-000001000000}" name="h"/>
    <tableColumn id="2" xr3:uid="{00000000-0010-0000-0600-000002000000}" name="SYMBOL"/>
    <tableColumn id="3" xr3:uid="{00000000-0010-0000-0600-000003000000}" name="Holder"/>
    <tableColumn id="4" xr3:uid="{00000000-0010-0000-0600-000004000000}" name="Buy Date"/>
    <tableColumn id="5" xr3:uid="{00000000-0010-0000-0600-000005000000}" name="Buy"/>
    <tableColumn id="6" xr3:uid="{00000000-0010-0000-0600-000006000000}" name="Sell Date"/>
    <tableColumn id="7" xr3:uid="{00000000-0010-0000-0600-000007000000}" name="Sell"/>
    <tableColumn id="8" xr3:uid="{00000000-0010-0000-0600-000008000000}" name="LTP"/>
    <tableColumn id="9" xr3:uid="{00000000-0010-0000-0600-000009000000}" name="QTY"/>
    <tableColumn id="10" xr3:uid="{00000000-0010-0000-0600-00000A000000}" name="Invested"/>
    <tableColumn id="11" xr3:uid="{00000000-0010-0000-0600-00000B000000}" name="Turnover"/>
    <tableColumn id="12" xr3:uid="{00000000-0010-0000-0600-00000C000000}" name="Unrealised P/L"/>
    <tableColumn id="13" xr3:uid="{00000000-0010-0000-0600-00000D000000}" name="U P/L %"/>
    <tableColumn id="14" xr3:uid="{00000000-0010-0000-0600-00000E000000}" name="Change"/>
    <tableColumn id="15" xr3:uid="{00000000-0010-0000-0600-00000F000000}" name="Change 2"/>
    <tableColumn id="16" xr3:uid="{00000000-0010-0000-0600-000010000000}" name="Realised P/L"/>
    <tableColumn id="17" xr3:uid="{00000000-0010-0000-0600-000011000000}" name="R P/L %"/>
    <tableColumn id="18" xr3:uid="{00000000-0010-0000-0600-000012000000}" name="STT"/>
    <tableColumn id="19" xr3:uid="{00000000-0010-0000-0600-000013000000}" name="Ex Txn Chg"/>
    <tableColumn id="20" xr3:uid="{00000000-0010-0000-0600-000014000000}" name="GST"/>
    <tableColumn id="21" xr3:uid="{00000000-0010-0000-0600-000015000000}" name="SEBI charges"/>
    <tableColumn id="22" xr3:uid="{00000000-0010-0000-0600-000016000000}" name="Total tax and charges"/>
    <tableColumn id="23" xr3:uid="{00000000-0010-0000-0600-000017000000}" name="DP Charges"/>
    <tableColumn id="24" xr3:uid="{00000000-0010-0000-0600-000018000000}" name="Total Charges"/>
    <tableColumn id="25" xr3:uid="{00000000-0010-0000-0600-000019000000}" name="Net P/L"/>
    <tableColumn id="26" xr3:uid="{00000000-0010-0000-0600-00001A000000}" name="Net P/L %"/>
    <tableColumn id="27" xr3:uid="{00000000-0010-0000-0600-00001B000000}" name="Balance"/>
    <tableColumn id="28" xr3:uid="{00000000-0010-0000-0600-00001C000000}" name="Comment"/>
    <tableColumn id="29" xr3:uid="{00000000-0010-0000-0600-00001D000000}" name="Column 1"/>
  </tableColumns>
  <tableStyleInfo name="Long Term Holiding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" displayName="Table1" ref="A1:E87">
  <autoFilter ref="A1:E87" xr:uid="{00000000-0009-0000-0100-000008000000}"/>
  <tableColumns count="5">
    <tableColumn id="1" xr3:uid="{00000000-0010-0000-0700-000001000000}" name="Date"/>
    <tableColumn id="2" xr3:uid="{00000000-0010-0000-0700-000002000000}" name="Payment_Date"/>
    <tableColumn id="3" xr3:uid="{00000000-0010-0000-0700-000003000000}" name="Holder"/>
    <tableColumn id="4" xr3:uid="{00000000-0010-0000-0700-000004000000}" name="Symbol"/>
    <tableColumn id="5" xr3:uid="{00000000-0010-0000-0700-000005000000}" name="Amount"/>
  </tableColumns>
  <tableStyleInfo name="Dividend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rade_List" displayName="Trade_List" ref="A1:AB53">
  <autoFilter ref="A1:AB53" xr:uid="{00000000-0009-0000-0100-000009000000}"/>
  <tableColumns count="28">
    <tableColumn id="1" xr3:uid="{00000000-0010-0000-0800-000001000000}" name="Column 1"/>
    <tableColumn id="2" xr3:uid="{00000000-0010-0000-0800-000002000000}" name="SYMBOL"/>
    <tableColumn id="3" xr3:uid="{00000000-0010-0000-0800-000003000000}" name="Holder"/>
    <tableColumn id="4" xr3:uid="{00000000-0010-0000-0800-000004000000}" name="Buy Date"/>
    <tableColumn id="5" xr3:uid="{00000000-0010-0000-0800-000005000000}" name="Buy"/>
    <tableColumn id="6" xr3:uid="{00000000-0010-0000-0800-000006000000}" name="Sell Date"/>
    <tableColumn id="7" xr3:uid="{00000000-0010-0000-0800-000007000000}" name="Sell"/>
    <tableColumn id="8" xr3:uid="{00000000-0010-0000-0800-000008000000}" name="LTP"/>
    <tableColumn id="9" xr3:uid="{00000000-0010-0000-0800-000009000000}" name="QTY"/>
    <tableColumn id="10" xr3:uid="{00000000-0010-0000-0800-00000A000000}" name="Invested"/>
    <tableColumn id="11" xr3:uid="{00000000-0010-0000-0800-00000B000000}" name="Turnover"/>
    <tableColumn id="12" xr3:uid="{00000000-0010-0000-0800-00000C000000}" name="Unrealised P/L"/>
    <tableColumn id="13" xr3:uid="{00000000-0010-0000-0800-00000D000000}" name="U P/L %"/>
    <tableColumn id="14" xr3:uid="{00000000-0010-0000-0800-00000E000000}" name="Day_Change"/>
    <tableColumn id="15" xr3:uid="{00000000-0010-0000-0800-00000F000000}" name="Change"/>
    <tableColumn id="16" xr3:uid="{00000000-0010-0000-0800-000010000000}" name="Realised P/L"/>
    <tableColumn id="17" xr3:uid="{00000000-0010-0000-0800-000011000000}" name="R P/L %"/>
    <tableColumn id="18" xr3:uid="{00000000-0010-0000-0800-000012000000}" name="STT"/>
    <tableColumn id="19" xr3:uid="{00000000-0010-0000-0800-000013000000}" name="Ex Txn Chg"/>
    <tableColumn id="20" xr3:uid="{00000000-0010-0000-0800-000014000000}" name="GST"/>
    <tableColumn id="21" xr3:uid="{00000000-0010-0000-0800-000015000000}" name="SEBI charges"/>
    <tableColumn id="22" xr3:uid="{00000000-0010-0000-0800-000016000000}" name="Total tax and charges"/>
    <tableColumn id="23" xr3:uid="{00000000-0010-0000-0800-000017000000}" name="DP Charges"/>
    <tableColumn id="24" xr3:uid="{00000000-0010-0000-0800-000018000000}" name="Total Charges"/>
    <tableColumn id="25" xr3:uid="{00000000-0010-0000-0800-000019000000}" name="Net P/L"/>
    <tableColumn id="26" xr3:uid="{00000000-0010-0000-0800-00001A000000}" name="Net P/L %"/>
    <tableColumn id="27" xr3:uid="{00000000-0010-0000-0800-00001B000000}" name="Balance"/>
    <tableColumn id="28" xr3:uid="{00000000-0010-0000-0800-00001C000000}" name="Comment"/>
  </tableColumns>
  <tableStyleInfo name="Equity_Trade-202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4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15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7" Type="http://schemas.openxmlformats.org/officeDocument/2006/relationships/comments" Target="../comments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table" Target="../tables/table6.xml"/><Relationship Id="rId5" Type="http://schemas.openxmlformats.org/officeDocument/2006/relationships/vmlDrawing" Target="../drawings/vmlDrawing3.vml"/><Relationship Id="rId4" Type="http://schemas.openxmlformats.org/officeDocument/2006/relationships/pivotTable" Target="../pivotTables/pivotTable2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5.xml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4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8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0.xml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6"/>
  <sheetViews>
    <sheetView showGridLines="0" workbookViewId="0"/>
  </sheetViews>
  <sheetFormatPr defaultColWidth="12.6640625" defaultRowHeight="15.75" customHeight="1"/>
  <cols>
    <col min="17" max="19" width="14.88671875" customWidth="1"/>
  </cols>
  <sheetData>
    <row r="1" spans="1:19" ht="13.2">
      <c r="A1" s="1" t="s">
        <v>0</v>
      </c>
      <c r="B1" s="1"/>
      <c r="C1" s="1"/>
      <c r="D1" s="1"/>
      <c r="E1" s="2"/>
      <c r="F1" s="3" t="s">
        <v>1</v>
      </c>
      <c r="G1" s="3"/>
      <c r="H1" s="3"/>
      <c r="I1" s="3"/>
      <c r="J1" s="2"/>
      <c r="K1" s="4" t="s">
        <v>2</v>
      </c>
      <c r="L1" s="4"/>
      <c r="M1" s="4"/>
      <c r="N1" s="4"/>
      <c r="P1" s="5" t="s">
        <v>3</v>
      </c>
      <c r="Q1" s="5"/>
      <c r="R1" s="5"/>
      <c r="S1" s="5"/>
    </row>
    <row r="2" spans="1:19" ht="18.75" customHeight="1">
      <c r="A2" s="113"/>
      <c r="B2" s="114" t="s">
        <v>275</v>
      </c>
      <c r="C2" s="134"/>
      <c r="D2" s="115"/>
      <c r="E2" s="2"/>
      <c r="F2" s="113"/>
      <c r="G2" s="114" t="s">
        <v>275</v>
      </c>
      <c r="H2" s="134"/>
      <c r="I2" s="115"/>
      <c r="J2" s="2"/>
      <c r="K2" s="113"/>
      <c r="L2" s="114" t="s">
        <v>275</v>
      </c>
      <c r="M2" s="134"/>
      <c r="N2" s="115"/>
      <c r="P2" s="113"/>
      <c r="Q2" s="114" t="s">
        <v>275</v>
      </c>
      <c r="R2" s="134"/>
      <c r="S2" s="115"/>
    </row>
    <row r="3" spans="1:19" ht="18.75" customHeight="1">
      <c r="A3" s="114" t="s">
        <v>4</v>
      </c>
      <c r="B3" s="113" t="s">
        <v>5</v>
      </c>
      <c r="C3" s="135" t="s">
        <v>6</v>
      </c>
      <c r="D3" s="116" t="s">
        <v>7</v>
      </c>
      <c r="E3" s="2"/>
      <c r="F3" s="114" t="s">
        <v>4</v>
      </c>
      <c r="G3" s="113" t="s">
        <v>8</v>
      </c>
      <c r="H3" s="135" t="s">
        <v>9</v>
      </c>
      <c r="I3" s="116" t="s">
        <v>10</v>
      </c>
      <c r="J3" s="2"/>
      <c r="K3" s="114" t="s">
        <v>4</v>
      </c>
      <c r="L3" s="113" t="s">
        <v>5</v>
      </c>
      <c r="M3" s="135" t="s">
        <v>6</v>
      </c>
      <c r="N3" s="116" t="s">
        <v>7</v>
      </c>
      <c r="P3" s="114" t="s">
        <v>4</v>
      </c>
      <c r="Q3" s="113" t="s">
        <v>5</v>
      </c>
      <c r="R3" s="135" t="s">
        <v>6</v>
      </c>
      <c r="S3" s="116" t="s">
        <v>7</v>
      </c>
    </row>
    <row r="4" spans="1:19" ht="18.75" customHeight="1">
      <c r="A4" s="136" t="s">
        <v>13</v>
      </c>
      <c r="B4" s="117">
        <v>0</v>
      </c>
      <c r="C4" s="137">
        <v>-1388.8500000000008</v>
      </c>
      <c r="D4" s="118">
        <v>-115.19999999999999</v>
      </c>
      <c r="E4" s="2"/>
      <c r="F4" s="136" t="s">
        <v>11</v>
      </c>
      <c r="G4" s="117">
        <v>0</v>
      </c>
      <c r="H4" s="137">
        <v>-2305.5700000000002</v>
      </c>
      <c r="I4" s="118">
        <v>-37.550000000000004</v>
      </c>
      <c r="J4" s="2"/>
      <c r="K4" s="136" t="s">
        <v>14</v>
      </c>
      <c r="L4" s="117">
        <v>0</v>
      </c>
      <c r="M4" s="137">
        <v>1232</v>
      </c>
      <c r="N4" s="118">
        <v>1.6</v>
      </c>
      <c r="P4" s="136" t="s">
        <v>12</v>
      </c>
      <c r="Q4" s="117">
        <v>0</v>
      </c>
      <c r="R4" s="137">
        <v>-1177.6400000000006</v>
      </c>
      <c r="S4" s="118">
        <v>-2.36</v>
      </c>
    </row>
    <row r="5" spans="1:19" ht="18.75" customHeight="1">
      <c r="A5" s="138" t="s">
        <v>16</v>
      </c>
      <c r="B5" s="120">
        <v>-772.19999999999925</v>
      </c>
      <c r="C5" s="139">
        <v>0</v>
      </c>
      <c r="D5" s="121">
        <v>0</v>
      </c>
      <c r="E5" s="2"/>
      <c r="F5" s="138" t="s">
        <v>13</v>
      </c>
      <c r="G5" s="120">
        <v>0</v>
      </c>
      <c r="H5" s="139">
        <v>-1388.8500000000008</v>
      </c>
      <c r="I5" s="121">
        <v>-115.19999999999999</v>
      </c>
      <c r="J5" s="2"/>
      <c r="K5" s="138" t="s">
        <v>18</v>
      </c>
      <c r="L5" s="120">
        <v>12476.119999999999</v>
      </c>
      <c r="M5" s="139">
        <v>0</v>
      </c>
      <c r="N5" s="121">
        <v>0</v>
      </c>
      <c r="P5" s="138" t="s">
        <v>15</v>
      </c>
      <c r="Q5" s="120">
        <v>0</v>
      </c>
      <c r="R5" s="139">
        <v>29.189999999999937</v>
      </c>
      <c r="S5" s="121">
        <v>7.1400000000000006</v>
      </c>
    </row>
    <row r="6" spans="1:19" ht="18.75" customHeight="1">
      <c r="A6" s="138" t="s">
        <v>20</v>
      </c>
      <c r="B6" s="120">
        <v>35.999999999999091</v>
      </c>
      <c r="C6" s="139">
        <v>0</v>
      </c>
      <c r="D6" s="121">
        <v>0</v>
      </c>
      <c r="E6" s="2"/>
      <c r="F6" s="138" t="s">
        <v>17</v>
      </c>
      <c r="G6" s="120">
        <v>0</v>
      </c>
      <c r="H6" s="139">
        <v>1528.7999999999997</v>
      </c>
      <c r="I6" s="121">
        <v>29.400000000000002</v>
      </c>
      <c r="J6" s="2"/>
      <c r="K6" s="138" t="s">
        <v>22</v>
      </c>
      <c r="L6" s="120">
        <v>0</v>
      </c>
      <c r="M6" s="139">
        <v>22809</v>
      </c>
      <c r="N6" s="121">
        <v>-24</v>
      </c>
      <c r="P6" s="138" t="s">
        <v>19</v>
      </c>
      <c r="Q6" s="120">
        <v>0</v>
      </c>
      <c r="R6" s="139">
        <v>2700</v>
      </c>
      <c r="S6" s="121">
        <v>-99</v>
      </c>
    </row>
    <row r="7" spans="1:19" ht="18.75" customHeight="1">
      <c r="A7" s="138" t="s">
        <v>24</v>
      </c>
      <c r="B7" s="120">
        <v>-870</v>
      </c>
      <c r="C7" s="139">
        <v>0</v>
      </c>
      <c r="D7" s="121">
        <v>0</v>
      </c>
      <c r="E7" s="2"/>
      <c r="F7" s="138" t="s">
        <v>21</v>
      </c>
      <c r="G7" s="120">
        <v>0</v>
      </c>
      <c r="H7" s="139">
        <v>1705.4999999999995</v>
      </c>
      <c r="I7" s="121">
        <v>-87</v>
      </c>
      <c r="J7" s="2"/>
      <c r="K7" s="138" t="s">
        <v>26</v>
      </c>
      <c r="L7" s="120">
        <v>0</v>
      </c>
      <c r="M7" s="139">
        <v>545.09000000000106</v>
      </c>
      <c r="N7" s="121">
        <v>138.04</v>
      </c>
      <c r="P7" s="138" t="s">
        <v>23</v>
      </c>
      <c r="Q7" s="120">
        <v>0</v>
      </c>
      <c r="R7" s="139">
        <v>4069.76</v>
      </c>
      <c r="S7" s="121">
        <v>148.80000000000001</v>
      </c>
    </row>
    <row r="8" spans="1:19" ht="18.75" customHeight="1">
      <c r="A8" s="138" t="s">
        <v>28</v>
      </c>
      <c r="B8" s="120">
        <v>-742.90000000000043</v>
      </c>
      <c r="C8" s="139">
        <v>0</v>
      </c>
      <c r="D8" s="121">
        <v>0</v>
      </c>
      <c r="E8" s="2"/>
      <c r="F8" s="138" t="s">
        <v>25</v>
      </c>
      <c r="G8" s="120">
        <v>8201.2000000000007</v>
      </c>
      <c r="H8" s="139">
        <v>0</v>
      </c>
      <c r="I8" s="121">
        <v>0</v>
      </c>
      <c r="J8" s="2"/>
      <c r="K8" s="138" t="s">
        <v>30</v>
      </c>
      <c r="L8" s="120">
        <v>0</v>
      </c>
      <c r="M8" s="139">
        <v>-308.75</v>
      </c>
      <c r="N8" s="121">
        <v>23.7</v>
      </c>
      <c r="P8" s="138" t="s">
        <v>27</v>
      </c>
      <c r="Q8" s="120">
        <v>0</v>
      </c>
      <c r="R8" s="139">
        <v>7434.25</v>
      </c>
      <c r="S8" s="121">
        <v>131.66</v>
      </c>
    </row>
    <row r="9" spans="1:19" ht="18.75" customHeight="1">
      <c r="A9" s="138" t="s">
        <v>32</v>
      </c>
      <c r="B9" s="120">
        <v>0</v>
      </c>
      <c r="C9" s="139">
        <v>-1859.9999999999995</v>
      </c>
      <c r="D9" s="121">
        <v>166.5</v>
      </c>
      <c r="E9" s="2"/>
      <c r="F9" s="138" t="s">
        <v>29</v>
      </c>
      <c r="G9" s="120">
        <v>792</v>
      </c>
      <c r="H9" s="139">
        <v>0</v>
      </c>
      <c r="I9" s="121">
        <v>0</v>
      </c>
      <c r="J9" s="2"/>
      <c r="K9" s="138" t="s">
        <v>34</v>
      </c>
      <c r="L9" s="120">
        <v>0</v>
      </c>
      <c r="M9" s="139">
        <v>5232.8100000000004</v>
      </c>
      <c r="N9" s="121">
        <v>49.5</v>
      </c>
      <c r="P9" s="138" t="s">
        <v>31</v>
      </c>
      <c r="Q9" s="120">
        <v>0</v>
      </c>
      <c r="R9" s="139">
        <v>-57.269999999999811</v>
      </c>
      <c r="S9" s="121">
        <v>-37.35</v>
      </c>
    </row>
    <row r="10" spans="1:19" ht="18.75" customHeight="1">
      <c r="A10" s="138" t="s">
        <v>36</v>
      </c>
      <c r="B10" s="120">
        <v>0</v>
      </c>
      <c r="C10" s="139">
        <v>567</v>
      </c>
      <c r="D10" s="121">
        <v>-4.5</v>
      </c>
      <c r="E10" s="2"/>
      <c r="F10" s="138" t="s">
        <v>33</v>
      </c>
      <c r="G10" s="120">
        <v>0</v>
      </c>
      <c r="H10" s="139">
        <v>11.600000000000364</v>
      </c>
      <c r="I10" s="121">
        <v>6</v>
      </c>
      <c r="J10" s="2"/>
      <c r="K10" s="138" t="s">
        <v>23</v>
      </c>
      <c r="L10" s="120">
        <v>0</v>
      </c>
      <c r="M10" s="139">
        <v>7752.39</v>
      </c>
      <c r="N10" s="121">
        <v>279</v>
      </c>
      <c r="P10" s="138" t="s">
        <v>35</v>
      </c>
      <c r="Q10" s="120">
        <v>0</v>
      </c>
      <c r="R10" s="139">
        <v>-1460.5</v>
      </c>
      <c r="S10" s="121">
        <v>-5.75</v>
      </c>
    </row>
    <row r="11" spans="1:19" ht="18.75" customHeight="1">
      <c r="A11" s="138" t="s">
        <v>37</v>
      </c>
      <c r="B11" s="120">
        <v>-1521.4999999999989</v>
      </c>
      <c r="C11" s="139">
        <v>0</v>
      </c>
      <c r="D11" s="121">
        <v>0</v>
      </c>
      <c r="E11" s="2"/>
      <c r="F11" s="138" t="s">
        <v>22</v>
      </c>
      <c r="G11" s="120">
        <v>0</v>
      </c>
      <c r="H11" s="139">
        <v>10853.699999999999</v>
      </c>
      <c r="I11" s="121">
        <v>-13.200000000000001</v>
      </c>
      <c r="J11" s="2"/>
      <c r="K11" s="138" t="s">
        <v>27</v>
      </c>
      <c r="L11" s="120">
        <v>0</v>
      </c>
      <c r="M11" s="139">
        <v>-1.5000000000000568</v>
      </c>
      <c r="N11" s="121">
        <v>28.999999999999996</v>
      </c>
      <c r="P11" s="138" t="s">
        <v>32</v>
      </c>
      <c r="Q11" s="120">
        <v>0</v>
      </c>
      <c r="R11" s="139">
        <v>-1867.4999999999998</v>
      </c>
      <c r="S11" s="121">
        <v>166.5</v>
      </c>
    </row>
    <row r="12" spans="1:19" ht="18.75" customHeight="1">
      <c r="A12" s="138" t="s">
        <v>40</v>
      </c>
      <c r="B12" s="120">
        <v>-1123.9999999999998</v>
      </c>
      <c r="C12" s="139">
        <v>0</v>
      </c>
      <c r="D12" s="121">
        <v>0</v>
      </c>
      <c r="E12" s="2"/>
      <c r="F12" s="138" t="s">
        <v>38</v>
      </c>
      <c r="G12" s="120">
        <v>0</v>
      </c>
      <c r="H12" s="139">
        <v>-1397.5500000000006</v>
      </c>
      <c r="I12" s="121">
        <v>475.2</v>
      </c>
      <c r="J12" s="2"/>
      <c r="K12" s="138" t="s">
        <v>41</v>
      </c>
      <c r="L12" s="120">
        <v>0</v>
      </c>
      <c r="M12" s="139">
        <v>15383.720000000003</v>
      </c>
      <c r="N12" s="121">
        <v>-134.19999999999999</v>
      </c>
      <c r="P12" s="138" t="s">
        <v>39</v>
      </c>
      <c r="Q12" s="120">
        <v>0</v>
      </c>
      <c r="R12" s="139">
        <v>303</v>
      </c>
      <c r="S12" s="121">
        <v>-19.200000000000003</v>
      </c>
    </row>
    <row r="13" spans="1:19" ht="18.75" customHeight="1">
      <c r="A13" s="138" t="s">
        <v>43</v>
      </c>
      <c r="B13" s="120">
        <v>0</v>
      </c>
      <c r="C13" s="139">
        <v>-935</v>
      </c>
      <c r="D13" s="121">
        <v>203.5</v>
      </c>
      <c r="E13" s="2"/>
      <c r="F13" s="138" t="s">
        <v>26</v>
      </c>
      <c r="G13" s="120">
        <v>0</v>
      </c>
      <c r="H13" s="139">
        <v>-29.869999999999692</v>
      </c>
      <c r="I13" s="121">
        <v>84.49</v>
      </c>
      <c r="J13" s="2"/>
      <c r="K13" s="138" t="s">
        <v>35</v>
      </c>
      <c r="L13" s="120">
        <v>0</v>
      </c>
      <c r="M13" s="139">
        <v>-1831.9500000000012</v>
      </c>
      <c r="N13" s="121">
        <v>-28.749999999999996</v>
      </c>
      <c r="P13" s="138" t="s">
        <v>42</v>
      </c>
      <c r="Q13" s="120">
        <v>0</v>
      </c>
      <c r="R13" s="139">
        <v>1832.0464000000002</v>
      </c>
      <c r="S13" s="121">
        <v>110.4</v>
      </c>
    </row>
    <row r="14" spans="1:19" ht="18.75" customHeight="1">
      <c r="A14" s="138" t="s">
        <v>42</v>
      </c>
      <c r="B14" s="120">
        <v>0</v>
      </c>
      <c r="C14" s="139">
        <v>354</v>
      </c>
      <c r="D14" s="121">
        <v>82.800000000000011</v>
      </c>
      <c r="E14" s="2"/>
      <c r="F14" s="138" t="s">
        <v>44</v>
      </c>
      <c r="G14" s="120">
        <v>1210</v>
      </c>
      <c r="H14" s="139">
        <v>0</v>
      </c>
      <c r="I14" s="121">
        <v>0</v>
      </c>
      <c r="J14" s="2"/>
      <c r="K14" s="138" t="s">
        <v>47</v>
      </c>
      <c r="L14" s="120">
        <v>0</v>
      </c>
      <c r="M14" s="139">
        <v>-276.64999999999975</v>
      </c>
      <c r="N14" s="121">
        <v>67.650000000000006</v>
      </c>
      <c r="P14" s="138" t="s">
        <v>45</v>
      </c>
      <c r="Q14" s="120">
        <v>0</v>
      </c>
      <c r="R14" s="139">
        <v>-573.64639999999963</v>
      </c>
      <c r="S14" s="121">
        <v>27.6</v>
      </c>
    </row>
    <row r="15" spans="1:19" ht="18.75" customHeight="1">
      <c r="A15" s="138" t="s">
        <v>49</v>
      </c>
      <c r="B15" s="120">
        <v>0</v>
      </c>
      <c r="C15" s="139">
        <v>-110</v>
      </c>
      <c r="D15" s="121">
        <v>-40</v>
      </c>
      <c r="E15" s="2"/>
      <c r="F15" s="138" t="s">
        <v>46</v>
      </c>
      <c r="G15" s="120">
        <v>2382.8500000000004</v>
      </c>
      <c r="H15" s="139">
        <v>0</v>
      </c>
      <c r="I15" s="121">
        <v>0</v>
      </c>
      <c r="J15" s="2"/>
      <c r="K15" s="138" t="s">
        <v>36</v>
      </c>
      <c r="L15" s="120">
        <v>0</v>
      </c>
      <c r="M15" s="139">
        <v>814</v>
      </c>
      <c r="N15" s="121">
        <v>-5.5</v>
      </c>
      <c r="P15" s="140" t="s">
        <v>48</v>
      </c>
      <c r="Q15" s="123">
        <v>0</v>
      </c>
      <c r="R15" s="141">
        <v>11231.69</v>
      </c>
      <c r="S15" s="124">
        <v>428.44000000000005</v>
      </c>
    </row>
    <row r="16" spans="1:19" ht="18.75" customHeight="1">
      <c r="A16" s="138" t="s">
        <v>51</v>
      </c>
      <c r="B16" s="120">
        <v>-1035</v>
      </c>
      <c r="C16" s="139">
        <v>0</v>
      </c>
      <c r="D16" s="121">
        <v>0</v>
      </c>
      <c r="E16" s="2"/>
      <c r="F16" s="138" t="s">
        <v>50</v>
      </c>
      <c r="G16" s="120">
        <v>9649.1999999999989</v>
      </c>
      <c r="H16" s="139">
        <v>8845.9499999999989</v>
      </c>
      <c r="I16" s="121">
        <v>-124.95</v>
      </c>
      <c r="J16" s="2"/>
      <c r="K16" s="138" t="s">
        <v>52</v>
      </c>
      <c r="L16" s="120">
        <v>0</v>
      </c>
      <c r="M16" s="139">
        <v>34266.239999999998</v>
      </c>
      <c r="N16" s="121">
        <v>610.56000000000006</v>
      </c>
    </row>
    <row r="17" spans="1:14" ht="18.75" customHeight="1">
      <c r="A17" s="138" t="s">
        <v>276</v>
      </c>
      <c r="B17" s="120">
        <v>0</v>
      </c>
      <c r="C17" s="139" t="e">
        <v>#VALUE!</v>
      </c>
      <c r="D17" s="121">
        <v>0</v>
      </c>
      <c r="E17" s="2"/>
      <c r="F17" s="138" t="s">
        <v>15</v>
      </c>
      <c r="G17" s="120">
        <v>0</v>
      </c>
      <c r="H17" s="139">
        <v>6184.9999999999982</v>
      </c>
      <c r="I17" s="121">
        <v>340.00000000000006</v>
      </c>
      <c r="J17" s="2"/>
      <c r="K17" s="138" t="s">
        <v>54</v>
      </c>
      <c r="L17" s="120">
        <v>0</v>
      </c>
      <c r="M17" s="139">
        <v>153.49999999999966</v>
      </c>
      <c r="N17" s="121">
        <v>-42</v>
      </c>
    </row>
    <row r="18" spans="1:14" ht="18.75" customHeight="1">
      <c r="A18" s="140" t="s">
        <v>48</v>
      </c>
      <c r="B18" s="123">
        <v>-6029.5999999999995</v>
      </c>
      <c r="C18" s="141" t="e">
        <v>#VALUE!</v>
      </c>
      <c r="D18" s="124">
        <v>293.10000000000002</v>
      </c>
      <c r="E18" s="2"/>
      <c r="F18" s="138" t="s">
        <v>53</v>
      </c>
      <c r="G18" s="120">
        <v>0</v>
      </c>
      <c r="H18" s="139">
        <v>1888.5000000000002</v>
      </c>
      <c r="I18" s="121">
        <v>-7</v>
      </c>
      <c r="J18" s="2"/>
      <c r="K18" s="138" t="s">
        <v>55</v>
      </c>
      <c r="L18" s="120">
        <v>13002.500000000002</v>
      </c>
      <c r="M18" s="139">
        <v>0</v>
      </c>
      <c r="N18" s="121">
        <v>0</v>
      </c>
    </row>
    <row r="19" spans="1:14" ht="18.75" customHeight="1">
      <c r="A19" s="2"/>
      <c r="B19" s="2"/>
      <c r="C19" s="2"/>
      <c r="D19" s="2"/>
      <c r="E19" s="2"/>
      <c r="F19" s="138" t="s">
        <v>27</v>
      </c>
      <c r="G19" s="120">
        <v>0</v>
      </c>
      <c r="H19" s="139">
        <v>10215.580000000002</v>
      </c>
      <c r="I19" s="121">
        <v>256.94</v>
      </c>
      <c r="J19" s="2"/>
      <c r="K19" s="138" t="s">
        <v>39</v>
      </c>
      <c r="L19" s="120">
        <v>0</v>
      </c>
      <c r="M19" s="139">
        <v>300</v>
      </c>
      <c r="N19" s="121">
        <v>-19.200000000000003</v>
      </c>
    </row>
    <row r="20" spans="1:14" ht="18.75" customHeight="1">
      <c r="A20" s="2"/>
      <c r="B20" s="2"/>
      <c r="C20" s="2"/>
      <c r="D20" s="2"/>
      <c r="E20" s="2"/>
      <c r="F20" s="138" t="s">
        <v>41</v>
      </c>
      <c r="G20" s="120">
        <v>0</v>
      </c>
      <c r="H20" s="139">
        <v>5507.0000000000027</v>
      </c>
      <c r="I20" s="121">
        <v>-122</v>
      </c>
      <c r="J20" s="2"/>
      <c r="K20" s="138" t="s">
        <v>56</v>
      </c>
      <c r="L20" s="120">
        <v>0</v>
      </c>
      <c r="M20" s="139">
        <v>-3677.2500000000009</v>
      </c>
      <c r="N20" s="121">
        <v>168</v>
      </c>
    </row>
    <row r="21" spans="1:14" ht="18.75" customHeight="1">
      <c r="A21" s="2"/>
      <c r="B21" s="2"/>
      <c r="C21" s="2"/>
      <c r="D21" s="2"/>
      <c r="E21" s="2"/>
      <c r="F21" s="138" t="s">
        <v>31</v>
      </c>
      <c r="G21" s="120">
        <v>0</v>
      </c>
      <c r="H21" s="139">
        <v>117.60000000000048</v>
      </c>
      <c r="I21" s="121">
        <v>-63</v>
      </c>
      <c r="J21" s="2"/>
      <c r="K21" s="138" t="s">
        <v>42</v>
      </c>
      <c r="L21" s="120">
        <v>0</v>
      </c>
      <c r="M21" s="139">
        <v>3076.319645</v>
      </c>
      <c r="N21" s="121">
        <v>193.20000000000002</v>
      </c>
    </row>
    <row r="22" spans="1:14" ht="18.75" customHeight="1">
      <c r="A22" s="2"/>
      <c r="B22" s="2"/>
      <c r="C22" s="2"/>
      <c r="D22" s="2"/>
      <c r="E22" s="2"/>
      <c r="F22" s="138" t="s">
        <v>35</v>
      </c>
      <c r="G22" s="120">
        <v>0</v>
      </c>
      <c r="H22" s="139">
        <v>-3195.4999999999995</v>
      </c>
      <c r="I22" s="121">
        <v>-11.5</v>
      </c>
      <c r="J22" s="2"/>
      <c r="K22" s="138" t="s">
        <v>45</v>
      </c>
      <c r="L22" s="120">
        <v>0</v>
      </c>
      <c r="M22" s="139">
        <v>-1290.6896449999999</v>
      </c>
      <c r="N22" s="121">
        <v>48.300000000000004</v>
      </c>
    </row>
    <row r="23" spans="1:14" ht="18.75" customHeight="1">
      <c r="A23" s="2"/>
      <c r="B23" s="2"/>
      <c r="C23" s="2"/>
      <c r="D23" s="2"/>
      <c r="E23" s="2"/>
      <c r="F23" s="138" t="s">
        <v>32</v>
      </c>
      <c r="G23" s="120">
        <v>0</v>
      </c>
      <c r="H23" s="139">
        <v>14190</v>
      </c>
      <c r="I23" s="121">
        <v>666</v>
      </c>
      <c r="J23" s="2"/>
      <c r="K23" s="138" t="s">
        <v>57</v>
      </c>
      <c r="L23" s="120">
        <v>0</v>
      </c>
      <c r="M23" s="139">
        <v>1325.6000000000004</v>
      </c>
      <c r="N23" s="121">
        <v>33.200000000000003</v>
      </c>
    </row>
    <row r="24" spans="1:14" ht="18.75" customHeight="1">
      <c r="A24" s="2"/>
      <c r="B24" s="2"/>
      <c r="C24" s="2"/>
      <c r="D24" s="2"/>
      <c r="E24" s="2"/>
      <c r="F24" s="138" t="s">
        <v>47</v>
      </c>
      <c r="G24" s="120">
        <v>0</v>
      </c>
      <c r="H24" s="139">
        <v>353.2000000000005</v>
      </c>
      <c r="I24" s="121">
        <v>123</v>
      </c>
      <c r="J24" s="2"/>
      <c r="K24" s="138" t="s">
        <v>276</v>
      </c>
      <c r="L24" s="120">
        <v>0</v>
      </c>
      <c r="M24" s="139" t="e">
        <v>#VALUE!</v>
      </c>
      <c r="N24" s="121">
        <v>0</v>
      </c>
    </row>
    <row r="25" spans="1:14" ht="18.75" customHeight="1">
      <c r="A25" s="2"/>
      <c r="B25" s="2"/>
      <c r="C25" s="2"/>
      <c r="D25" s="2"/>
      <c r="E25" s="2"/>
      <c r="F25" s="138" t="s">
        <v>58</v>
      </c>
      <c r="G25" s="120">
        <v>0</v>
      </c>
      <c r="H25" s="139">
        <v>-832.91999999999985</v>
      </c>
      <c r="I25" s="121">
        <v>-3.28</v>
      </c>
      <c r="J25" s="2"/>
      <c r="K25" s="140" t="s">
        <v>48</v>
      </c>
      <c r="L25" s="123">
        <v>25478.620000000003</v>
      </c>
      <c r="M25" s="141" t="e">
        <v>#VALUE!</v>
      </c>
      <c r="N25" s="124">
        <v>1388.1000000000001</v>
      </c>
    </row>
    <row r="26" spans="1:14" ht="18.75" customHeight="1">
      <c r="A26" s="2"/>
      <c r="B26" s="2"/>
      <c r="C26" s="2"/>
      <c r="D26" s="2"/>
      <c r="E26" s="2"/>
      <c r="F26" s="138" t="s">
        <v>36</v>
      </c>
      <c r="G26" s="120">
        <v>2461.9999999999995</v>
      </c>
      <c r="H26" s="139">
        <v>0</v>
      </c>
      <c r="I26" s="121">
        <v>0</v>
      </c>
      <c r="J26" s="2"/>
    </row>
    <row r="27" spans="1:14" ht="18.75" customHeight="1">
      <c r="F27" s="138" t="s">
        <v>59</v>
      </c>
      <c r="G27" s="120">
        <v>0</v>
      </c>
      <c r="H27" s="139">
        <v>2976.3000000000011</v>
      </c>
      <c r="I27" s="121">
        <v>-12</v>
      </c>
    </row>
    <row r="28" spans="1:14" ht="18.75" customHeight="1">
      <c r="F28" s="138" t="s">
        <v>52</v>
      </c>
      <c r="G28" s="120">
        <v>0</v>
      </c>
      <c r="H28" s="139">
        <v>13887.099999999999</v>
      </c>
      <c r="I28" s="121">
        <v>402.8</v>
      </c>
    </row>
    <row r="29" spans="1:14" ht="18.75" customHeight="1">
      <c r="F29" s="138" t="s">
        <v>60</v>
      </c>
      <c r="G29" s="120">
        <v>113.9999999999997</v>
      </c>
      <c r="H29" s="139">
        <v>0</v>
      </c>
      <c r="I29" s="121">
        <v>0</v>
      </c>
    </row>
    <row r="30" spans="1:14" ht="13.2">
      <c r="F30" s="138" t="s">
        <v>54</v>
      </c>
      <c r="G30" s="120">
        <v>0</v>
      </c>
      <c r="H30" s="139">
        <v>230.5999999999996</v>
      </c>
      <c r="I30" s="121">
        <v>-67.2</v>
      </c>
    </row>
    <row r="31" spans="1:14" ht="13.2">
      <c r="F31" s="138" t="s">
        <v>61</v>
      </c>
      <c r="G31" s="120">
        <v>0</v>
      </c>
      <c r="H31" s="139">
        <v>591.49999999999989</v>
      </c>
      <c r="I31" s="121">
        <v>21</v>
      </c>
    </row>
    <row r="32" spans="1:14" ht="13.2">
      <c r="F32" s="138" t="s">
        <v>62</v>
      </c>
      <c r="G32" s="120">
        <v>0</v>
      </c>
      <c r="H32" s="139">
        <v>320.00000000000028</v>
      </c>
      <c r="I32" s="121">
        <v>303</v>
      </c>
    </row>
    <row r="33" spans="1:10" ht="13.2">
      <c r="F33" s="138" t="s">
        <v>63</v>
      </c>
      <c r="G33" s="120">
        <v>0</v>
      </c>
      <c r="H33" s="139">
        <v>-532.9499999999997</v>
      </c>
      <c r="I33" s="121">
        <v>76.95</v>
      </c>
    </row>
    <row r="34" spans="1:10" ht="13.2">
      <c r="F34" s="138" t="s">
        <v>64</v>
      </c>
      <c r="G34" s="120">
        <v>0</v>
      </c>
      <c r="H34" s="139">
        <v>3316</v>
      </c>
      <c r="I34" s="121">
        <v>35</v>
      </c>
    </row>
    <row r="35" spans="1:10" ht="13.2">
      <c r="A35" s="2"/>
      <c r="B35" s="2"/>
      <c r="C35" s="2"/>
      <c r="D35" s="2"/>
      <c r="E35" s="2"/>
      <c r="F35" s="138" t="s">
        <v>39</v>
      </c>
      <c r="G35" s="120">
        <v>0</v>
      </c>
      <c r="H35" s="139">
        <v>6141.7899999999981</v>
      </c>
      <c r="I35" s="121">
        <v>-140.80000000000001</v>
      </c>
      <c r="J35" s="2"/>
    </row>
    <row r="36" spans="1:10" ht="13.2">
      <c r="F36" s="138" t="s">
        <v>65</v>
      </c>
      <c r="G36" s="120">
        <v>0</v>
      </c>
      <c r="H36" s="139">
        <v>36.000000000000227</v>
      </c>
      <c r="I36" s="121">
        <v>58.8</v>
      </c>
    </row>
    <row r="37" spans="1:10" ht="13.2">
      <c r="F37" s="138" t="s">
        <v>66</v>
      </c>
      <c r="G37" s="120">
        <v>0</v>
      </c>
      <c r="H37" s="139">
        <v>1537.1000000000004</v>
      </c>
      <c r="I37" s="121">
        <v>-30.5</v>
      </c>
    </row>
    <row r="38" spans="1:10" ht="13.2">
      <c r="F38" s="138" t="s">
        <v>67</v>
      </c>
      <c r="G38" s="120">
        <v>0</v>
      </c>
      <c r="H38" s="139">
        <v>6658.5</v>
      </c>
      <c r="I38" s="121">
        <v>255</v>
      </c>
    </row>
    <row r="39" spans="1:10" ht="13.2">
      <c r="F39" s="138" t="s">
        <v>56</v>
      </c>
      <c r="G39" s="120">
        <v>0</v>
      </c>
      <c r="H39" s="139">
        <v>-1192.4000000000001</v>
      </c>
      <c r="I39" s="121">
        <v>33.6</v>
      </c>
    </row>
    <row r="40" spans="1:10" ht="13.2">
      <c r="F40" s="138" t="s">
        <v>68</v>
      </c>
      <c r="G40" s="120">
        <v>4247.9100000000008</v>
      </c>
      <c r="H40" s="139">
        <v>0</v>
      </c>
      <c r="I40" s="121">
        <v>0</v>
      </c>
    </row>
    <row r="41" spans="1:10" ht="13.2">
      <c r="F41" s="138" t="s">
        <v>69</v>
      </c>
      <c r="G41" s="120">
        <v>0</v>
      </c>
      <c r="H41" s="139">
        <v>2986.0199999999986</v>
      </c>
      <c r="I41" s="121">
        <v>169.60000000000002</v>
      </c>
    </row>
    <row r="42" spans="1:10" ht="13.2">
      <c r="F42" s="138" t="s">
        <v>70</v>
      </c>
      <c r="G42" s="120">
        <v>0</v>
      </c>
      <c r="H42" s="139">
        <v>3222.0000000000005</v>
      </c>
      <c r="I42" s="121">
        <v>-46</v>
      </c>
    </row>
    <row r="43" spans="1:10" ht="13.2">
      <c r="F43" s="138" t="s">
        <v>42</v>
      </c>
      <c r="G43" s="120">
        <v>0</v>
      </c>
      <c r="H43" s="139">
        <v>5595.0158750000001</v>
      </c>
      <c r="I43" s="121">
        <v>345</v>
      </c>
    </row>
    <row r="44" spans="1:10" ht="13.2">
      <c r="F44" s="138" t="s">
        <v>45</v>
      </c>
      <c r="G44" s="120">
        <v>0</v>
      </c>
      <c r="H44" s="139">
        <v>-2080.2658749999991</v>
      </c>
      <c r="I44" s="121">
        <v>86.25</v>
      </c>
    </row>
    <row r="45" spans="1:10" ht="13.2">
      <c r="F45" s="138" t="s">
        <v>71</v>
      </c>
      <c r="G45" s="120">
        <v>1047.9000000000005</v>
      </c>
      <c r="H45" s="139">
        <v>0</v>
      </c>
      <c r="I45" s="121">
        <v>0</v>
      </c>
    </row>
    <row r="46" spans="1:10" ht="15.75" customHeight="1">
      <c r="F46" s="140" t="s">
        <v>48</v>
      </c>
      <c r="G46" s="123">
        <v>30107.06</v>
      </c>
      <c r="H46" s="141">
        <v>95944.48000000001</v>
      </c>
      <c r="I46" s="124">
        <v>2886.85</v>
      </c>
    </row>
  </sheetData>
  <conditionalFormatting sqref="R3:S3 B3:D3 G3:I3">
    <cfRule type="cellIs" dxfId="29" priority="1" operator="lessThan">
      <formula>0</formula>
    </cfRule>
    <cfRule type="cellIs" dxfId="28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5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2" max="2" width="12.88671875" customWidth="1"/>
    <col min="3" max="3" width="15" customWidth="1"/>
    <col min="4" max="4" width="15.44140625" customWidth="1"/>
    <col min="5" max="5" width="11.6640625" customWidth="1"/>
    <col min="6" max="6" width="12.109375" customWidth="1"/>
    <col min="7" max="7" width="11.44140625" customWidth="1"/>
    <col min="8" max="8" width="11.6640625" customWidth="1"/>
    <col min="9" max="9" width="8.109375" customWidth="1"/>
    <col min="10" max="10" width="15.109375" customWidth="1"/>
    <col min="11" max="11" width="15.44140625" customWidth="1"/>
    <col min="12" max="12" width="19.77734375" customWidth="1"/>
    <col min="13" max="15" width="14.44140625" customWidth="1"/>
    <col min="16" max="16" width="18.21875" customWidth="1"/>
    <col min="17" max="17" width="14.44140625" customWidth="1"/>
    <col min="18" max="18" width="7" hidden="1" customWidth="1"/>
    <col min="19" max="19" width="9.77734375" hidden="1" customWidth="1"/>
    <col min="20" max="20" width="5.109375" hidden="1" customWidth="1"/>
    <col min="21" max="21" width="11.21875" hidden="1" customWidth="1"/>
    <col min="22" max="22" width="8" hidden="1" customWidth="1"/>
    <col min="23" max="23" width="10.109375" hidden="1" customWidth="1"/>
    <col min="24" max="24" width="11.21875" hidden="1" customWidth="1"/>
    <col min="25" max="25" width="9.33203125" hidden="1" customWidth="1"/>
    <col min="26" max="26" width="8.44140625" hidden="1" customWidth="1"/>
    <col min="27" max="27" width="12.6640625" hidden="1"/>
    <col min="28" max="28" width="25.21875" customWidth="1"/>
    <col min="29" max="30" width="17.88671875" customWidth="1"/>
    <col min="35" max="36" width="13.88671875" customWidth="1"/>
  </cols>
  <sheetData>
    <row r="1" spans="1:41" ht="22.5" customHeight="1">
      <c r="A1" s="11" t="s">
        <v>72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11" t="s">
        <v>79</v>
      </c>
      <c r="J1" s="11" t="s">
        <v>80</v>
      </c>
      <c r="K1" s="11" t="s">
        <v>81</v>
      </c>
      <c r="L1" s="11" t="s">
        <v>6</v>
      </c>
      <c r="M1" s="11" t="s">
        <v>82</v>
      </c>
      <c r="N1" s="11" t="s">
        <v>83</v>
      </c>
      <c r="O1" s="11" t="s">
        <v>84</v>
      </c>
      <c r="P1" s="11" t="s">
        <v>5</v>
      </c>
      <c r="Q1" s="11" t="s">
        <v>85</v>
      </c>
      <c r="R1" s="11" t="s">
        <v>86</v>
      </c>
      <c r="S1" s="11" t="s">
        <v>87</v>
      </c>
      <c r="T1" s="11" t="s">
        <v>88</v>
      </c>
      <c r="U1" s="11" t="s">
        <v>89</v>
      </c>
      <c r="V1" s="11" t="s">
        <v>90</v>
      </c>
      <c r="W1" s="11" t="s">
        <v>91</v>
      </c>
      <c r="X1" s="11" t="s">
        <v>92</v>
      </c>
      <c r="Y1" s="11" t="s">
        <v>93</v>
      </c>
      <c r="Z1" s="11" t="s">
        <v>94</v>
      </c>
      <c r="AA1" s="11" t="s">
        <v>95</v>
      </c>
      <c r="AB1" s="12" t="s">
        <v>96</v>
      </c>
      <c r="AC1" s="13"/>
      <c r="AD1" s="14"/>
    </row>
    <row r="2" spans="1:41" ht="22.5" customHeight="1">
      <c r="A2" s="15">
        <v>1</v>
      </c>
      <c r="B2" s="16" t="s">
        <v>13</v>
      </c>
      <c r="C2" s="17" t="s">
        <v>97</v>
      </c>
      <c r="D2" s="18">
        <v>45658</v>
      </c>
      <c r="E2" s="16">
        <v>3006.15</v>
      </c>
      <c r="F2" s="18"/>
      <c r="G2" s="16"/>
      <c r="H2" s="16">
        <f ca="1">IFERROR(__xludf.DUMMYFUNCTION("IFERROR(GOOGLEFINANCE(""NSE:""&amp;B2,""price""),"""")"),2543.2)</f>
        <v>2543.1999999999998</v>
      </c>
      <c r="I2" s="15">
        <v>3</v>
      </c>
      <c r="J2" s="16">
        <f t="shared" ref="J2:J53" si="0">E2*I2</f>
        <v>9018.4500000000007</v>
      </c>
      <c r="K2" s="16">
        <f t="shared" ref="K2:K53" si="1">IF(G2&gt;0,(E2+G2)*I2,E2*I2)</f>
        <v>9018.4500000000007</v>
      </c>
      <c r="L2" s="16">
        <f t="shared" ref="L2:L53" ca="1" si="2">IF(G2&gt;0,0,(H2-E2)*I2)</f>
        <v>-1388.8500000000008</v>
      </c>
      <c r="M2" s="19">
        <f t="shared" ref="M2:M53" ca="1" si="3">IFERROR(IF(G2&gt;0,0,(H2-E2)/E2),0)</f>
        <v>-0.15400096468905419</v>
      </c>
      <c r="N2" s="16">
        <f ca="1">IFERROR(__xludf.DUMMYFUNCTION("IFERROR(IF(G2&gt;0,0,GOOGLEFINANCE(""NSE:""&amp;B2,""change"")),)"),-38.4)</f>
        <v>-38.4</v>
      </c>
      <c r="O2" s="16">
        <f t="shared" ref="O2:O53" ca="1" si="4">I2*N2</f>
        <v>-115.19999999999999</v>
      </c>
      <c r="P2" s="16">
        <f t="shared" ref="P2:P53" si="5">IF(G2=0,0,(G2-E2)*I2)</f>
        <v>0</v>
      </c>
      <c r="Q2" s="19">
        <f t="shared" ref="Q2:Q53" si="6">IF(G2&gt;0,(G2-E2)/E2,0)</f>
        <v>0</v>
      </c>
      <c r="R2" s="16">
        <f t="shared" ref="R2:R6" si="7">0.001*K2</f>
        <v>9.0184500000000014</v>
      </c>
      <c r="S2" s="16">
        <f t="shared" ref="S2:S6" si="8">0.0000325*K2</f>
        <v>0.29309962499999997</v>
      </c>
      <c r="T2" s="16">
        <f t="shared" ref="T2:T9" si="9">0.18*S2</f>
        <v>5.2757932499999993E-2</v>
      </c>
      <c r="U2" s="20">
        <f t="shared" ref="U2:U6" si="10">0.0000005*K2</f>
        <v>4.5092250000000004E-3</v>
      </c>
      <c r="V2" s="16">
        <f t="shared" ref="V2:V9" si="11">R2+S2+T2+U2</f>
        <v>9.3688167825000015</v>
      </c>
      <c r="W2" s="16">
        <f t="shared" ref="W2:W4" si="12">IF(G2&gt;0,15.34,0)</f>
        <v>0</v>
      </c>
      <c r="X2" s="16">
        <f t="shared" ref="X2:X9" si="13">V2+W2</f>
        <v>9.3688167825000015</v>
      </c>
      <c r="Y2" s="16">
        <f t="shared" ref="Y2:Y4" si="14">IF(G2&gt;0,P2-X2,0)</f>
        <v>0</v>
      </c>
      <c r="Z2" s="19">
        <f t="shared" ref="Z2:Z6" si="15">Y2/J2</f>
        <v>0</v>
      </c>
      <c r="AA2" s="21">
        <f>SUM($AE$2,Y2)</f>
        <v>50000</v>
      </c>
      <c r="AB2" s="22"/>
      <c r="AC2" s="22"/>
      <c r="AD2" s="23" t="s">
        <v>98</v>
      </c>
      <c r="AE2" s="8">
        <v>50000</v>
      </c>
      <c r="AG2" s="113"/>
      <c r="AH2" s="134"/>
      <c r="AI2" s="114" t="s">
        <v>275</v>
      </c>
      <c r="AJ2" s="115"/>
      <c r="AL2" s="113"/>
      <c r="AM2" s="114" t="s">
        <v>275</v>
      </c>
      <c r="AN2" s="134"/>
      <c r="AO2" s="115"/>
    </row>
    <row r="3" spans="1:41" ht="22.5" customHeight="1">
      <c r="A3" s="15">
        <v>2</v>
      </c>
      <c r="B3" s="16" t="s">
        <v>36</v>
      </c>
      <c r="C3" s="17" t="s">
        <v>97</v>
      </c>
      <c r="D3" s="18">
        <v>45791</v>
      </c>
      <c r="E3" s="16">
        <v>267</v>
      </c>
      <c r="F3" s="18"/>
      <c r="G3" s="16"/>
      <c r="H3" s="16">
        <f ca="1">IFERROR(__xludf.DUMMYFUNCTION("IFERROR(GOOGLEFINANCE(""NSE:""&amp;B3,""price""),"""")"),298.5)</f>
        <v>298.5</v>
      </c>
      <c r="I3" s="15">
        <v>18</v>
      </c>
      <c r="J3" s="16">
        <f t="shared" si="0"/>
        <v>4806</v>
      </c>
      <c r="K3" s="16">
        <f t="shared" si="1"/>
        <v>4806</v>
      </c>
      <c r="L3" s="16">
        <f t="shared" ca="1" si="2"/>
        <v>567</v>
      </c>
      <c r="M3" s="19">
        <f t="shared" ca="1" si="3"/>
        <v>0.11797752808988764</v>
      </c>
      <c r="N3" s="16">
        <f ca="1">IFERROR(__xludf.DUMMYFUNCTION("IFERROR(IF(G3&gt;0,0,GOOGLEFINANCE(""NSE:""&amp;B3,""change"")),0)"),-0.25)</f>
        <v>-0.25</v>
      </c>
      <c r="O3" s="16">
        <f t="shared" ca="1" si="4"/>
        <v>-4.5</v>
      </c>
      <c r="P3" s="16">
        <f t="shared" si="5"/>
        <v>0</v>
      </c>
      <c r="Q3" s="19">
        <f t="shared" si="6"/>
        <v>0</v>
      </c>
      <c r="R3" s="16">
        <f t="shared" si="7"/>
        <v>4.806</v>
      </c>
      <c r="S3" s="16">
        <f t="shared" si="8"/>
        <v>0.15619499999999997</v>
      </c>
      <c r="T3" s="16">
        <f t="shared" si="9"/>
        <v>2.8115099999999994E-2</v>
      </c>
      <c r="U3" s="16">
        <f t="shared" si="10"/>
        <v>2.4029999999999998E-3</v>
      </c>
      <c r="V3" s="16">
        <f t="shared" si="11"/>
        <v>4.9927131000000005</v>
      </c>
      <c r="W3" s="16">
        <f t="shared" si="12"/>
        <v>0</v>
      </c>
      <c r="X3" s="16">
        <f t="shared" si="13"/>
        <v>4.9927131000000005</v>
      </c>
      <c r="Y3" s="16">
        <f t="shared" si="14"/>
        <v>0</v>
      </c>
      <c r="Z3" s="19">
        <f t="shared" si="15"/>
        <v>0</v>
      </c>
      <c r="AA3" s="21">
        <f t="shared" ref="AA3:AA9" si="16">SUM(AA2,Y3)</f>
        <v>50000</v>
      </c>
      <c r="AB3" s="22"/>
      <c r="AC3" s="22"/>
      <c r="AD3" s="23" t="s">
        <v>99</v>
      </c>
      <c r="AE3" s="8">
        <f>AE2+AE4</f>
        <v>43970.400000000001</v>
      </c>
      <c r="AG3" s="114" t="s">
        <v>73</v>
      </c>
      <c r="AH3" s="114" t="s">
        <v>4</v>
      </c>
      <c r="AI3" s="113" t="s">
        <v>9</v>
      </c>
      <c r="AJ3" s="116" t="s">
        <v>8</v>
      </c>
      <c r="AL3" s="114" t="s">
        <v>4</v>
      </c>
      <c r="AM3" s="113" t="s">
        <v>5</v>
      </c>
      <c r="AN3" s="135" t="s">
        <v>6</v>
      </c>
      <c r="AO3" s="116" t="s">
        <v>7</v>
      </c>
    </row>
    <row r="4" spans="1:41" ht="22.5" customHeight="1">
      <c r="A4" s="15">
        <v>3</v>
      </c>
      <c r="B4" s="16" t="s">
        <v>42</v>
      </c>
      <c r="C4" s="17" t="s">
        <v>97</v>
      </c>
      <c r="D4" s="18">
        <v>45797</v>
      </c>
      <c r="E4" s="16">
        <v>366.5</v>
      </c>
      <c r="F4" s="18"/>
      <c r="G4" s="16"/>
      <c r="H4" s="16">
        <f ca="1">IFERROR(__xludf.DUMMYFUNCTION("IFERROR(GOOGLEFINANCE(""NSE:""&amp;B4,""price""),"""")"),425.5)</f>
        <v>425.5</v>
      </c>
      <c r="I4" s="15">
        <v>6</v>
      </c>
      <c r="J4" s="16">
        <f t="shared" si="0"/>
        <v>2199</v>
      </c>
      <c r="K4" s="16">
        <f t="shared" si="1"/>
        <v>2199</v>
      </c>
      <c r="L4" s="16">
        <f t="shared" ca="1" si="2"/>
        <v>354</v>
      </c>
      <c r="M4" s="19">
        <f t="shared" ca="1" si="3"/>
        <v>0.16098226466575716</v>
      </c>
      <c r="N4" s="16">
        <f ca="1">IFERROR(__xludf.DUMMYFUNCTION("IFERROR(IF(G4&gt;0,0,GOOGLEFINANCE(""NSE:""&amp;B4,""change"")),0)"),13.8)</f>
        <v>13.8</v>
      </c>
      <c r="O4" s="16">
        <f t="shared" ca="1" si="4"/>
        <v>82.800000000000011</v>
      </c>
      <c r="P4" s="16">
        <f t="shared" si="5"/>
        <v>0</v>
      </c>
      <c r="Q4" s="19">
        <f t="shared" si="6"/>
        <v>0</v>
      </c>
      <c r="R4" s="16">
        <f t="shared" si="7"/>
        <v>2.1989999999999998</v>
      </c>
      <c r="S4" s="16">
        <f t="shared" si="8"/>
        <v>7.1467499999999989E-2</v>
      </c>
      <c r="T4" s="16">
        <f t="shared" si="9"/>
        <v>1.2864149999999998E-2</v>
      </c>
      <c r="U4" s="16">
        <f t="shared" si="10"/>
        <v>1.0995E-3</v>
      </c>
      <c r="V4" s="16">
        <f t="shared" si="11"/>
        <v>2.2844311499999996</v>
      </c>
      <c r="W4" s="16">
        <f t="shared" si="12"/>
        <v>0</v>
      </c>
      <c r="X4" s="16">
        <f t="shared" si="13"/>
        <v>2.2844311499999996</v>
      </c>
      <c r="Y4" s="16">
        <f t="shared" si="14"/>
        <v>0</v>
      </c>
      <c r="Z4" s="19">
        <f t="shared" si="15"/>
        <v>0</v>
      </c>
      <c r="AA4" s="21">
        <f t="shared" si="16"/>
        <v>50000</v>
      </c>
      <c r="AB4" s="22"/>
      <c r="AC4" s="22"/>
      <c r="AD4" s="23" t="s">
        <v>100</v>
      </c>
      <c r="AE4" s="8">
        <f>SUM(P2:P53)</f>
        <v>-6029.5999999999995</v>
      </c>
      <c r="AG4" s="113" t="s">
        <v>13</v>
      </c>
      <c r="AH4" s="136" t="s">
        <v>24</v>
      </c>
      <c r="AI4" s="117">
        <v>0</v>
      </c>
      <c r="AJ4" s="118">
        <v>-870</v>
      </c>
      <c r="AL4" s="136" t="s">
        <v>13</v>
      </c>
      <c r="AM4" s="117">
        <v>0</v>
      </c>
      <c r="AN4" s="137">
        <v>-1388.8500000000008</v>
      </c>
      <c r="AO4" s="118">
        <v>-115.19999999999999</v>
      </c>
    </row>
    <row r="5" spans="1:41" ht="22.5" customHeight="1">
      <c r="A5" s="15">
        <v>4</v>
      </c>
      <c r="B5" s="16" t="s">
        <v>24</v>
      </c>
      <c r="C5" s="17" t="s">
        <v>13</v>
      </c>
      <c r="D5" s="18">
        <v>45813</v>
      </c>
      <c r="E5" s="16">
        <v>475</v>
      </c>
      <c r="F5" s="18">
        <v>45827</v>
      </c>
      <c r="G5" s="16">
        <v>446</v>
      </c>
      <c r="H5" s="16">
        <f ca="1">IFERROR(__xludf.DUMMYFUNCTION("IFERROR(GOOGLEFINANCE(""NSE:""&amp;B5,""price""),"""")"),610.2)</f>
        <v>610.20000000000005</v>
      </c>
      <c r="I5" s="15">
        <v>30</v>
      </c>
      <c r="J5" s="16">
        <f t="shared" si="0"/>
        <v>14250</v>
      </c>
      <c r="K5" s="16">
        <f t="shared" si="1"/>
        <v>27630</v>
      </c>
      <c r="L5" s="16">
        <f t="shared" si="2"/>
        <v>0</v>
      </c>
      <c r="M5" s="19">
        <f t="shared" si="3"/>
        <v>0</v>
      </c>
      <c r="N5" s="16">
        <f ca="1">IFERROR(__xludf.DUMMYFUNCTION("IFERROR(IF(G5&gt;0,0,GOOGLEFINANCE(""NSE:""&amp;B5,""change"")),0)"),0)</f>
        <v>0</v>
      </c>
      <c r="O5" s="16">
        <f t="shared" ca="1" si="4"/>
        <v>0</v>
      </c>
      <c r="P5" s="16">
        <f t="shared" si="5"/>
        <v>-870</v>
      </c>
      <c r="Q5" s="19">
        <f t="shared" si="6"/>
        <v>-6.1052631578947365E-2</v>
      </c>
      <c r="R5" s="16">
        <f t="shared" si="7"/>
        <v>27.63</v>
      </c>
      <c r="S5" s="16">
        <f t="shared" si="8"/>
        <v>0.89797499999999997</v>
      </c>
      <c r="T5" s="16">
        <f t="shared" si="9"/>
        <v>0.16163549999999999</v>
      </c>
      <c r="U5" s="16">
        <f t="shared" si="10"/>
        <v>1.3814999999999999E-2</v>
      </c>
      <c r="V5" s="16">
        <f t="shared" si="11"/>
        <v>28.703425499999998</v>
      </c>
      <c r="W5" s="16">
        <f t="shared" ref="W5:W6" si="17">IF(G6&gt;0,15.34,0)</f>
        <v>0</v>
      </c>
      <c r="X5" s="16">
        <f t="shared" si="13"/>
        <v>28.703425499999998</v>
      </c>
      <c r="Y5" s="16">
        <f t="shared" ref="Y5:Y6" si="18">IF(G6&gt;0,P5-X5,0)</f>
        <v>0</v>
      </c>
      <c r="Z5" s="19">
        <f t="shared" si="15"/>
        <v>0</v>
      </c>
      <c r="AA5" s="21">
        <f t="shared" si="16"/>
        <v>50000</v>
      </c>
      <c r="AB5" s="22" t="s">
        <v>101</v>
      </c>
      <c r="AC5" s="22" t="s">
        <v>102</v>
      </c>
      <c r="AD5" s="23" t="s">
        <v>103</v>
      </c>
      <c r="AE5" s="24">
        <f>AE4/AE2</f>
        <v>-0.12059199999999999</v>
      </c>
      <c r="AG5" s="143"/>
      <c r="AH5" s="138" t="s">
        <v>51</v>
      </c>
      <c r="AI5" s="120">
        <v>0</v>
      </c>
      <c r="AJ5" s="121">
        <v>-1035</v>
      </c>
      <c r="AL5" s="138" t="s">
        <v>16</v>
      </c>
      <c r="AM5" s="120">
        <v>-772.19999999999925</v>
      </c>
      <c r="AN5" s="139">
        <v>0</v>
      </c>
      <c r="AO5" s="121">
        <v>0</v>
      </c>
    </row>
    <row r="6" spans="1:41" ht="22.5" customHeight="1">
      <c r="A6" s="15">
        <v>5</v>
      </c>
      <c r="B6" s="25" t="s">
        <v>32</v>
      </c>
      <c r="C6" s="17" t="s">
        <v>97</v>
      </c>
      <c r="D6" s="18">
        <v>45813</v>
      </c>
      <c r="E6" s="16">
        <v>176.2</v>
      </c>
      <c r="F6" s="18"/>
      <c r="G6" s="16">
        <v>0</v>
      </c>
      <c r="H6" s="16">
        <f ca="1">IFERROR(__xludf.DUMMYFUNCTION("IFERROR(GOOGLEFINANCE(""NSE:""&amp;B6,""price""),"""")"),139)</f>
        <v>139</v>
      </c>
      <c r="I6" s="15">
        <v>50</v>
      </c>
      <c r="J6" s="16">
        <f t="shared" si="0"/>
        <v>8810</v>
      </c>
      <c r="K6" s="16">
        <f t="shared" si="1"/>
        <v>8810</v>
      </c>
      <c r="L6" s="16">
        <f t="shared" ca="1" si="2"/>
        <v>-1859.9999999999995</v>
      </c>
      <c r="M6" s="19">
        <f t="shared" ca="1" si="3"/>
        <v>-0.21112372304199767</v>
      </c>
      <c r="N6" s="16">
        <f ca="1">IFERROR(__xludf.DUMMYFUNCTION("IFERROR(IF(G6&gt;0,0,GOOGLEFINANCE(""NSE:""&amp;B6,""change"")),0)"),3.33)</f>
        <v>3.33</v>
      </c>
      <c r="O6" s="16">
        <f t="shared" ca="1" si="4"/>
        <v>166.5</v>
      </c>
      <c r="P6" s="16">
        <f t="shared" si="5"/>
        <v>0</v>
      </c>
      <c r="Q6" s="19">
        <f t="shared" si="6"/>
        <v>0</v>
      </c>
      <c r="R6" s="16">
        <f t="shared" si="7"/>
        <v>8.81</v>
      </c>
      <c r="S6" s="16">
        <f t="shared" si="8"/>
        <v>0.286325</v>
      </c>
      <c r="T6" s="16">
        <f t="shared" si="9"/>
        <v>5.1538499999999994E-2</v>
      </c>
      <c r="U6" s="16">
        <f t="shared" si="10"/>
        <v>4.4050000000000001E-3</v>
      </c>
      <c r="V6" s="16">
        <f t="shared" si="11"/>
        <v>9.1522684999999999</v>
      </c>
      <c r="W6" s="16">
        <f t="shared" si="17"/>
        <v>15.34</v>
      </c>
      <c r="X6" s="16">
        <f t="shared" si="13"/>
        <v>24.492268500000002</v>
      </c>
      <c r="Y6" s="16">
        <f t="shared" si="18"/>
        <v>-24.492268500000002</v>
      </c>
      <c r="Z6" s="19">
        <f t="shared" si="15"/>
        <v>-2.7800531782065838E-3</v>
      </c>
      <c r="AA6" s="21">
        <f t="shared" si="16"/>
        <v>49975.507731500002</v>
      </c>
      <c r="AB6" s="22" t="s">
        <v>101</v>
      </c>
      <c r="AC6" s="22"/>
      <c r="AD6" s="22"/>
      <c r="AE6" s="26"/>
      <c r="AG6" s="113" t="s">
        <v>97</v>
      </c>
      <c r="AH6" s="136" t="s">
        <v>13</v>
      </c>
      <c r="AI6" s="117">
        <v>-1388.8500000000008</v>
      </c>
      <c r="AJ6" s="118">
        <v>0</v>
      </c>
      <c r="AL6" s="138" t="s">
        <v>20</v>
      </c>
      <c r="AM6" s="120">
        <v>35.999999999999091</v>
      </c>
      <c r="AN6" s="139">
        <v>0</v>
      </c>
      <c r="AO6" s="121">
        <v>0</v>
      </c>
    </row>
    <row r="7" spans="1:41" ht="22.5" customHeight="1">
      <c r="A7" s="15">
        <v>6</v>
      </c>
      <c r="B7" s="25" t="s">
        <v>20</v>
      </c>
      <c r="C7" s="17" t="s">
        <v>104</v>
      </c>
      <c r="D7" s="18">
        <v>45811</v>
      </c>
      <c r="E7" s="16">
        <v>2294.8000000000002</v>
      </c>
      <c r="F7" s="18">
        <v>45839</v>
      </c>
      <c r="G7" s="16">
        <v>2302</v>
      </c>
      <c r="H7" s="16">
        <f ca="1">IFERROR(__xludf.DUMMYFUNCTION("IFERROR(GOOGLEFINANCE(""NSE:""&amp;B7,""price""),"""")"),2019)</f>
        <v>2019</v>
      </c>
      <c r="I7" s="15">
        <v>5</v>
      </c>
      <c r="J7" s="16">
        <f t="shared" si="0"/>
        <v>11474</v>
      </c>
      <c r="K7" s="16">
        <f t="shared" si="1"/>
        <v>22984</v>
      </c>
      <c r="L7" s="16">
        <f t="shared" si="2"/>
        <v>0</v>
      </c>
      <c r="M7" s="19">
        <f t="shared" si="3"/>
        <v>0</v>
      </c>
      <c r="N7" s="16">
        <f ca="1">IFERROR(__xludf.DUMMYFUNCTION("IFERROR(IF(G7&gt;0,0,GOOGLEFINANCE(""NSE:""&amp;B7,""change"")),0)"),0)</f>
        <v>0</v>
      </c>
      <c r="O7" s="16">
        <f t="shared" ca="1" si="4"/>
        <v>0</v>
      </c>
      <c r="P7" s="16">
        <f t="shared" si="5"/>
        <v>35.999999999999091</v>
      </c>
      <c r="Q7" s="19">
        <f t="shared" si="6"/>
        <v>3.1375283249084093E-3</v>
      </c>
      <c r="R7" s="16" t="e">
        <f t="shared" ref="R7:R9" si="19">0.001*#REF!</f>
        <v>#REF!</v>
      </c>
      <c r="S7" s="16" t="e">
        <f t="shared" ref="S7:S9" si="20">0.0000325*#REF!</f>
        <v>#REF!</v>
      </c>
      <c r="T7" s="16" t="e">
        <f t="shared" si="9"/>
        <v>#REF!</v>
      </c>
      <c r="U7" s="16" t="e">
        <f t="shared" ref="U7:U9" si="21">0.0000005*#REF!</f>
        <v>#REF!</v>
      </c>
      <c r="V7" s="16" t="e">
        <f t="shared" si="11"/>
        <v>#REF!</v>
      </c>
      <c r="W7" s="16" t="e">
        <f t="shared" ref="W7:W9" si="22">IF(#REF!&gt;0,15.34,0)</f>
        <v>#REF!</v>
      </c>
      <c r="X7" s="16" t="e">
        <f t="shared" si="13"/>
        <v>#REF!</v>
      </c>
      <c r="Y7" s="16" t="e">
        <f t="shared" ref="Y7:Y9" si="23">IF(#REF!&gt;0,P7-X7,0)</f>
        <v>#REF!</v>
      </c>
      <c r="Z7" s="19" t="e">
        <f t="shared" ref="Z7:Z9" si="24">Y7/#REF!</f>
        <v>#REF!</v>
      </c>
      <c r="AA7" s="21" t="e">
        <f t="shared" si="16"/>
        <v>#REF!</v>
      </c>
      <c r="AB7" s="22" t="s">
        <v>101</v>
      </c>
      <c r="AC7" s="6" t="s">
        <v>105</v>
      </c>
      <c r="AD7" s="114" t="s">
        <v>76</v>
      </c>
      <c r="AE7" s="125" t="s">
        <v>8</v>
      </c>
      <c r="AG7" s="143"/>
      <c r="AH7" s="138" t="s">
        <v>32</v>
      </c>
      <c r="AI7" s="120">
        <v>-1859.9999999999995</v>
      </c>
      <c r="AJ7" s="121">
        <v>0</v>
      </c>
      <c r="AL7" s="138" t="s">
        <v>24</v>
      </c>
      <c r="AM7" s="120">
        <v>-870</v>
      </c>
      <c r="AN7" s="139">
        <v>0</v>
      </c>
      <c r="AO7" s="121">
        <v>0</v>
      </c>
    </row>
    <row r="8" spans="1:41" ht="22.5" customHeight="1">
      <c r="A8" s="15">
        <v>7</v>
      </c>
      <c r="B8" s="16" t="s">
        <v>51</v>
      </c>
      <c r="C8" s="15" t="s">
        <v>13</v>
      </c>
      <c r="D8" s="18">
        <v>45832</v>
      </c>
      <c r="E8" s="16">
        <v>267.5</v>
      </c>
      <c r="F8" s="18">
        <v>45870</v>
      </c>
      <c r="G8" s="16">
        <v>244.5</v>
      </c>
      <c r="H8" s="16">
        <f ca="1">IFERROR(__xludf.DUMMYFUNCTION("IFERROR(GOOGLEFINANCE(""NSE:""&amp;B8,""price""),"""")"),271.3)</f>
        <v>271.3</v>
      </c>
      <c r="I8" s="15">
        <v>45</v>
      </c>
      <c r="J8" s="16">
        <f t="shared" si="0"/>
        <v>12037.5</v>
      </c>
      <c r="K8" s="16">
        <f t="shared" si="1"/>
        <v>23040</v>
      </c>
      <c r="L8" s="16">
        <f t="shared" si="2"/>
        <v>0</v>
      </c>
      <c r="M8" s="19">
        <f t="shared" si="3"/>
        <v>0</v>
      </c>
      <c r="N8" s="16">
        <f ca="1">IFERROR(__xludf.DUMMYFUNCTION("IFERROR(IF(G8&gt;0,0,GOOGLEFINANCE(""NSE:""&amp;B8,""change"")),0)"),0)</f>
        <v>0</v>
      </c>
      <c r="O8" s="16">
        <f t="shared" ca="1" si="4"/>
        <v>0</v>
      </c>
      <c r="P8" s="16">
        <f t="shared" si="5"/>
        <v>-1035</v>
      </c>
      <c r="Q8" s="19">
        <f t="shared" si="6"/>
        <v>-8.5981308411214957E-2</v>
      </c>
      <c r="R8" s="16" t="e">
        <f t="shared" si="19"/>
        <v>#REF!</v>
      </c>
      <c r="S8" s="16" t="e">
        <f t="shared" si="20"/>
        <v>#REF!</v>
      </c>
      <c r="T8" s="16" t="e">
        <f t="shared" si="9"/>
        <v>#REF!</v>
      </c>
      <c r="U8" s="16" t="e">
        <f t="shared" si="21"/>
        <v>#REF!</v>
      </c>
      <c r="V8" s="16" t="e">
        <f t="shared" si="11"/>
        <v>#REF!</v>
      </c>
      <c r="W8" s="16" t="e">
        <f t="shared" si="22"/>
        <v>#REF!</v>
      </c>
      <c r="X8" s="16" t="e">
        <f t="shared" si="13"/>
        <v>#REF!</v>
      </c>
      <c r="Y8" s="16" t="e">
        <f t="shared" si="23"/>
        <v>#REF!</v>
      </c>
      <c r="Z8" s="19" t="e">
        <f t="shared" si="24"/>
        <v>#REF!</v>
      </c>
      <c r="AA8" s="21" t="e">
        <f t="shared" si="16"/>
        <v>#REF!</v>
      </c>
      <c r="AB8" s="27" t="s">
        <v>106</v>
      </c>
      <c r="AC8" s="6" t="s">
        <v>102</v>
      </c>
      <c r="AD8" s="132">
        <v>45827</v>
      </c>
      <c r="AE8" s="127">
        <v>-870</v>
      </c>
      <c r="AG8" s="143"/>
      <c r="AH8" s="138" t="s">
        <v>36</v>
      </c>
      <c r="AI8" s="120">
        <v>567</v>
      </c>
      <c r="AJ8" s="121">
        <v>0</v>
      </c>
      <c r="AL8" s="138" t="s">
        <v>28</v>
      </c>
      <c r="AM8" s="120">
        <v>-742.90000000000043</v>
      </c>
      <c r="AN8" s="139">
        <v>0</v>
      </c>
      <c r="AO8" s="121">
        <v>0</v>
      </c>
    </row>
    <row r="9" spans="1:41" ht="22.5" customHeight="1">
      <c r="A9" s="15">
        <v>8</v>
      </c>
      <c r="B9" s="16" t="s">
        <v>16</v>
      </c>
      <c r="C9" s="15" t="s">
        <v>104</v>
      </c>
      <c r="D9" s="18">
        <v>45835</v>
      </c>
      <c r="E9" s="16">
        <v>359</v>
      </c>
      <c r="F9" s="18">
        <v>45849</v>
      </c>
      <c r="G9" s="16">
        <v>335.6</v>
      </c>
      <c r="H9" s="16">
        <f ca="1">IFERROR(__xludf.DUMMYFUNCTION("IFERROR(GOOGLEFINANCE(""NSE:""&amp;B9,""price""),"""")"),259.1)</f>
        <v>259.10000000000002</v>
      </c>
      <c r="I9" s="15">
        <v>33</v>
      </c>
      <c r="J9" s="16">
        <f t="shared" si="0"/>
        <v>11847</v>
      </c>
      <c r="K9" s="16">
        <f t="shared" si="1"/>
        <v>22921.8</v>
      </c>
      <c r="L9" s="16">
        <f t="shared" si="2"/>
        <v>0</v>
      </c>
      <c r="M9" s="19">
        <f t="shared" si="3"/>
        <v>0</v>
      </c>
      <c r="N9" s="16">
        <f ca="1">IFERROR(__xludf.DUMMYFUNCTION("IFERROR(IF(G9&gt;0,0,GOOGLEFINANCE(""NSE:""&amp;B9,""change"")),0)"),0)</f>
        <v>0</v>
      </c>
      <c r="O9" s="16">
        <f t="shared" ca="1" si="4"/>
        <v>0</v>
      </c>
      <c r="P9" s="16">
        <f t="shared" si="5"/>
        <v>-772.19999999999925</v>
      </c>
      <c r="Q9" s="19">
        <f t="shared" si="6"/>
        <v>-6.5181058495821662E-2</v>
      </c>
      <c r="R9" s="16" t="e">
        <f t="shared" si="19"/>
        <v>#REF!</v>
      </c>
      <c r="S9" s="16" t="e">
        <f t="shared" si="20"/>
        <v>#REF!</v>
      </c>
      <c r="T9" s="16" t="e">
        <f t="shared" si="9"/>
        <v>#REF!</v>
      </c>
      <c r="U9" s="16" t="e">
        <f t="shared" si="21"/>
        <v>#REF!</v>
      </c>
      <c r="V9" s="16" t="e">
        <f t="shared" si="11"/>
        <v>#REF!</v>
      </c>
      <c r="W9" s="16" t="e">
        <f t="shared" si="22"/>
        <v>#REF!</v>
      </c>
      <c r="X9" s="16" t="e">
        <f t="shared" si="13"/>
        <v>#REF!</v>
      </c>
      <c r="Y9" s="16" t="e">
        <f t="shared" si="23"/>
        <v>#REF!</v>
      </c>
      <c r="Z9" s="19" t="e">
        <f t="shared" si="24"/>
        <v>#REF!</v>
      </c>
      <c r="AA9" s="21" t="e">
        <f t="shared" si="16"/>
        <v>#REF!</v>
      </c>
      <c r="AB9" s="27" t="s">
        <v>106</v>
      </c>
      <c r="AC9" s="6" t="s">
        <v>102</v>
      </c>
      <c r="AD9" s="133">
        <v>45839</v>
      </c>
      <c r="AE9" s="129">
        <v>35.999999999999091</v>
      </c>
      <c r="AG9" s="143"/>
      <c r="AH9" s="138" t="s">
        <v>42</v>
      </c>
      <c r="AI9" s="120">
        <v>354</v>
      </c>
      <c r="AJ9" s="121">
        <v>0</v>
      </c>
      <c r="AL9" s="138" t="s">
        <v>32</v>
      </c>
      <c r="AM9" s="120">
        <v>0</v>
      </c>
      <c r="AN9" s="139">
        <v>-1859.9999999999995</v>
      </c>
      <c r="AO9" s="121">
        <v>166.5</v>
      </c>
    </row>
    <row r="10" spans="1:41" ht="22.5" customHeight="1">
      <c r="A10" s="15">
        <v>9</v>
      </c>
      <c r="B10" s="16" t="s">
        <v>40</v>
      </c>
      <c r="C10" s="15" t="s">
        <v>104</v>
      </c>
      <c r="D10" s="18">
        <v>45854</v>
      </c>
      <c r="E10" s="16">
        <v>218.1</v>
      </c>
      <c r="F10" s="18">
        <v>45870</v>
      </c>
      <c r="G10" s="16">
        <v>190</v>
      </c>
      <c r="H10" s="16">
        <f ca="1">IFERROR(__xludf.DUMMYFUNCTION("IFERROR(GOOGLEFINANCE(""NSE:""&amp;B10,""price""),"""")"),177.85)</f>
        <v>177.85</v>
      </c>
      <c r="I10" s="15">
        <v>40</v>
      </c>
      <c r="J10" s="16">
        <f t="shared" si="0"/>
        <v>8724</v>
      </c>
      <c r="K10" s="16">
        <f t="shared" si="1"/>
        <v>16324</v>
      </c>
      <c r="L10" s="16">
        <f t="shared" si="2"/>
        <v>0</v>
      </c>
      <c r="M10" s="19">
        <f t="shared" si="3"/>
        <v>0</v>
      </c>
      <c r="N10" s="16">
        <f ca="1">IFERROR(__xludf.DUMMYFUNCTION("IFERROR(IF(G10&gt;0,0,GOOGLEFINANCE(""NSE:""&amp;B10,""change"")),0)"),0)</f>
        <v>0</v>
      </c>
      <c r="O10" s="16">
        <f t="shared" ca="1" si="4"/>
        <v>0</v>
      </c>
      <c r="P10" s="16">
        <f t="shared" si="5"/>
        <v>-1123.9999999999998</v>
      </c>
      <c r="Q10" s="19">
        <f t="shared" si="6"/>
        <v>-0.12883998165978908</v>
      </c>
      <c r="R10" s="16"/>
      <c r="S10" s="16"/>
      <c r="T10" s="16"/>
      <c r="U10" s="16"/>
      <c r="V10" s="16"/>
      <c r="W10" s="16"/>
      <c r="X10" s="16"/>
      <c r="Y10" s="16"/>
      <c r="Z10" s="19"/>
      <c r="AA10" s="16"/>
      <c r="AB10" s="27" t="s">
        <v>107</v>
      </c>
      <c r="AC10" s="6" t="s">
        <v>102</v>
      </c>
      <c r="AD10" s="133">
        <v>45849</v>
      </c>
      <c r="AE10" s="129">
        <v>-772.19999999999925</v>
      </c>
      <c r="AG10" s="113" t="s">
        <v>104</v>
      </c>
      <c r="AH10" s="136" t="s">
        <v>16</v>
      </c>
      <c r="AI10" s="117">
        <v>0</v>
      </c>
      <c r="AJ10" s="118">
        <v>-772.19999999999925</v>
      </c>
      <c r="AL10" s="138" t="s">
        <v>36</v>
      </c>
      <c r="AM10" s="120">
        <v>0</v>
      </c>
      <c r="AN10" s="139">
        <v>567</v>
      </c>
      <c r="AO10" s="121">
        <v>-4.5</v>
      </c>
    </row>
    <row r="11" spans="1:41" ht="22.5" customHeight="1">
      <c r="A11" s="15">
        <v>10</v>
      </c>
      <c r="B11" s="28" t="s">
        <v>37</v>
      </c>
      <c r="C11" s="15" t="s">
        <v>104</v>
      </c>
      <c r="D11" s="18">
        <v>45856</v>
      </c>
      <c r="E11" s="16">
        <v>537.9</v>
      </c>
      <c r="F11" s="29">
        <v>45986</v>
      </c>
      <c r="G11" s="16">
        <v>477.04</v>
      </c>
      <c r="H11" s="16">
        <f ca="1">IFERROR(__xludf.DUMMYFUNCTION("IFERROR(GOOGLEFINANCE(""NSE:""&amp;B11,""price""),"""")"),484.5)</f>
        <v>484.5</v>
      </c>
      <c r="I11" s="15">
        <v>25</v>
      </c>
      <c r="J11" s="16">
        <f t="shared" si="0"/>
        <v>13447.5</v>
      </c>
      <c r="K11" s="16">
        <f t="shared" si="1"/>
        <v>25373.5</v>
      </c>
      <c r="L11" s="16">
        <f t="shared" si="2"/>
        <v>0</v>
      </c>
      <c r="M11" s="19">
        <f t="shared" si="3"/>
        <v>0</v>
      </c>
      <c r="N11" s="16">
        <f ca="1">IFERROR(__xludf.DUMMYFUNCTION("IFERROR(IF(G11&gt;0,0,GOOGLEFINANCE(""NSE:""&amp;B11,""change"")),0)"),0)</f>
        <v>0</v>
      </c>
      <c r="O11" s="16">
        <f t="shared" ca="1" si="4"/>
        <v>0</v>
      </c>
      <c r="P11" s="16">
        <f t="shared" si="5"/>
        <v>-1521.4999999999989</v>
      </c>
      <c r="Q11" s="19">
        <f t="shared" si="6"/>
        <v>-0.1131437070087376</v>
      </c>
      <c r="R11" s="16"/>
      <c r="S11" s="16"/>
      <c r="T11" s="16"/>
      <c r="U11" s="16"/>
      <c r="V11" s="16"/>
      <c r="W11" s="16"/>
      <c r="X11" s="16"/>
      <c r="Y11" s="16"/>
      <c r="Z11" s="19"/>
      <c r="AA11" s="16"/>
      <c r="AC11" s="6" t="s">
        <v>102</v>
      </c>
      <c r="AD11" s="133">
        <v>45870</v>
      </c>
      <c r="AE11" s="129">
        <v>-2159</v>
      </c>
      <c r="AG11" s="143"/>
      <c r="AH11" s="138" t="s">
        <v>20</v>
      </c>
      <c r="AI11" s="120">
        <v>0</v>
      </c>
      <c r="AJ11" s="121">
        <v>35.999999999999091</v>
      </c>
      <c r="AL11" s="138" t="s">
        <v>37</v>
      </c>
      <c r="AM11" s="120">
        <v>-1521.4999999999989</v>
      </c>
      <c r="AN11" s="139">
        <v>0</v>
      </c>
      <c r="AO11" s="121">
        <v>0</v>
      </c>
    </row>
    <row r="12" spans="1:41" ht="22.5" customHeight="1">
      <c r="A12" s="15">
        <v>11</v>
      </c>
      <c r="B12" s="28" t="s">
        <v>49</v>
      </c>
      <c r="C12" s="15" t="s">
        <v>104</v>
      </c>
      <c r="D12" s="18">
        <v>45887</v>
      </c>
      <c r="E12" s="16">
        <v>1402</v>
      </c>
      <c r="F12" s="18"/>
      <c r="G12" s="16">
        <v>0</v>
      </c>
      <c r="H12" s="16">
        <f ca="1">IFERROR(__xludf.DUMMYFUNCTION("IFERROR(GOOGLEFINANCE(""NSE:""&amp;B12,""price""),"""")"),1380)</f>
        <v>1380</v>
      </c>
      <c r="I12" s="15">
        <v>5</v>
      </c>
      <c r="J12" s="16">
        <f t="shared" si="0"/>
        <v>7010</v>
      </c>
      <c r="K12" s="16">
        <f t="shared" si="1"/>
        <v>7010</v>
      </c>
      <c r="L12" s="16">
        <f t="shared" ca="1" si="2"/>
        <v>-110</v>
      </c>
      <c r="M12" s="19">
        <f t="shared" ca="1" si="3"/>
        <v>-1.5691868758915834E-2</v>
      </c>
      <c r="N12" s="16">
        <f ca="1">IFERROR(__xludf.DUMMYFUNCTION("IFERROR(IF(G12&gt;0,0,GOOGLEFINANCE(""NSE:""&amp;B12,""change"")),0)"),-8)</f>
        <v>-8</v>
      </c>
      <c r="O12" s="16">
        <f t="shared" ca="1" si="4"/>
        <v>-40</v>
      </c>
      <c r="P12" s="16">
        <f t="shared" si="5"/>
        <v>0</v>
      </c>
      <c r="Q12" s="19">
        <f t="shared" si="6"/>
        <v>0</v>
      </c>
      <c r="R12" s="16"/>
      <c r="S12" s="16"/>
      <c r="T12" s="16"/>
      <c r="U12" s="16"/>
      <c r="V12" s="16"/>
      <c r="W12" s="16"/>
      <c r="X12" s="16"/>
      <c r="Y12" s="16"/>
      <c r="Z12" s="19"/>
      <c r="AA12" s="16"/>
      <c r="AB12" s="27" t="s">
        <v>108</v>
      </c>
      <c r="AD12" s="133">
        <v>45897</v>
      </c>
      <c r="AE12" s="129">
        <v>-742.90000000000043</v>
      </c>
      <c r="AG12" s="143"/>
      <c r="AH12" s="138" t="s">
        <v>28</v>
      </c>
      <c r="AI12" s="120">
        <v>0</v>
      </c>
      <c r="AJ12" s="121">
        <v>-742.90000000000043</v>
      </c>
      <c r="AL12" s="138" t="s">
        <v>40</v>
      </c>
      <c r="AM12" s="120">
        <v>-1123.9999999999998</v>
      </c>
      <c r="AN12" s="139">
        <v>0</v>
      </c>
      <c r="AO12" s="121">
        <v>0</v>
      </c>
    </row>
    <row r="13" spans="1:41" ht="22.5" customHeight="1">
      <c r="A13" s="15">
        <v>12</v>
      </c>
      <c r="B13" s="30" t="s">
        <v>28</v>
      </c>
      <c r="C13" s="17" t="s">
        <v>104</v>
      </c>
      <c r="D13" s="18">
        <v>45888</v>
      </c>
      <c r="E13" s="16">
        <v>589.1</v>
      </c>
      <c r="F13" s="18">
        <v>45897</v>
      </c>
      <c r="G13" s="16">
        <v>550</v>
      </c>
      <c r="H13" s="16">
        <f ca="1">IFERROR(__xludf.DUMMYFUNCTION("IFERROR(GOOGLEFINANCE(""NSE:""&amp;B13,""price""),"""")"),532)</f>
        <v>532</v>
      </c>
      <c r="I13" s="15">
        <v>19</v>
      </c>
      <c r="J13" s="16">
        <f t="shared" si="0"/>
        <v>11192.9</v>
      </c>
      <c r="K13" s="16">
        <f t="shared" si="1"/>
        <v>21642.899999999998</v>
      </c>
      <c r="L13" s="16">
        <f t="shared" si="2"/>
        <v>0</v>
      </c>
      <c r="M13" s="19">
        <f t="shared" si="3"/>
        <v>0</v>
      </c>
      <c r="N13" s="16">
        <f ca="1">IFERROR(__xludf.DUMMYFUNCTION("IFERROR(IF(G13&gt;0,0,GOOGLEFINANCE(""NSE:""&amp;B13,""change"")),0)"),0)</f>
        <v>0</v>
      </c>
      <c r="O13" s="16">
        <f t="shared" ca="1" si="4"/>
        <v>0</v>
      </c>
      <c r="P13" s="16">
        <f t="shared" si="5"/>
        <v>-742.90000000000043</v>
      </c>
      <c r="Q13" s="19">
        <f t="shared" si="6"/>
        <v>-6.6372432524189479E-2</v>
      </c>
      <c r="R13" s="16"/>
      <c r="S13" s="16"/>
      <c r="T13" s="16"/>
      <c r="U13" s="16"/>
      <c r="V13" s="16"/>
      <c r="W13" s="16"/>
      <c r="X13" s="16"/>
      <c r="Y13" s="16"/>
      <c r="Z13" s="19"/>
      <c r="AA13" s="16"/>
      <c r="AC13" s="6" t="s">
        <v>102</v>
      </c>
      <c r="AD13" s="133">
        <v>45986</v>
      </c>
      <c r="AE13" s="129">
        <v>-1521.4999999999989</v>
      </c>
      <c r="AG13" s="143"/>
      <c r="AH13" s="138" t="s">
        <v>37</v>
      </c>
      <c r="AI13" s="120">
        <v>0</v>
      </c>
      <c r="AJ13" s="121">
        <v>-1521.4999999999989</v>
      </c>
      <c r="AL13" s="138" t="s">
        <v>43</v>
      </c>
      <c r="AM13" s="120">
        <v>0</v>
      </c>
      <c r="AN13" s="139">
        <v>-935</v>
      </c>
      <c r="AO13" s="121">
        <v>203.5</v>
      </c>
    </row>
    <row r="14" spans="1:41" ht="22.5" customHeight="1">
      <c r="A14" s="15">
        <v>13</v>
      </c>
      <c r="B14" s="15" t="s">
        <v>43</v>
      </c>
      <c r="C14" s="17" t="s">
        <v>104</v>
      </c>
      <c r="D14" s="18">
        <v>45938</v>
      </c>
      <c r="E14" s="16">
        <v>920</v>
      </c>
      <c r="F14" s="18"/>
      <c r="G14" s="16"/>
      <c r="H14" s="16">
        <f ca="1">IFERROR(__xludf.DUMMYFUNCTION("IFERROR(GOOGLEFINANCE(""NSE:""&amp;B14,""price""),"""")"),835)</f>
        <v>835</v>
      </c>
      <c r="I14" s="15">
        <v>11</v>
      </c>
      <c r="J14" s="16">
        <f t="shared" si="0"/>
        <v>10120</v>
      </c>
      <c r="K14" s="16">
        <f t="shared" si="1"/>
        <v>10120</v>
      </c>
      <c r="L14" s="16">
        <f t="shared" ca="1" si="2"/>
        <v>-935</v>
      </c>
      <c r="M14" s="19">
        <f t="shared" ca="1" si="3"/>
        <v>-9.2391304347826081E-2</v>
      </c>
      <c r="N14" s="16">
        <f ca="1">IFERROR(__xludf.DUMMYFUNCTION("IFERROR(IF(G14&gt;0,0,GOOGLEFINANCE(""NSE:""&amp;B14,""change"")),0)"),18.5)</f>
        <v>18.5</v>
      </c>
      <c r="O14" s="16">
        <f t="shared" ca="1" si="4"/>
        <v>203.5</v>
      </c>
      <c r="P14" s="16">
        <f t="shared" si="5"/>
        <v>0</v>
      </c>
      <c r="Q14" s="19">
        <f t="shared" si="6"/>
        <v>0</v>
      </c>
      <c r="R14" s="16"/>
      <c r="S14" s="16"/>
      <c r="T14" s="16"/>
      <c r="U14" s="16"/>
      <c r="V14" s="16"/>
      <c r="W14" s="16"/>
      <c r="X14" s="16"/>
      <c r="Y14" s="16"/>
      <c r="Z14" s="19"/>
      <c r="AA14" s="16"/>
      <c r="AD14" s="119" t="s">
        <v>276</v>
      </c>
      <c r="AE14" s="129">
        <v>0</v>
      </c>
      <c r="AG14" s="143"/>
      <c r="AH14" s="138" t="s">
        <v>40</v>
      </c>
      <c r="AI14" s="120">
        <v>0</v>
      </c>
      <c r="AJ14" s="121">
        <v>-1123.9999999999998</v>
      </c>
      <c r="AL14" s="138" t="s">
        <v>42</v>
      </c>
      <c r="AM14" s="120">
        <v>0</v>
      </c>
      <c r="AN14" s="139">
        <v>354</v>
      </c>
      <c r="AO14" s="121">
        <v>82.800000000000011</v>
      </c>
    </row>
    <row r="15" spans="1:41" ht="22.5" customHeight="1">
      <c r="A15" s="15">
        <v>14</v>
      </c>
      <c r="B15" s="28"/>
      <c r="C15" s="15"/>
      <c r="D15" s="18"/>
      <c r="E15" s="16"/>
      <c r="F15" s="18"/>
      <c r="G15" s="16"/>
      <c r="H15" s="16" t="str">
        <f ca="1">IFERROR(__xludf.DUMMYFUNCTION("IFERROR(GOOGLEFINANCE(""NSE:""&amp;B15,""price""),"""")"),"")</f>
        <v/>
      </c>
      <c r="I15" s="15"/>
      <c r="J15" s="16">
        <f t="shared" si="0"/>
        <v>0</v>
      </c>
      <c r="K15" s="16">
        <f t="shared" si="1"/>
        <v>0</v>
      </c>
      <c r="L15" s="16" t="e">
        <f t="shared" ca="1" si="2"/>
        <v>#VALUE!</v>
      </c>
      <c r="M15" s="19">
        <f t="shared" ca="1" si="3"/>
        <v>0</v>
      </c>
      <c r="N15" s="16">
        <f ca="1">IFERROR(__xludf.DUMMYFUNCTION("IFERROR(IF(G15&gt;0,0,GOOGLEFINANCE(""NSE:""&amp;B15,""change"")),0)"),0)</f>
        <v>0</v>
      </c>
      <c r="O15" s="16">
        <f t="shared" ca="1" si="4"/>
        <v>0</v>
      </c>
      <c r="P15" s="16">
        <f t="shared" si="5"/>
        <v>0</v>
      </c>
      <c r="Q15" s="19">
        <f t="shared" si="6"/>
        <v>0</v>
      </c>
      <c r="R15" s="16"/>
      <c r="S15" s="16"/>
      <c r="T15" s="16"/>
      <c r="U15" s="16"/>
      <c r="V15" s="16"/>
      <c r="W15" s="16"/>
      <c r="X15" s="16"/>
      <c r="Y15" s="16"/>
      <c r="Z15" s="19"/>
      <c r="AA15" s="16"/>
      <c r="AD15" s="122" t="s">
        <v>48</v>
      </c>
      <c r="AE15" s="131">
        <v>-6029.5999999999995</v>
      </c>
      <c r="AG15" s="143"/>
      <c r="AH15" s="138" t="s">
        <v>43</v>
      </c>
      <c r="AI15" s="120">
        <v>-935</v>
      </c>
      <c r="AJ15" s="121">
        <v>0</v>
      </c>
      <c r="AL15" s="138" t="s">
        <v>49</v>
      </c>
      <c r="AM15" s="120">
        <v>0</v>
      </c>
      <c r="AN15" s="139">
        <v>-110</v>
      </c>
      <c r="AO15" s="121">
        <v>-40</v>
      </c>
    </row>
    <row r="16" spans="1:41" ht="22.5" customHeight="1">
      <c r="A16" s="15">
        <v>15</v>
      </c>
      <c r="B16" s="31"/>
      <c r="C16" s="17"/>
      <c r="D16" s="18"/>
      <c r="E16" s="16"/>
      <c r="F16" s="18"/>
      <c r="G16" s="16"/>
      <c r="H16" s="16" t="str">
        <f ca="1">IFERROR(__xludf.DUMMYFUNCTION("IFERROR(GOOGLEFINANCE(""NSE:""&amp;B16,""price""),"""")"),"")</f>
        <v/>
      </c>
      <c r="I16" s="15"/>
      <c r="J16" s="16">
        <f t="shared" si="0"/>
        <v>0</v>
      </c>
      <c r="K16" s="16">
        <f t="shared" si="1"/>
        <v>0</v>
      </c>
      <c r="L16" s="16" t="e">
        <f t="shared" ca="1" si="2"/>
        <v>#VALUE!</v>
      </c>
      <c r="M16" s="19">
        <f t="shared" ca="1" si="3"/>
        <v>0</v>
      </c>
      <c r="N16" s="16">
        <f ca="1">IFERROR(__xludf.DUMMYFUNCTION("IFERROR(IF(G16&gt;0,0,GOOGLEFINANCE(""NSE:""&amp;B16,""change"")),0)"),0)</f>
        <v>0</v>
      </c>
      <c r="O16" s="16">
        <f t="shared" ca="1" si="4"/>
        <v>0</v>
      </c>
      <c r="P16" s="16">
        <f t="shared" si="5"/>
        <v>0</v>
      </c>
      <c r="Q16" s="19">
        <f t="shared" si="6"/>
        <v>0</v>
      </c>
      <c r="R16" s="16"/>
      <c r="S16" s="16"/>
      <c r="T16" s="16"/>
      <c r="U16" s="16"/>
      <c r="V16" s="16"/>
      <c r="W16" s="16"/>
      <c r="X16" s="16"/>
      <c r="Y16" s="16"/>
      <c r="Z16" s="19"/>
      <c r="AA16" s="16"/>
      <c r="AG16" s="143"/>
      <c r="AH16" s="138" t="s">
        <v>49</v>
      </c>
      <c r="AI16" s="120">
        <v>-110</v>
      </c>
      <c r="AJ16" s="121">
        <v>0</v>
      </c>
      <c r="AL16" s="138" t="s">
        <v>51</v>
      </c>
      <c r="AM16" s="120">
        <v>-1035</v>
      </c>
      <c r="AN16" s="139">
        <v>0</v>
      </c>
      <c r="AO16" s="121">
        <v>0</v>
      </c>
    </row>
    <row r="17" spans="1:41" ht="22.5" customHeight="1">
      <c r="A17" s="15">
        <v>16</v>
      </c>
      <c r="B17" s="31"/>
      <c r="C17" s="17"/>
      <c r="D17" s="18"/>
      <c r="E17" s="16"/>
      <c r="F17" s="18"/>
      <c r="G17" s="16"/>
      <c r="H17" s="16" t="str">
        <f ca="1">IFERROR(__xludf.DUMMYFUNCTION("IFERROR(GOOGLEFINANCE(""NSE:""&amp;B17,""price""),"""")"),"")</f>
        <v/>
      </c>
      <c r="I17" s="15"/>
      <c r="J17" s="16">
        <f t="shared" si="0"/>
        <v>0</v>
      </c>
      <c r="K17" s="16">
        <f t="shared" si="1"/>
        <v>0</v>
      </c>
      <c r="L17" s="16" t="e">
        <f t="shared" ca="1" si="2"/>
        <v>#VALUE!</v>
      </c>
      <c r="M17" s="19">
        <f t="shared" ca="1" si="3"/>
        <v>0</v>
      </c>
      <c r="N17" s="16">
        <f ca="1">IFERROR(__xludf.DUMMYFUNCTION("IFERROR(IF(G17&gt;0,0,GOOGLEFINANCE(""NSE:""&amp;B17,""change"")),0)"),0)</f>
        <v>0</v>
      </c>
      <c r="O17" s="16">
        <f t="shared" ca="1" si="4"/>
        <v>0</v>
      </c>
      <c r="P17" s="16">
        <f t="shared" si="5"/>
        <v>0</v>
      </c>
      <c r="Q17" s="19">
        <f t="shared" si="6"/>
        <v>0</v>
      </c>
      <c r="R17" s="16"/>
      <c r="S17" s="16"/>
      <c r="T17" s="16"/>
      <c r="U17" s="16"/>
      <c r="V17" s="16"/>
      <c r="W17" s="16"/>
      <c r="X17" s="16"/>
      <c r="Y17" s="16"/>
      <c r="Z17" s="19"/>
      <c r="AA17" s="16"/>
      <c r="AG17" s="113" t="s">
        <v>276</v>
      </c>
      <c r="AH17" s="136" t="s">
        <v>276</v>
      </c>
      <c r="AI17" s="117" t="e">
        <v>#VALUE!</v>
      </c>
      <c r="AJ17" s="118">
        <v>0</v>
      </c>
      <c r="AL17" s="138" t="s">
        <v>276</v>
      </c>
      <c r="AM17" s="120">
        <v>0</v>
      </c>
      <c r="AN17" s="139" t="e">
        <v>#VALUE!</v>
      </c>
      <c r="AO17" s="121">
        <v>0</v>
      </c>
    </row>
    <row r="18" spans="1:41" ht="22.5" customHeight="1">
      <c r="A18" s="15">
        <v>17</v>
      </c>
      <c r="B18" s="30"/>
      <c r="C18" s="17"/>
      <c r="D18" s="18"/>
      <c r="E18" s="16"/>
      <c r="F18" s="18"/>
      <c r="G18" s="16"/>
      <c r="H18" s="16" t="str">
        <f ca="1">IFERROR(__xludf.DUMMYFUNCTION("IFERROR(GOOGLEFINANCE(""NSE:""&amp;B18,""price""),"""")"),"")</f>
        <v/>
      </c>
      <c r="I18" s="15"/>
      <c r="J18" s="16">
        <f t="shared" si="0"/>
        <v>0</v>
      </c>
      <c r="K18" s="16">
        <f t="shared" si="1"/>
        <v>0</v>
      </c>
      <c r="L18" s="16" t="e">
        <f t="shared" ca="1" si="2"/>
        <v>#VALUE!</v>
      </c>
      <c r="M18" s="19">
        <f t="shared" ca="1" si="3"/>
        <v>0</v>
      </c>
      <c r="N18" s="16">
        <f ca="1">IFERROR(__xludf.DUMMYFUNCTION("IFERROR(IF(G18&gt;0,0,GOOGLEFINANCE(""NSE:""&amp;B18,""change"")),0)"),0)</f>
        <v>0</v>
      </c>
      <c r="O18" s="16">
        <f t="shared" ca="1" si="4"/>
        <v>0</v>
      </c>
      <c r="P18" s="16">
        <f t="shared" si="5"/>
        <v>0</v>
      </c>
      <c r="Q18" s="19">
        <f t="shared" si="6"/>
        <v>0</v>
      </c>
      <c r="R18" s="16"/>
      <c r="S18" s="16"/>
      <c r="T18" s="16"/>
      <c r="U18" s="16"/>
      <c r="V18" s="16"/>
      <c r="W18" s="16"/>
      <c r="X18" s="16"/>
      <c r="Y18" s="16"/>
      <c r="Z18" s="19"/>
      <c r="AA18" s="16"/>
      <c r="AG18" s="122" t="s">
        <v>48</v>
      </c>
      <c r="AH18" s="142"/>
      <c r="AI18" s="123" t="e">
        <v>#VALUE!</v>
      </c>
      <c r="AJ18" s="124">
        <v>-6029.5999999999995</v>
      </c>
      <c r="AL18" s="140" t="s">
        <v>48</v>
      </c>
      <c r="AM18" s="123">
        <v>-6029.5999999999995</v>
      </c>
      <c r="AN18" s="141" t="e">
        <v>#VALUE!</v>
      </c>
      <c r="AO18" s="124">
        <v>293.10000000000002</v>
      </c>
    </row>
    <row r="19" spans="1:41" ht="22.5" customHeight="1">
      <c r="A19" s="15">
        <v>18</v>
      </c>
      <c r="B19" s="31"/>
      <c r="C19" s="17"/>
      <c r="D19" s="18"/>
      <c r="E19" s="16"/>
      <c r="F19" s="18"/>
      <c r="G19" s="16"/>
      <c r="H19" s="16" t="str">
        <f ca="1">IFERROR(__xludf.DUMMYFUNCTION("IFERROR(GOOGLEFINANCE(""NSE:""&amp;B19,""price""),"""")"),"")</f>
        <v/>
      </c>
      <c r="I19" s="15"/>
      <c r="J19" s="16">
        <f t="shared" si="0"/>
        <v>0</v>
      </c>
      <c r="K19" s="16">
        <f t="shared" si="1"/>
        <v>0</v>
      </c>
      <c r="L19" s="16" t="e">
        <f t="shared" ca="1" si="2"/>
        <v>#VALUE!</v>
      </c>
      <c r="M19" s="19">
        <f t="shared" ca="1" si="3"/>
        <v>0</v>
      </c>
      <c r="N19" s="16">
        <f ca="1">IFERROR(__xludf.DUMMYFUNCTION("IFERROR(IF(G19&gt;0,0,GOOGLEFINANCE(""NSE:""&amp;B19,""change"")),0)"),0)</f>
        <v>0</v>
      </c>
      <c r="O19" s="16">
        <f t="shared" ca="1" si="4"/>
        <v>0</v>
      </c>
      <c r="P19" s="16">
        <f t="shared" si="5"/>
        <v>0</v>
      </c>
      <c r="Q19" s="19">
        <f t="shared" si="6"/>
        <v>0</v>
      </c>
      <c r="R19" s="16"/>
      <c r="S19" s="16"/>
      <c r="T19" s="16"/>
      <c r="U19" s="16"/>
      <c r="V19" s="16"/>
      <c r="W19" s="16"/>
      <c r="X19" s="16"/>
      <c r="Y19" s="16"/>
      <c r="Z19" s="19"/>
      <c r="AA19" s="16"/>
    </row>
    <row r="20" spans="1:41" ht="22.5" customHeight="1">
      <c r="A20" s="15">
        <v>19</v>
      </c>
      <c r="B20" s="16"/>
      <c r="C20" s="17"/>
      <c r="D20" s="18"/>
      <c r="E20" s="16"/>
      <c r="F20" s="18"/>
      <c r="G20" s="16"/>
      <c r="H20" s="16" t="str">
        <f ca="1">IFERROR(__xludf.DUMMYFUNCTION("IFERROR(GOOGLEFINANCE(""NSE:""&amp;B20,""price""),"""")"),"")</f>
        <v/>
      </c>
      <c r="I20" s="15"/>
      <c r="J20" s="16">
        <f t="shared" si="0"/>
        <v>0</v>
      </c>
      <c r="K20" s="16">
        <f t="shared" si="1"/>
        <v>0</v>
      </c>
      <c r="L20" s="16" t="e">
        <f t="shared" ca="1" si="2"/>
        <v>#VALUE!</v>
      </c>
      <c r="M20" s="19">
        <f t="shared" ca="1" si="3"/>
        <v>0</v>
      </c>
      <c r="N20" s="16">
        <f ca="1">IFERROR(__xludf.DUMMYFUNCTION("IFERROR(IF(G20&gt;0,0,GOOGLEFINANCE(""NSE:""&amp;B20,""change"")),0)"),0)</f>
        <v>0</v>
      </c>
      <c r="O20" s="16">
        <f t="shared" ca="1" si="4"/>
        <v>0</v>
      </c>
      <c r="P20" s="16">
        <f t="shared" si="5"/>
        <v>0</v>
      </c>
      <c r="Q20" s="19">
        <f t="shared" si="6"/>
        <v>0</v>
      </c>
      <c r="R20" s="16"/>
      <c r="S20" s="16"/>
      <c r="T20" s="16"/>
      <c r="U20" s="16"/>
      <c r="V20" s="16"/>
      <c r="W20" s="16"/>
      <c r="X20" s="16"/>
      <c r="Y20" s="16"/>
      <c r="Z20" s="19"/>
      <c r="AA20" s="16"/>
    </row>
    <row r="21" spans="1:41" ht="22.5" customHeight="1">
      <c r="A21" s="15">
        <v>20</v>
      </c>
      <c r="B21" s="16"/>
      <c r="C21" s="15"/>
      <c r="D21" s="18"/>
      <c r="E21" s="16"/>
      <c r="F21" s="18"/>
      <c r="G21" s="16"/>
      <c r="H21" s="16" t="str">
        <f ca="1">IFERROR(__xludf.DUMMYFUNCTION("IFERROR(GOOGLEFINANCE(""NSE:""&amp;B21,""price""),"""")"),"")</f>
        <v/>
      </c>
      <c r="I21" s="15"/>
      <c r="J21" s="16">
        <f t="shared" si="0"/>
        <v>0</v>
      </c>
      <c r="K21" s="16">
        <f t="shared" si="1"/>
        <v>0</v>
      </c>
      <c r="L21" s="16" t="e">
        <f t="shared" ca="1" si="2"/>
        <v>#VALUE!</v>
      </c>
      <c r="M21" s="19">
        <f t="shared" ca="1" si="3"/>
        <v>0</v>
      </c>
      <c r="N21" s="16">
        <f ca="1">IFERROR(__xludf.DUMMYFUNCTION("IFERROR(IF(G21&gt;0,0,GOOGLEFINANCE(""NSE:""&amp;B21,""change"")),0)"),0)</f>
        <v>0</v>
      </c>
      <c r="O21" s="16">
        <f t="shared" ca="1" si="4"/>
        <v>0</v>
      </c>
      <c r="P21" s="16">
        <f t="shared" si="5"/>
        <v>0</v>
      </c>
      <c r="Q21" s="19">
        <f t="shared" si="6"/>
        <v>0</v>
      </c>
      <c r="R21" s="16"/>
      <c r="S21" s="16"/>
      <c r="T21" s="16"/>
      <c r="U21" s="16"/>
      <c r="V21" s="16"/>
      <c r="W21" s="16"/>
      <c r="X21" s="16"/>
      <c r="Y21" s="16"/>
      <c r="Z21" s="19"/>
      <c r="AA21" s="16"/>
    </row>
    <row r="22" spans="1:41" ht="22.5" customHeight="1">
      <c r="A22" s="15">
        <v>21</v>
      </c>
      <c r="B22" s="16"/>
      <c r="C22" s="17"/>
      <c r="D22" s="18"/>
      <c r="E22" s="16"/>
      <c r="F22" s="18"/>
      <c r="G22" s="16"/>
      <c r="H22" s="16" t="str">
        <f ca="1">IFERROR(__xludf.DUMMYFUNCTION("IFERROR(GOOGLEFINANCE(""NSE:""&amp;B22,""price""),"""")"),"")</f>
        <v/>
      </c>
      <c r="I22" s="15"/>
      <c r="J22" s="16">
        <f t="shared" si="0"/>
        <v>0</v>
      </c>
      <c r="K22" s="16">
        <f t="shared" si="1"/>
        <v>0</v>
      </c>
      <c r="L22" s="16" t="e">
        <f t="shared" ca="1" si="2"/>
        <v>#VALUE!</v>
      </c>
      <c r="M22" s="19">
        <f t="shared" ca="1" si="3"/>
        <v>0</v>
      </c>
      <c r="N22" s="16">
        <f ca="1">IFERROR(__xludf.DUMMYFUNCTION("IFERROR(IF(G22&gt;0,0,GOOGLEFINANCE(""NSE:""&amp;B22,""change"")),0)"),0)</f>
        <v>0</v>
      </c>
      <c r="O22" s="16">
        <f t="shared" ca="1" si="4"/>
        <v>0</v>
      </c>
      <c r="P22" s="16">
        <f t="shared" si="5"/>
        <v>0</v>
      </c>
      <c r="Q22" s="19">
        <f t="shared" si="6"/>
        <v>0</v>
      </c>
      <c r="R22" s="16"/>
      <c r="S22" s="16"/>
      <c r="T22" s="16"/>
      <c r="U22" s="16"/>
      <c r="V22" s="16"/>
      <c r="W22" s="16"/>
      <c r="X22" s="16"/>
      <c r="Y22" s="16"/>
      <c r="Z22" s="19"/>
      <c r="AA22" s="16"/>
    </row>
    <row r="23" spans="1:41" ht="22.5" customHeight="1">
      <c r="A23" s="15">
        <v>22</v>
      </c>
      <c r="B23" s="16"/>
      <c r="C23" s="17"/>
      <c r="D23" s="18"/>
      <c r="E23" s="16"/>
      <c r="F23" s="18"/>
      <c r="G23" s="16"/>
      <c r="H23" s="16" t="str">
        <f ca="1">IFERROR(__xludf.DUMMYFUNCTION("IFERROR(GOOGLEFINANCE(""NSE:""&amp;B23,""price""),"""")"),"")</f>
        <v/>
      </c>
      <c r="I23" s="15"/>
      <c r="J23" s="16">
        <f t="shared" si="0"/>
        <v>0</v>
      </c>
      <c r="K23" s="16">
        <f t="shared" si="1"/>
        <v>0</v>
      </c>
      <c r="L23" s="16" t="e">
        <f t="shared" ca="1" si="2"/>
        <v>#VALUE!</v>
      </c>
      <c r="M23" s="19">
        <f t="shared" ca="1" si="3"/>
        <v>0</v>
      </c>
      <c r="N23" s="16">
        <f ca="1">IFERROR(__xludf.DUMMYFUNCTION("IFERROR(IF(G23&gt;0,0,GOOGLEFINANCE(""NSE:""&amp;B23,""change"")),0)"),0)</f>
        <v>0</v>
      </c>
      <c r="O23" s="16">
        <f t="shared" ca="1" si="4"/>
        <v>0</v>
      </c>
      <c r="P23" s="16">
        <f t="shared" si="5"/>
        <v>0</v>
      </c>
      <c r="Q23" s="19">
        <f t="shared" si="6"/>
        <v>0</v>
      </c>
      <c r="R23" s="16"/>
      <c r="S23" s="16"/>
      <c r="T23" s="16"/>
      <c r="U23" s="16"/>
      <c r="V23" s="16"/>
      <c r="W23" s="16"/>
      <c r="X23" s="16"/>
      <c r="Y23" s="16"/>
      <c r="Z23" s="19"/>
      <c r="AA23" s="16"/>
    </row>
    <row r="24" spans="1:41" ht="22.5" customHeight="1">
      <c r="A24" s="15">
        <v>23</v>
      </c>
      <c r="B24" s="16"/>
      <c r="C24" s="15"/>
      <c r="D24" s="18"/>
      <c r="E24" s="16"/>
      <c r="F24" s="18"/>
      <c r="G24" s="16"/>
      <c r="H24" s="16" t="str">
        <f ca="1">IFERROR(__xludf.DUMMYFUNCTION("IFERROR(GOOGLEFINANCE(""NSE:""&amp;B24,""price""),"""")"),"")</f>
        <v/>
      </c>
      <c r="I24" s="15"/>
      <c r="J24" s="16">
        <f t="shared" si="0"/>
        <v>0</v>
      </c>
      <c r="K24" s="16">
        <f t="shared" si="1"/>
        <v>0</v>
      </c>
      <c r="L24" s="16" t="e">
        <f t="shared" ca="1" si="2"/>
        <v>#VALUE!</v>
      </c>
      <c r="M24" s="19">
        <f t="shared" ca="1" si="3"/>
        <v>0</v>
      </c>
      <c r="N24" s="16">
        <f ca="1">IFERROR(__xludf.DUMMYFUNCTION("IFERROR(IF(G24&gt;0,0,GOOGLEFINANCE(""NSE:""&amp;B24,""change"")),0)"),0)</f>
        <v>0</v>
      </c>
      <c r="O24" s="16">
        <f t="shared" ca="1" si="4"/>
        <v>0</v>
      </c>
      <c r="P24" s="16">
        <f t="shared" si="5"/>
        <v>0</v>
      </c>
      <c r="Q24" s="19">
        <f t="shared" si="6"/>
        <v>0</v>
      </c>
      <c r="R24" s="16"/>
      <c r="S24" s="16"/>
      <c r="T24" s="16"/>
      <c r="U24" s="16"/>
      <c r="V24" s="16"/>
      <c r="W24" s="16"/>
      <c r="X24" s="16"/>
      <c r="Y24" s="16"/>
      <c r="Z24" s="19"/>
      <c r="AA24" s="16"/>
    </row>
    <row r="25" spans="1:41" ht="22.5" customHeight="1">
      <c r="A25" s="15">
        <v>24</v>
      </c>
      <c r="B25" s="16"/>
      <c r="C25" s="17"/>
      <c r="D25" s="18"/>
      <c r="E25" s="16"/>
      <c r="F25" s="18"/>
      <c r="G25" s="16"/>
      <c r="H25" s="16" t="str">
        <f ca="1">IFERROR(__xludf.DUMMYFUNCTION("IFERROR(GOOGLEFINANCE(""NSE:""&amp;B25,""price""),"""")"),"")</f>
        <v/>
      </c>
      <c r="I25" s="15"/>
      <c r="J25" s="16">
        <f t="shared" si="0"/>
        <v>0</v>
      </c>
      <c r="K25" s="16">
        <f t="shared" si="1"/>
        <v>0</v>
      </c>
      <c r="L25" s="16" t="e">
        <f t="shared" ca="1" si="2"/>
        <v>#VALUE!</v>
      </c>
      <c r="M25" s="19">
        <f t="shared" ca="1" si="3"/>
        <v>0</v>
      </c>
      <c r="N25" s="16">
        <f ca="1">IFERROR(__xludf.DUMMYFUNCTION("IFERROR(IF(G25&gt;0,0,GOOGLEFINANCE(""NSE:""&amp;B25,""change"")),0)"),0)</f>
        <v>0</v>
      </c>
      <c r="O25" s="16">
        <f t="shared" ca="1" si="4"/>
        <v>0</v>
      </c>
      <c r="P25" s="16">
        <f t="shared" si="5"/>
        <v>0</v>
      </c>
      <c r="Q25" s="19">
        <f t="shared" si="6"/>
        <v>0</v>
      </c>
      <c r="R25" s="16"/>
      <c r="S25" s="16"/>
      <c r="T25" s="16"/>
      <c r="U25" s="16"/>
      <c r="V25" s="16"/>
      <c r="W25" s="16"/>
      <c r="X25" s="16"/>
      <c r="Y25" s="16"/>
      <c r="Z25" s="19"/>
      <c r="AA25" s="16"/>
      <c r="AL25" s="7"/>
    </row>
    <row r="26" spans="1:41" ht="22.5" customHeight="1">
      <c r="A26" s="15">
        <v>25</v>
      </c>
      <c r="B26" s="16"/>
      <c r="C26" s="17"/>
      <c r="D26" s="18"/>
      <c r="E26" s="16"/>
      <c r="F26" s="18"/>
      <c r="G26" s="16"/>
      <c r="H26" s="16" t="str">
        <f ca="1">IFERROR(__xludf.DUMMYFUNCTION("IFERROR(GOOGLEFINANCE(""NSE:""&amp;B26,""price""),"""")"),"")</f>
        <v/>
      </c>
      <c r="I26" s="15"/>
      <c r="J26" s="16">
        <f t="shared" si="0"/>
        <v>0</v>
      </c>
      <c r="K26" s="16">
        <f t="shared" si="1"/>
        <v>0</v>
      </c>
      <c r="L26" s="16" t="e">
        <f t="shared" ca="1" si="2"/>
        <v>#VALUE!</v>
      </c>
      <c r="M26" s="19">
        <f t="shared" ca="1" si="3"/>
        <v>0</v>
      </c>
      <c r="N26" s="16">
        <f ca="1">IFERROR(__xludf.DUMMYFUNCTION("IFERROR(IF(G26&gt;0,0,GOOGLEFINANCE(""NSE:""&amp;B26,""change"")),0)"),0)</f>
        <v>0</v>
      </c>
      <c r="O26" s="16">
        <f t="shared" ca="1" si="4"/>
        <v>0</v>
      </c>
      <c r="P26" s="16">
        <f t="shared" si="5"/>
        <v>0</v>
      </c>
      <c r="Q26" s="19">
        <f t="shared" si="6"/>
        <v>0</v>
      </c>
      <c r="R26" s="16"/>
      <c r="S26" s="16"/>
      <c r="T26" s="16"/>
      <c r="U26" s="16"/>
      <c r="V26" s="16"/>
      <c r="W26" s="16"/>
      <c r="X26" s="16"/>
      <c r="Y26" s="16"/>
      <c r="Z26" s="19"/>
      <c r="AA26" s="16"/>
    </row>
    <row r="27" spans="1:41" ht="22.5" customHeight="1">
      <c r="A27" s="15">
        <v>26</v>
      </c>
      <c r="B27" s="16"/>
      <c r="C27" s="17"/>
      <c r="D27" s="18"/>
      <c r="E27" s="16"/>
      <c r="F27" s="18"/>
      <c r="G27" s="16"/>
      <c r="H27" s="16" t="str">
        <f ca="1">IFERROR(__xludf.DUMMYFUNCTION("IFERROR(GOOGLEFINANCE(""NSE:""&amp;B27,""price""),"""")"),"")</f>
        <v/>
      </c>
      <c r="I27" s="15"/>
      <c r="J27" s="16">
        <f t="shared" si="0"/>
        <v>0</v>
      </c>
      <c r="K27" s="16">
        <f t="shared" si="1"/>
        <v>0</v>
      </c>
      <c r="L27" s="16" t="e">
        <f t="shared" ca="1" si="2"/>
        <v>#VALUE!</v>
      </c>
      <c r="M27" s="19">
        <f t="shared" ca="1" si="3"/>
        <v>0</v>
      </c>
      <c r="N27" s="16">
        <f ca="1">IFERROR(__xludf.DUMMYFUNCTION("IFERROR(IF(G27&gt;0,0,GOOGLEFINANCE(""NSE:""&amp;B27,""change"")),0)"),0)</f>
        <v>0</v>
      </c>
      <c r="O27" s="16">
        <f t="shared" ca="1" si="4"/>
        <v>0</v>
      </c>
      <c r="P27" s="16">
        <f t="shared" si="5"/>
        <v>0</v>
      </c>
      <c r="Q27" s="19">
        <f t="shared" si="6"/>
        <v>0</v>
      </c>
      <c r="R27" s="16"/>
      <c r="S27" s="16"/>
      <c r="T27" s="16"/>
      <c r="U27" s="16"/>
      <c r="V27" s="16"/>
      <c r="W27" s="16"/>
      <c r="X27" s="16"/>
      <c r="Y27" s="16"/>
      <c r="Z27" s="19"/>
      <c r="AA27" s="16"/>
    </row>
    <row r="28" spans="1:41" ht="22.5" customHeight="1">
      <c r="A28" s="15">
        <v>27</v>
      </c>
      <c r="B28" s="16"/>
      <c r="C28" s="17"/>
      <c r="D28" s="18"/>
      <c r="E28" s="16"/>
      <c r="F28" s="18"/>
      <c r="G28" s="16"/>
      <c r="H28" s="16" t="str">
        <f ca="1">IFERROR(__xludf.DUMMYFUNCTION("IFERROR(GOOGLEFINANCE(""NSE:""&amp;B28,""price""),"""")"),"")</f>
        <v/>
      </c>
      <c r="I28" s="15"/>
      <c r="J28" s="16">
        <f t="shared" si="0"/>
        <v>0</v>
      </c>
      <c r="K28" s="16">
        <f t="shared" si="1"/>
        <v>0</v>
      </c>
      <c r="L28" s="16" t="e">
        <f t="shared" ca="1" si="2"/>
        <v>#VALUE!</v>
      </c>
      <c r="M28" s="19">
        <f t="shared" ca="1" si="3"/>
        <v>0</v>
      </c>
      <c r="N28" s="16">
        <f ca="1">IFERROR(__xludf.DUMMYFUNCTION("IFERROR(IF(G28&gt;0,0,GOOGLEFINANCE(""NSE:""&amp;B28,""change"")),0)"),0)</f>
        <v>0</v>
      </c>
      <c r="O28" s="16">
        <f t="shared" ca="1" si="4"/>
        <v>0</v>
      </c>
      <c r="P28" s="16">
        <f t="shared" si="5"/>
        <v>0</v>
      </c>
      <c r="Q28" s="19">
        <f t="shared" si="6"/>
        <v>0</v>
      </c>
      <c r="R28" s="16"/>
      <c r="S28" s="16"/>
      <c r="T28" s="16"/>
      <c r="U28" s="16"/>
      <c r="V28" s="16"/>
      <c r="W28" s="16"/>
      <c r="X28" s="16"/>
      <c r="Y28" s="16"/>
      <c r="Z28" s="19"/>
      <c r="AA28" s="16"/>
    </row>
    <row r="29" spans="1:41" ht="22.5" customHeight="1">
      <c r="A29" s="15">
        <v>28</v>
      </c>
      <c r="B29" s="16"/>
      <c r="C29" s="17"/>
      <c r="D29" s="18"/>
      <c r="E29" s="16"/>
      <c r="F29" s="18"/>
      <c r="G29" s="16"/>
      <c r="H29" s="16" t="str">
        <f ca="1">IFERROR(__xludf.DUMMYFUNCTION("IFERROR(GOOGLEFINANCE(""NSE:""&amp;B29,""price""),"""")"),"")</f>
        <v/>
      </c>
      <c r="I29" s="15"/>
      <c r="J29" s="16">
        <f t="shared" si="0"/>
        <v>0</v>
      </c>
      <c r="K29" s="16">
        <f t="shared" si="1"/>
        <v>0</v>
      </c>
      <c r="L29" s="16" t="e">
        <f t="shared" ca="1" si="2"/>
        <v>#VALUE!</v>
      </c>
      <c r="M29" s="19">
        <f t="shared" ca="1" si="3"/>
        <v>0</v>
      </c>
      <c r="N29" s="16">
        <f ca="1">IFERROR(__xludf.DUMMYFUNCTION("IFERROR(IF(G29&gt;0,0,GOOGLEFINANCE(""NSE:""&amp;B29,""change"")),0)"),0)</f>
        <v>0</v>
      </c>
      <c r="O29" s="16">
        <f t="shared" ca="1" si="4"/>
        <v>0</v>
      </c>
      <c r="P29" s="16">
        <f t="shared" si="5"/>
        <v>0</v>
      </c>
      <c r="Q29" s="19">
        <f t="shared" si="6"/>
        <v>0</v>
      </c>
      <c r="R29" s="16"/>
      <c r="S29" s="16"/>
      <c r="T29" s="16"/>
      <c r="U29" s="16"/>
      <c r="V29" s="16"/>
      <c r="W29" s="16"/>
      <c r="X29" s="16"/>
      <c r="Y29" s="16"/>
      <c r="Z29" s="19"/>
      <c r="AA29" s="16"/>
    </row>
    <row r="30" spans="1:41" ht="22.5" customHeight="1">
      <c r="A30" s="15">
        <v>29</v>
      </c>
      <c r="B30" s="16"/>
      <c r="C30" s="17"/>
      <c r="D30" s="18"/>
      <c r="E30" s="16"/>
      <c r="F30" s="18"/>
      <c r="G30" s="16"/>
      <c r="H30" s="16" t="str">
        <f ca="1">IFERROR(__xludf.DUMMYFUNCTION("IFERROR(GOOGLEFINANCE(""NSE:""&amp;B30,""price""),"""")"),"")</f>
        <v/>
      </c>
      <c r="I30" s="15"/>
      <c r="J30" s="16">
        <f t="shared" si="0"/>
        <v>0</v>
      </c>
      <c r="K30" s="16">
        <f t="shared" si="1"/>
        <v>0</v>
      </c>
      <c r="L30" s="16" t="e">
        <f t="shared" ca="1" si="2"/>
        <v>#VALUE!</v>
      </c>
      <c r="M30" s="19">
        <f t="shared" ca="1" si="3"/>
        <v>0</v>
      </c>
      <c r="N30" s="16">
        <f ca="1">IFERROR(__xludf.DUMMYFUNCTION("IFERROR(IF(G30&gt;0,0,GOOGLEFINANCE(""NSE:""&amp;B30,""change"")),0)"),0)</f>
        <v>0</v>
      </c>
      <c r="O30" s="16">
        <f t="shared" ca="1" si="4"/>
        <v>0</v>
      </c>
      <c r="P30" s="16">
        <f t="shared" si="5"/>
        <v>0</v>
      </c>
      <c r="Q30" s="19">
        <f t="shared" si="6"/>
        <v>0</v>
      </c>
      <c r="R30" s="16"/>
      <c r="S30" s="16"/>
      <c r="T30" s="16"/>
      <c r="U30" s="16"/>
      <c r="V30" s="16"/>
      <c r="W30" s="16"/>
      <c r="X30" s="16"/>
      <c r="Y30" s="16"/>
      <c r="Z30" s="19"/>
      <c r="AA30" s="16"/>
    </row>
    <row r="31" spans="1:41" ht="22.5" customHeight="1">
      <c r="A31" s="15">
        <v>30</v>
      </c>
      <c r="B31" s="16"/>
      <c r="C31" s="17"/>
      <c r="D31" s="18"/>
      <c r="E31" s="16"/>
      <c r="F31" s="18"/>
      <c r="G31" s="16"/>
      <c r="H31" s="16" t="str">
        <f ca="1">IFERROR(__xludf.DUMMYFUNCTION("IFERROR(GOOGLEFINANCE(""NSE:""&amp;B31,""price""),"""")"),"")</f>
        <v/>
      </c>
      <c r="I31" s="15"/>
      <c r="J31" s="16">
        <f t="shared" si="0"/>
        <v>0</v>
      </c>
      <c r="K31" s="16">
        <f t="shared" si="1"/>
        <v>0</v>
      </c>
      <c r="L31" s="16" t="e">
        <f t="shared" ca="1" si="2"/>
        <v>#VALUE!</v>
      </c>
      <c r="M31" s="19">
        <f t="shared" ca="1" si="3"/>
        <v>0</v>
      </c>
      <c r="N31" s="16">
        <f ca="1">IFERROR(__xludf.DUMMYFUNCTION("IFERROR(IF(G31&gt;0,0,GOOGLEFINANCE(""NSE:""&amp;B31,""change"")),0)"),0)</f>
        <v>0</v>
      </c>
      <c r="O31" s="16">
        <f t="shared" ca="1" si="4"/>
        <v>0</v>
      </c>
      <c r="P31" s="16">
        <f t="shared" si="5"/>
        <v>0</v>
      </c>
      <c r="Q31" s="19">
        <f t="shared" si="6"/>
        <v>0</v>
      </c>
      <c r="R31" s="16"/>
      <c r="S31" s="16"/>
      <c r="T31" s="16"/>
      <c r="U31" s="16"/>
      <c r="V31" s="16"/>
      <c r="W31" s="16"/>
      <c r="X31" s="16"/>
      <c r="Y31" s="16"/>
      <c r="Z31" s="19"/>
      <c r="AA31" s="16"/>
    </row>
    <row r="32" spans="1:41" ht="22.5" customHeight="1">
      <c r="A32" s="15">
        <v>31</v>
      </c>
      <c r="B32" s="16"/>
      <c r="C32" s="17"/>
      <c r="D32" s="18"/>
      <c r="E32" s="16"/>
      <c r="F32" s="18"/>
      <c r="G32" s="16"/>
      <c r="H32" s="16" t="str">
        <f ca="1">IFERROR(__xludf.DUMMYFUNCTION("IFERROR(GOOGLEFINANCE(""NSE:""&amp;B32,""price""),"""")"),"")</f>
        <v/>
      </c>
      <c r="I32" s="15"/>
      <c r="J32" s="16">
        <f t="shared" si="0"/>
        <v>0</v>
      </c>
      <c r="K32" s="16">
        <f t="shared" si="1"/>
        <v>0</v>
      </c>
      <c r="L32" s="16" t="e">
        <f t="shared" ca="1" si="2"/>
        <v>#VALUE!</v>
      </c>
      <c r="M32" s="19">
        <f t="shared" ca="1" si="3"/>
        <v>0</v>
      </c>
      <c r="N32" s="16">
        <f ca="1">IFERROR(__xludf.DUMMYFUNCTION("IFERROR(IF(G32&gt;0,0,GOOGLEFINANCE(""NSE:""&amp;B32,""change"")),0)"),0)</f>
        <v>0</v>
      </c>
      <c r="O32" s="16">
        <f t="shared" ca="1" si="4"/>
        <v>0</v>
      </c>
      <c r="P32" s="16">
        <f t="shared" si="5"/>
        <v>0</v>
      </c>
      <c r="Q32" s="19">
        <f t="shared" si="6"/>
        <v>0</v>
      </c>
      <c r="R32" s="16"/>
      <c r="S32" s="16"/>
      <c r="T32" s="16"/>
      <c r="U32" s="16"/>
      <c r="V32" s="16"/>
      <c r="W32" s="16"/>
      <c r="X32" s="16"/>
      <c r="Y32" s="16"/>
      <c r="Z32" s="19"/>
      <c r="AA32" s="16"/>
    </row>
    <row r="33" spans="1:27" ht="22.5" customHeight="1">
      <c r="A33" s="15">
        <v>32</v>
      </c>
      <c r="B33" s="16"/>
      <c r="C33" s="17"/>
      <c r="D33" s="18"/>
      <c r="E33" s="16"/>
      <c r="F33" s="18"/>
      <c r="G33" s="16"/>
      <c r="H33" s="16" t="str">
        <f ca="1">IFERROR(__xludf.DUMMYFUNCTION("IFERROR(GOOGLEFINANCE(""NSE:""&amp;B33,""price""),"""")"),"")</f>
        <v/>
      </c>
      <c r="I33" s="15"/>
      <c r="J33" s="16">
        <f t="shared" si="0"/>
        <v>0</v>
      </c>
      <c r="K33" s="16">
        <f t="shared" si="1"/>
        <v>0</v>
      </c>
      <c r="L33" s="16" t="e">
        <f t="shared" ca="1" si="2"/>
        <v>#VALUE!</v>
      </c>
      <c r="M33" s="19">
        <f t="shared" ca="1" si="3"/>
        <v>0</v>
      </c>
      <c r="N33" s="16">
        <f ca="1">IFERROR(__xludf.DUMMYFUNCTION("IFERROR(IF(G33&gt;0,0,GOOGLEFINANCE(""NSE:""&amp;B33,""change"")),0)"),0)</f>
        <v>0</v>
      </c>
      <c r="O33" s="16">
        <f t="shared" ca="1" si="4"/>
        <v>0</v>
      </c>
      <c r="P33" s="16">
        <f t="shared" si="5"/>
        <v>0</v>
      </c>
      <c r="Q33" s="19">
        <f t="shared" si="6"/>
        <v>0</v>
      </c>
    </row>
    <row r="34" spans="1:27" ht="22.5" customHeight="1">
      <c r="A34" s="15">
        <v>33</v>
      </c>
      <c r="B34" s="16"/>
      <c r="C34" s="17"/>
      <c r="D34" s="18"/>
      <c r="E34" s="16"/>
      <c r="F34" s="18"/>
      <c r="G34" s="16"/>
      <c r="H34" s="16" t="str">
        <f ca="1">IFERROR(__xludf.DUMMYFUNCTION("IFERROR(GOOGLEFINANCE(""NSE:""&amp;B34,""price""),"""")"),"")</f>
        <v/>
      </c>
      <c r="I34" s="15"/>
      <c r="J34" s="16">
        <f t="shared" si="0"/>
        <v>0</v>
      </c>
      <c r="K34" s="16">
        <f t="shared" si="1"/>
        <v>0</v>
      </c>
      <c r="L34" s="16" t="e">
        <f t="shared" ca="1" si="2"/>
        <v>#VALUE!</v>
      </c>
      <c r="M34" s="19">
        <f t="shared" ca="1" si="3"/>
        <v>0</v>
      </c>
      <c r="N34" s="16">
        <f ca="1">IFERROR(__xludf.DUMMYFUNCTION("IFERROR(IF(G34&gt;0,0,GOOGLEFINANCE(""NSE:""&amp;B34,""change"")),0)"),0)</f>
        <v>0</v>
      </c>
      <c r="O34" s="16">
        <f t="shared" ca="1" si="4"/>
        <v>0</v>
      </c>
      <c r="P34" s="16">
        <f t="shared" si="5"/>
        <v>0</v>
      </c>
      <c r="Q34" s="19">
        <f t="shared" si="6"/>
        <v>0</v>
      </c>
      <c r="R34" s="16"/>
      <c r="S34" s="16"/>
      <c r="T34" s="16"/>
      <c r="U34" s="16"/>
      <c r="V34" s="16"/>
      <c r="W34" s="16"/>
      <c r="X34" s="16"/>
      <c r="Y34" s="16"/>
      <c r="Z34" s="19"/>
      <c r="AA34" s="16"/>
    </row>
    <row r="35" spans="1:27" ht="22.5" customHeight="1">
      <c r="A35" s="15">
        <v>34</v>
      </c>
      <c r="B35" s="16"/>
      <c r="C35" s="17"/>
      <c r="D35" s="18"/>
      <c r="E35" s="16"/>
      <c r="F35" s="18"/>
      <c r="G35" s="16"/>
      <c r="H35" s="16" t="str">
        <f ca="1">IFERROR(__xludf.DUMMYFUNCTION("IFERROR(GOOGLEFINANCE(""NSE:""&amp;B35,""price""),"""")"),"")</f>
        <v/>
      </c>
      <c r="I35" s="15"/>
      <c r="J35" s="16">
        <f t="shared" si="0"/>
        <v>0</v>
      </c>
      <c r="K35" s="16">
        <f t="shared" si="1"/>
        <v>0</v>
      </c>
      <c r="L35" s="16" t="e">
        <f t="shared" ca="1" si="2"/>
        <v>#VALUE!</v>
      </c>
      <c r="M35" s="19">
        <f t="shared" ca="1" si="3"/>
        <v>0</v>
      </c>
      <c r="N35" s="16">
        <f ca="1">IFERROR(__xludf.DUMMYFUNCTION("IFERROR(IF(G35&gt;0,0,GOOGLEFINANCE(""NSE:""&amp;B35,""change"")),0)"),0)</f>
        <v>0</v>
      </c>
      <c r="O35" s="16">
        <f t="shared" ca="1" si="4"/>
        <v>0</v>
      </c>
      <c r="P35" s="16">
        <f t="shared" si="5"/>
        <v>0</v>
      </c>
      <c r="Q35" s="19">
        <f t="shared" si="6"/>
        <v>0</v>
      </c>
      <c r="R35" s="16"/>
      <c r="S35" s="16"/>
      <c r="T35" s="16"/>
      <c r="U35" s="16"/>
      <c r="V35" s="16"/>
      <c r="W35" s="16"/>
      <c r="X35" s="16"/>
      <c r="Y35" s="16"/>
      <c r="Z35" s="19"/>
      <c r="AA35" s="16"/>
    </row>
    <row r="36" spans="1:27" ht="22.5" customHeight="1">
      <c r="A36" s="15">
        <v>35</v>
      </c>
      <c r="B36" s="16"/>
      <c r="C36" s="17"/>
      <c r="D36" s="18"/>
      <c r="E36" s="16"/>
      <c r="F36" s="18"/>
      <c r="G36" s="16"/>
      <c r="H36" s="16" t="str">
        <f ca="1">IFERROR(__xludf.DUMMYFUNCTION("IFERROR(GOOGLEFINANCE(""NSE:""&amp;B36,""price""),"""")"),"")</f>
        <v/>
      </c>
      <c r="I36" s="15"/>
      <c r="J36" s="16">
        <f t="shared" si="0"/>
        <v>0</v>
      </c>
      <c r="K36" s="16">
        <f t="shared" si="1"/>
        <v>0</v>
      </c>
      <c r="L36" s="16" t="e">
        <f t="shared" ca="1" si="2"/>
        <v>#VALUE!</v>
      </c>
      <c r="M36" s="19">
        <f t="shared" ca="1" si="3"/>
        <v>0</v>
      </c>
      <c r="N36" s="16">
        <f ca="1">IFERROR(__xludf.DUMMYFUNCTION("IFERROR(IF(G36&gt;0,0,GOOGLEFINANCE(""NSE:""&amp;B36,""change"")),0)"),0)</f>
        <v>0</v>
      </c>
      <c r="O36" s="16">
        <f t="shared" ca="1" si="4"/>
        <v>0</v>
      </c>
      <c r="P36" s="16">
        <f t="shared" si="5"/>
        <v>0</v>
      </c>
      <c r="Q36" s="19">
        <f t="shared" si="6"/>
        <v>0</v>
      </c>
      <c r="R36" s="16"/>
      <c r="S36" s="16"/>
      <c r="T36" s="16"/>
      <c r="U36" s="16"/>
      <c r="V36" s="16"/>
      <c r="W36" s="16"/>
      <c r="X36" s="16"/>
      <c r="Y36" s="16"/>
      <c r="Z36" s="19"/>
      <c r="AA36" s="16"/>
    </row>
    <row r="37" spans="1:27" ht="22.5" customHeight="1">
      <c r="A37" s="15">
        <v>36</v>
      </c>
      <c r="B37" s="16"/>
      <c r="C37" s="17"/>
      <c r="D37" s="18"/>
      <c r="E37" s="16"/>
      <c r="F37" s="18"/>
      <c r="G37" s="16"/>
      <c r="H37" s="16" t="str">
        <f ca="1">IFERROR(__xludf.DUMMYFUNCTION("IFERROR(GOOGLEFINANCE(""NSE:""&amp;B37,""price""),"""")"),"")</f>
        <v/>
      </c>
      <c r="I37" s="15"/>
      <c r="J37" s="16">
        <f t="shared" si="0"/>
        <v>0</v>
      </c>
      <c r="K37" s="16">
        <f t="shared" si="1"/>
        <v>0</v>
      </c>
      <c r="L37" s="16" t="e">
        <f t="shared" ca="1" si="2"/>
        <v>#VALUE!</v>
      </c>
      <c r="M37" s="19">
        <f t="shared" ca="1" si="3"/>
        <v>0</v>
      </c>
      <c r="N37" s="16">
        <f ca="1">IFERROR(__xludf.DUMMYFUNCTION("IFERROR(IF(G37&gt;0,0,GOOGLEFINANCE(""NSE:""&amp;B37,""change"")),0)"),0)</f>
        <v>0</v>
      </c>
      <c r="O37" s="16">
        <f t="shared" ca="1" si="4"/>
        <v>0</v>
      </c>
      <c r="P37" s="16">
        <f t="shared" si="5"/>
        <v>0</v>
      </c>
      <c r="Q37" s="19">
        <f t="shared" si="6"/>
        <v>0</v>
      </c>
      <c r="R37" s="16"/>
      <c r="S37" s="16"/>
      <c r="T37" s="16"/>
      <c r="U37" s="16"/>
      <c r="V37" s="16"/>
      <c r="W37" s="16"/>
      <c r="X37" s="16"/>
      <c r="Y37" s="16"/>
      <c r="Z37" s="19"/>
      <c r="AA37" s="16"/>
    </row>
    <row r="38" spans="1:27" ht="22.5" customHeight="1">
      <c r="A38" s="15">
        <v>37</v>
      </c>
      <c r="B38" s="16"/>
      <c r="C38" s="17"/>
      <c r="D38" s="18"/>
      <c r="E38" s="16"/>
      <c r="F38" s="18"/>
      <c r="G38" s="16"/>
      <c r="H38" s="16" t="str">
        <f ca="1">IFERROR(__xludf.DUMMYFUNCTION("IFERROR(GOOGLEFINANCE(""NSE:""&amp;B38,""price""),"""")"),"")</f>
        <v/>
      </c>
      <c r="I38" s="15"/>
      <c r="J38" s="16">
        <f t="shared" si="0"/>
        <v>0</v>
      </c>
      <c r="K38" s="16">
        <f t="shared" si="1"/>
        <v>0</v>
      </c>
      <c r="L38" s="16" t="e">
        <f t="shared" ca="1" si="2"/>
        <v>#VALUE!</v>
      </c>
      <c r="M38" s="19">
        <f t="shared" ca="1" si="3"/>
        <v>0</v>
      </c>
      <c r="N38" s="16">
        <f ca="1">IFERROR(__xludf.DUMMYFUNCTION("IFERROR(IF(G38&gt;0,0,GOOGLEFINANCE(""NSE:""&amp;B38,""change"")),0)"),0)</f>
        <v>0</v>
      </c>
      <c r="O38" s="16">
        <f t="shared" ca="1" si="4"/>
        <v>0</v>
      </c>
      <c r="P38" s="16">
        <f t="shared" si="5"/>
        <v>0</v>
      </c>
      <c r="Q38" s="19">
        <f t="shared" si="6"/>
        <v>0</v>
      </c>
      <c r="R38" s="16"/>
      <c r="S38" s="16"/>
      <c r="T38" s="16"/>
      <c r="U38" s="16"/>
      <c r="V38" s="16"/>
      <c r="W38" s="16"/>
      <c r="X38" s="16"/>
      <c r="Y38" s="16"/>
      <c r="Z38" s="19"/>
      <c r="AA38" s="16"/>
    </row>
    <row r="39" spans="1:27" ht="22.5" customHeight="1">
      <c r="A39" s="15">
        <v>38</v>
      </c>
      <c r="B39" s="16"/>
      <c r="C39" s="17"/>
      <c r="D39" s="18"/>
      <c r="E39" s="16"/>
      <c r="F39" s="18"/>
      <c r="G39" s="16"/>
      <c r="H39" s="16" t="str">
        <f ca="1">IFERROR(__xludf.DUMMYFUNCTION("IFERROR(GOOGLEFINANCE(""NSE:""&amp;B39,""price""),"""")"),"")</f>
        <v/>
      </c>
      <c r="I39" s="15"/>
      <c r="J39" s="16">
        <f t="shared" si="0"/>
        <v>0</v>
      </c>
      <c r="K39" s="16">
        <f t="shared" si="1"/>
        <v>0</v>
      </c>
      <c r="L39" s="16" t="e">
        <f t="shared" ca="1" si="2"/>
        <v>#VALUE!</v>
      </c>
      <c r="M39" s="19">
        <f t="shared" ca="1" si="3"/>
        <v>0</v>
      </c>
      <c r="N39" s="16">
        <f ca="1">IFERROR(__xludf.DUMMYFUNCTION("IFERROR(IF(G39&gt;0,0,GOOGLEFINANCE(""NSE:""&amp;B39,""change"")),0)"),0)</f>
        <v>0</v>
      </c>
      <c r="O39" s="16">
        <f t="shared" ca="1" si="4"/>
        <v>0</v>
      </c>
      <c r="P39" s="16">
        <f t="shared" si="5"/>
        <v>0</v>
      </c>
      <c r="Q39" s="19">
        <f t="shared" si="6"/>
        <v>0</v>
      </c>
      <c r="R39" s="16"/>
      <c r="S39" s="16"/>
      <c r="T39" s="16"/>
      <c r="U39" s="16"/>
      <c r="V39" s="16"/>
      <c r="W39" s="16"/>
      <c r="X39" s="16"/>
      <c r="Y39" s="16"/>
      <c r="Z39" s="19"/>
      <c r="AA39" s="16"/>
    </row>
    <row r="40" spans="1:27" ht="22.5" customHeight="1">
      <c r="A40" s="15">
        <v>39</v>
      </c>
      <c r="B40" s="16"/>
      <c r="C40" s="17"/>
      <c r="D40" s="18"/>
      <c r="E40" s="16"/>
      <c r="F40" s="18"/>
      <c r="G40" s="16"/>
      <c r="H40" s="16" t="str">
        <f ca="1">IFERROR(__xludf.DUMMYFUNCTION("IFERROR(GOOGLEFINANCE(""NSE:""&amp;B40,""price""),"""")"),"")</f>
        <v/>
      </c>
      <c r="I40" s="15"/>
      <c r="J40" s="16">
        <f t="shared" si="0"/>
        <v>0</v>
      </c>
      <c r="K40" s="16">
        <f t="shared" si="1"/>
        <v>0</v>
      </c>
      <c r="L40" s="16" t="e">
        <f t="shared" ca="1" si="2"/>
        <v>#VALUE!</v>
      </c>
      <c r="M40" s="19">
        <f t="shared" ca="1" si="3"/>
        <v>0</v>
      </c>
      <c r="N40" s="16">
        <f ca="1">IFERROR(__xludf.DUMMYFUNCTION("IFERROR(IF(G40&gt;0,0,GOOGLEFINANCE(""NSE:""&amp;B40,""change"")),0)"),0)</f>
        <v>0</v>
      </c>
      <c r="O40" s="16">
        <f t="shared" ca="1" si="4"/>
        <v>0</v>
      </c>
      <c r="P40" s="16">
        <f t="shared" si="5"/>
        <v>0</v>
      </c>
      <c r="Q40" s="19">
        <f t="shared" si="6"/>
        <v>0</v>
      </c>
      <c r="R40" s="16"/>
      <c r="S40" s="16"/>
      <c r="T40" s="16"/>
      <c r="U40" s="16"/>
      <c r="V40" s="16"/>
      <c r="W40" s="16"/>
      <c r="X40" s="16"/>
      <c r="Y40" s="16"/>
      <c r="Z40" s="19"/>
      <c r="AA40" s="16"/>
    </row>
    <row r="41" spans="1:27" ht="22.5" customHeight="1">
      <c r="A41" s="15">
        <v>40</v>
      </c>
      <c r="B41" s="16"/>
      <c r="C41" s="17"/>
      <c r="D41" s="18"/>
      <c r="E41" s="16"/>
      <c r="F41" s="18"/>
      <c r="G41" s="16"/>
      <c r="H41" s="16" t="str">
        <f ca="1">IFERROR(__xludf.DUMMYFUNCTION("IFERROR(GOOGLEFINANCE(""NSE:""&amp;B41,""price""),"""")"),"")</f>
        <v/>
      </c>
      <c r="I41" s="15"/>
      <c r="J41" s="16">
        <f t="shared" si="0"/>
        <v>0</v>
      </c>
      <c r="K41" s="16">
        <f t="shared" si="1"/>
        <v>0</v>
      </c>
      <c r="L41" s="16" t="e">
        <f t="shared" ca="1" si="2"/>
        <v>#VALUE!</v>
      </c>
      <c r="M41" s="19">
        <f t="shared" ca="1" si="3"/>
        <v>0</v>
      </c>
      <c r="N41" s="16">
        <f ca="1">IFERROR(__xludf.DUMMYFUNCTION("IFERROR(IF(G41&gt;0,0,GOOGLEFINANCE(""NSE:""&amp;B41,""change"")),0)"),0)</f>
        <v>0</v>
      </c>
      <c r="O41" s="16">
        <f t="shared" ca="1" si="4"/>
        <v>0</v>
      </c>
      <c r="P41" s="16">
        <f t="shared" si="5"/>
        <v>0</v>
      </c>
      <c r="Q41" s="19">
        <f t="shared" si="6"/>
        <v>0</v>
      </c>
      <c r="R41" s="16"/>
      <c r="S41" s="16"/>
      <c r="T41" s="16"/>
      <c r="U41" s="16"/>
      <c r="V41" s="16"/>
      <c r="W41" s="16"/>
      <c r="X41" s="16"/>
      <c r="Y41" s="16"/>
      <c r="Z41" s="19"/>
      <c r="AA41" s="16"/>
    </row>
    <row r="42" spans="1:27" ht="22.5" customHeight="1">
      <c r="A42" s="15">
        <v>41</v>
      </c>
      <c r="B42" s="16"/>
      <c r="C42" s="17"/>
      <c r="D42" s="18"/>
      <c r="E42" s="16"/>
      <c r="F42" s="18"/>
      <c r="G42" s="16"/>
      <c r="H42" s="16" t="str">
        <f ca="1">IFERROR(__xludf.DUMMYFUNCTION("IFERROR(GOOGLEFINANCE(""NSE:""&amp;B42,""price""),"""")"),"")</f>
        <v/>
      </c>
      <c r="I42" s="15"/>
      <c r="J42" s="16">
        <f t="shared" si="0"/>
        <v>0</v>
      </c>
      <c r="K42" s="16">
        <f t="shared" si="1"/>
        <v>0</v>
      </c>
      <c r="L42" s="16" t="e">
        <f t="shared" ca="1" si="2"/>
        <v>#VALUE!</v>
      </c>
      <c r="M42" s="19">
        <f t="shared" ca="1" si="3"/>
        <v>0</v>
      </c>
      <c r="N42" s="16">
        <f ca="1">IFERROR(__xludf.DUMMYFUNCTION("IFERROR(IF(G42&gt;0,0,GOOGLEFINANCE(""NSE:""&amp;B42,""change"")),0)"),0)</f>
        <v>0</v>
      </c>
      <c r="O42" s="16">
        <f t="shared" ca="1" si="4"/>
        <v>0</v>
      </c>
      <c r="P42" s="16">
        <f t="shared" si="5"/>
        <v>0</v>
      </c>
      <c r="Q42" s="19">
        <f t="shared" si="6"/>
        <v>0</v>
      </c>
      <c r="R42" s="16"/>
      <c r="S42" s="16"/>
      <c r="T42" s="16"/>
      <c r="U42" s="16"/>
      <c r="V42" s="16"/>
      <c r="W42" s="16"/>
      <c r="X42" s="16"/>
      <c r="Y42" s="16"/>
      <c r="Z42" s="19"/>
      <c r="AA42" s="16"/>
    </row>
    <row r="43" spans="1:27" ht="22.5" customHeight="1">
      <c r="A43" s="15">
        <v>42</v>
      </c>
      <c r="B43" s="16"/>
      <c r="C43" s="17"/>
      <c r="D43" s="18"/>
      <c r="E43" s="16"/>
      <c r="F43" s="15"/>
      <c r="G43" s="16"/>
      <c r="H43" s="16" t="str">
        <f ca="1">IFERROR(__xludf.DUMMYFUNCTION("IFERROR(GOOGLEFINANCE(""NSE:""&amp;B43,""price""),"""")"),"")</f>
        <v/>
      </c>
      <c r="I43" s="15"/>
      <c r="J43" s="16">
        <f t="shared" si="0"/>
        <v>0</v>
      </c>
      <c r="K43" s="16">
        <f t="shared" si="1"/>
        <v>0</v>
      </c>
      <c r="L43" s="16" t="e">
        <f t="shared" ca="1" si="2"/>
        <v>#VALUE!</v>
      </c>
      <c r="M43" s="19">
        <f t="shared" ca="1" si="3"/>
        <v>0</v>
      </c>
      <c r="N43" s="16">
        <f ca="1">IFERROR(__xludf.DUMMYFUNCTION("IFERROR(IF(G43&gt;0,0,GOOGLEFINANCE(""NSE:""&amp;B43,""change"")),0)"),0)</f>
        <v>0</v>
      </c>
      <c r="O43" s="16">
        <f t="shared" ca="1" si="4"/>
        <v>0</v>
      </c>
      <c r="P43" s="16">
        <f t="shared" si="5"/>
        <v>0</v>
      </c>
      <c r="Q43" s="19">
        <f t="shared" si="6"/>
        <v>0</v>
      </c>
      <c r="R43" s="16"/>
      <c r="S43" s="16"/>
      <c r="T43" s="16"/>
      <c r="U43" s="16"/>
      <c r="V43" s="16"/>
      <c r="W43" s="16"/>
      <c r="X43" s="16"/>
      <c r="Y43" s="16"/>
      <c r="Z43" s="19"/>
      <c r="AA43" s="16"/>
    </row>
    <row r="44" spans="1:27" ht="22.5" customHeight="1">
      <c r="A44" s="15">
        <v>43</v>
      </c>
      <c r="B44" s="16"/>
      <c r="C44" s="17"/>
      <c r="D44" s="18"/>
      <c r="E44" s="16"/>
      <c r="F44" s="18"/>
      <c r="G44" s="16"/>
      <c r="H44" s="16" t="str">
        <f ca="1">IFERROR(__xludf.DUMMYFUNCTION("IFERROR(GOOGLEFINANCE(""NSE:""&amp;B44,""price""),"""")"),"")</f>
        <v/>
      </c>
      <c r="I44" s="15"/>
      <c r="J44" s="16">
        <f t="shared" si="0"/>
        <v>0</v>
      </c>
      <c r="K44" s="16">
        <f t="shared" si="1"/>
        <v>0</v>
      </c>
      <c r="L44" s="16" t="e">
        <f t="shared" ca="1" si="2"/>
        <v>#VALUE!</v>
      </c>
      <c r="M44" s="19">
        <f t="shared" ca="1" si="3"/>
        <v>0</v>
      </c>
      <c r="N44" s="16">
        <f ca="1">IFERROR(__xludf.DUMMYFUNCTION("IFERROR(IF(G44&gt;0,0,GOOGLEFINANCE(""NSE:""&amp;B44,""change"")),0)"),0)</f>
        <v>0</v>
      </c>
      <c r="O44" s="16">
        <f t="shared" ca="1" si="4"/>
        <v>0</v>
      </c>
      <c r="P44" s="16">
        <f t="shared" si="5"/>
        <v>0</v>
      </c>
      <c r="Q44" s="19">
        <f t="shared" si="6"/>
        <v>0</v>
      </c>
      <c r="R44" s="16"/>
      <c r="S44" s="16"/>
      <c r="T44" s="16"/>
      <c r="U44" s="16"/>
      <c r="V44" s="16"/>
      <c r="W44" s="16"/>
      <c r="X44" s="16"/>
      <c r="Y44" s="16"/>
      <c r="Z44" s="19"/>
      <c r="AA44" s="16"/>
    </row>
    <row r="45" spans="1:27" ht="22.5" customHeight="1">
      <c r="A45" s="15">
        <v>44</v>
      </c>
      <c r="B45" s="16"/>
      <c r="C45" s="17"/>
      <c r="D45" s="18"/>
      <c r="E45" s="16"/>
      <c r="F45" s="18"/>
      <c r="G45" s="16"/>
      <c r="H45" s="16" t="str">
        <f ca="1">IFERROR(__xludf.DUMMYFUNCTION("IFERROR(GOOGLEFINANCE(""NSE:""&amp;B45,""price""),"""")"),"")</f>
        <v/>
      </c>
      <c r="I45" s="15"/>
      <c r="J45" s="16">
        <f t="shared" si="0"/>
        <v>0</v>
      </c>
      <c r="K45" s="16">
        <f t="shared" si="1"/>
        <v>0</v>
      </c>
      <c r="L45" s="16" t="e">
        <f t="shared" ca="1" si="2"/>
        <v>#VALUE!</v>
      </c>
      <c r="M45" s="19">
        <f t="shared" ca="1" si="3"/>
        <v>0</v>
      </c>
      <c r="N45" s="16">
        <f ca="1">IFERROR(__xludf.DUMMYFUNCTION("IFERROR(IF(G45&gt;0,0,GOOGLEFINANCE(""NSE:""&amp;B45,""change"")),0)"),0)</f>
        <v>0</v>
      </c>
      <c r="O45" s="16">
        <f t="shared" ca="1" si="4"/>
        <v>0</v>
      </c>
      <c r="P45" s="16">
        <f t="shared" si="5"/>
        <v>0</v>
      </c>
      <c r="Q45" s="19">
        <f t="shared" si="6"/>
        <v>0</v>
      </c>
      <c r="R45" s="16"/>
      <c r="S45" s="16"/>
      <c r="T45" s="16"/>
      <c r="U45" s="16"/>
      <c r="V45" s="16"/>
      <c r="W45" s="16"/>
      <c r="X45" s="16"/>
      <c r="Y45" s="16"/>
      <c r="Z45" s="19"/>
      <c r="AA45" s="16"/>
    </row>
    <row r="46" spans="1:27" ht="22.5" customHeight="1">
      <c r="A46" s="15">
        <v>45</v>
      </c>
      <c r="B46" s="16"/>
      <c r="C46" s="17"/>
      <c r="D46" s="18"/>
      <c r="E46" s="16"/>
      <c r="F46" s="18"/>
      <c r="G46" s="16"/>
      <c r="H46" s="16" t="str">
        <f ca="1">IFERROR(__xludf.DUMMYFUNCTION("IFERROR(GOOGLEFINANCE(""NSE:""&amp;B46,""price""),"""")"),"")</f>
        <v/>
      </c>
      <c r="I46" s="15"/>
      <c r="J46" s="16">
        <f t="shared" si="0"/>
        <v>0</v>
      </c>
      <c r="K46" s="16">
        <f t="shared" si="1"/>
        <v>0</v>
      </c>
      <c r="L46" s="16" t="e">
        <f t="shared" ca="1" si="2"/>
        <v>#VALUE!</v>
      </c>
      <c r="M46" s="19">
        <f t="shared" ca="1" si="3"/>
        <v>0</v>
      </c>
      <c r="N46" s="16">
        <f ca="1">IFERROR(__xludf.DUMMYFUNCTION("IFERROR(IF(G46&gt;0,0,GOOGLEFINANCE(""NSE:""&amp;B46,""change"")),0)"),0)</f>
        <v>0</v>
      </c>
      <c r="O46" s="16">
        <f t="shared" ca="1" si="4"/>
        <v>0</v>
      </c>
      <c r="P46" s="16">
        <f t="shared" si="5"/>
        <v>0</v>
      </c>
      <c r="Q46" s="19">
        <f t="shared" si="6"/>
        <v>0</v>
      </c>
      <c r="R46" s="16"/>
      <c r="S46" s="16"/>
      <c r="T46" s="16"/>
      <c r="U46" s="16"/>
      <c r="V46" s="16"/>
      <c r="W46" s="16"/>
      <c r="X46" s="16"/>
      <c r="Y46" s="16"/>
      <c r="Z46" s="19"/>
      <c r="AA46" s="16"/>
    </row>
    <row r="47" spans="1:27" ht="22.5" customHeight="1">
      <c r="A47" s="15">
        <v>46</v>
      </c>
      <c r="B47" s="16"/>
      <c r="C47" s="17"/>
      <c r="D47" s="18"/>
      <c r="E47" s="16"/>
      <c r="F47" s="18"/>
      <c r="G47" s="16"/>
      <c r="H47" s="16" t="str">
        <f ca="1">IFERROR(__xludf.DUMMYFUNCTION("IFERROR(GOOGLEFINANCE(""NSE:""&amp;B47,""price""),"""")"),"")</f>
        <v/>
      </c>
      <c r="I47" s="15"/>
      <c r="J47" s="16">
        <f t="shared" si="0"/>
        <v>0</v>
      </c>
      <c r="K47" s="16">
        <f t="shared" si="1"/>
        <v>0</v>
      </c>
      <c r="L47" s="16" t="e">
        <f t="shared" ca="1" si="2"/>
        <v>#VALUE!</v>
      </c>
      <c r="M47" s="19">
        <f t="shared" ca="1" si="3"/>
        <v>0</v>
      </c>
      <c r="N47" s="16">
        <f ca="1">IFERROR(__xludf.DUMMYFUNCTION("IFERROR(IF(G47&gt;0,0,GOOGLEFINANCE(""NSE:""&amp;B47,""change"")),0)"),0)</f>
        <v>0</v>
      </c>
      <c r="O47" s="16">
        <f t="shared" ca="1" si="4"/>
        <v>0</v>
      </c>
      <c r="P47" s="16">
        <f t="shared" si="5"/>
        <v>0</v>
      </c>
      <c r="Q47" s="19">
        <f t="shared" si="6"/>
        <v>0</v>
      </c>
      <c r="R47" s="16"/>
      <c r="S47" s="16"/>
      <c r="T47" s="16"/>
      <c r="U47" s="16"/>
      <c r="V47" s="16"/>
      <c r="W47" s="16"/>
      <c r="X47" s="16"/>
      <c r="Y47" s="16"/>
      <c r="Z47" s="19"/>
      <c r="AA47" s="16"/>
    </row>
    <row r="48" spans="1:27" ht="22.5" customHeight="1">
      <c r="A48" s="15">
        <v>47</v>
      </c>
      <c r="B48" s="16"/>
      <c r="C48" s="17"/>
      <c r="D48" s="18"/>
      <c r="E48" s="16"/>
      <c r="F48" s="18"/>
      <c r="G48" s="16"/>
      <c r="H48" s="16" t="str">
        <f ca="1">IFERROR(__xludf.DUMMYFUNCTION("IFERROR(GOOGLEFINANCE(""NSE:""&amp;B48,""price""),"""")"),"")</f>
        <v/>
      </c>
      <c r="I48" s="15"/>
      <c r="J48" s="16">
        <f t="shared" si="0"/>
        <v>0</v>
      </c>
      <c r="K48" s="16">
        <f t="shared" si="1"/>
        <v>0</v>
      </c>
      <c r="L48" s="16" t="e">
        <f t="shared" ca="1" si="2"/>
        <v>#VALUE!</v>
      </c>
      <c r="M48" s="19">
        <f t="shared" ca="1" si="3"/>
        <v>0</v>
      </c>
      <c r="N48" s="16">
        <f ca="1">IFERROR(__xludf.DUMMYFUNCTION("IFERROR(IF(G48&gt;0,0,GOOGLEFINANCE(""NSE:""&amp;B48,""change"")),0)"),0)</f>
        <v>0</v>
      </c>
      <c r="O48" s="16">
        <f t="shared" ca="1" si="4"/>
        <v>0</v>
      </c>
      <c r="P48" s="16">
        <f t="shared" si="5"/>
        <v>0</v>
      </c>
      <c r="Q48" s="19">
        <f t="shared" si="6"/>
        <v>0</v>
      </c>
      <c r="R48" s="16"/>
      <c r="S48" s="16"/>
      <c r="T48" s="16"/>
      <c r="U48" s="16"/>
      <c r="V48" s="16"/>
      <c r="W48" s="16"/>
      <c r="X48" s="16"/>
      <c r="Y48" s="16"/>
      <c r="Z48" s="19"/>
      <c r="AA48" s="16"/>
    </row>
    <row r="49" spans="1:27" ht="22.5" customHeight="1">
      <c r="A49" s="15">
        <v>48</v>
      </c>
      <c r="B49" s="16"/>
      <c r="C49" s="17"/>
      <c r="D49" s="18"/>
      <c r="E49" s="16"/>
      <c r="F49" s="18"/>
      <c r="G49" s="16"/>
      <c r="H49" s="16" t="str">
        <f ca="1">IFERROR(__xludf.DUMMYFUNCTION("IFERROR(GOOGLEFINANCE(""NSE:""&amp;B49,""price""),"""")"),"")</f>
        <v/>
      </c>
      <c r="I49" s="15"/>
      <c r="J49" s="16">
        <f t="shared" si="0"/>
        <v>0</v>
      </c>
      <c r="K49" s="16">
        <f t="shared" si="1"/>
        <v>0</v>
      </c>
      <c r="L49" s="16" t="e">
        <f t="shared" ca="1" si="2"/>
        <v>#VALUE!</v>
      </c>
      <c r="M49" s="19">
        <f t="shared" ca="1" si="3"/>
        <v>0</v>
      </c>
      <c r="N49" s="16">
        <f ca="1">IFERROR(__xludf.DUMMYFUNCTION("IFERROR(IF(G49&gt;0,0,GOOGLEFINANCE(""NSE:""&amp;B49,""change"")),0)"),0)</f>
        <v>0</v>
      </c>
      <c r="O49" s="16">
        <f t="shared" ca="1" si="4"/>
        <v>0</v>
      </c>
      <c r="P49" s="16">
        <f t="shared" si="5"/>
        <v>0</v>
      </c>
      <c r="Q49" s="19">
        <f t="shared" si="6"/>
        <v>0</v>
      </c>
      <c r="R49" s="16"/>
      <c r="S49" s="16"/>
      <c r="T49" s="16"/>
      <c r="U49" s="16"/>
      <c r="V49" s="16"/>
      <c r="W49" s="16"/>
      <c r="X49" s="16"/>
      <c r="Y49" s="16"/>
      <c r="Z49" s="19"/>
      <c r="AA49" s="16"/>
    </row>
    <row r="50" spans="1:27" ht="22.5" customHeight="1">
      <c r="A50" s="15">
        <v>49</v>
      </c>
      <c r="B50" s="16"/>
      <c r="C50" s="17"/>
      <c r="D50" s="18"/>
      <c r="E50" s="16"/>
      <c r="F50" s="15"/>
      <c r="G50" s="16"/>
      <c r="H50" s="16" t="str">
        <f ca="1">IFERROR(__xludf.DUMMYFUNCTION("IFERROR(GOOGLEFINANCE(""NSE:""&amp;B50,""price""),"""")"),"")</f>
        <v/>
      </c>
      <c r="I50" s="15"/>
      <c r="J50" s="16">
        <f t="shared" si="0"/>
        <v>0</v>
      </c>
      <c r="K50" s="16">
        <f t="shared" si="1"/>
        <v>0</v>
      </c>
      <c r="L50" s="16" t="e">
        <f t="shared" ca="1" si="2"/>
        <v>#VALUE!</v>
      </c>
      <c r="M50" s="19">
        <f t="shared" ca="1" si="3"/>
        <v>0</v>
      </c>
      <c r="N50" s="16">
        <f ca="1">IFERROR(__xludf.DUMMYFUNCTION("IFERROR(IF(G50&gt;0,0,GOOGLEFINANCE(""NSE:""&amp;B50,""change"")),0)"),0)</f>
        <v>0</v>
      </c>
      <c r="O50" s="16">
        <f t="shared" ca="1" si="4"/>
        <v>0</v>
      </c>
      <c r="P50" s="16">
        <f t="shared" si="5"/>
        <v>0</v>
      </c>
      <c r="Q50" s="19">
        <f t="shared" si="6"/>
        <v>0</v>
      </c>
      <c r="R50" s="16"/>
      <c r="S50" s="16"/>
      <c r="T50" s="16"/>
      <c r="U50" s="16"/>
      <c r="V50" s="16"/>
      <c r="W50" s="16"/>
      <c r="X50" s="16"/>
      <c r="Y50" s="16"/>
      <c r="Z50" s="19"/>
      <c r="AA50" s="16"/>
    </row>
    <row r="51" spans="1:27" ht="22.5" customHeight="1">
      <c r="A51" s="15">
        <v>50</v>
      </c>
      <c r="B51" s="32"/>
      <c r="C51" s="33"/>
      <c r="D51" s="34"/>
      <c r="E51" s="32"/>
      <c r="F51" s="34"/>
      <c r="G51" s="32"/>
      <c r="H51" s="16" t="str">
        <f ca="1">IFERROR(__xludf.DUMMYFUNCTION("IFERROR(GOOGLEFINANCE(""NSE:""&amp;B51,""price""),"""")"),"")</f>
        <v/>
      </c>
      <c r="I51" s="15"/>
      <c r="J51" s="16">
        <f t="shared" si="0"/>
        <v>0</v>
      </c>
      <c r="K51" s="16">
        <f t="shared" si="1"/>
        <v>0</v>
      </c>
      <c r="L51" s="16" t="e">
        <f t="shared" ca="1" si="2"/>
        <v>#VALUE!</v>
      </c>
      <c r="M51" s="19">
        <f t="shared" ca="1" si="3"/>
        <v>0</v>
      </c>
      <c r="N51" s="16">
        <f ca="1">IFERROR(__xludf.DUMMYFUNCTION("IFERROR(IF(G51&gt;0,0,GOOGLEFINANCE(""NSE:""&amp;B51,""change"")),0)"),0)</f>
        <v>0</v>
      </c>
      <c r="O51" s="16">
        <f t="shared" ca="1" si="4"/>
        <v>0</v>
      </c>
      <c r="P51" s="16">
        <f t="shared" si="5"/>
        <v>0</v>
      </c>
      <c r="Q51" s="19">
        <f t="shared" si="6"/>
        <v>0</v>
      </c>
      <c r="R51" s="16"/>
      <c r="S51" s="16"/>
      <c r="T51" s="16"/>
      <c r="U51" s="16"/>
      <c r="V51" s="16"/>
      <c r="W51" s="16"/>
      <c r="X51" s="16"/>
      <c r="Y51" s="16"/>
      <c r="Z51" s="19"/>
      <c r="AA51" s="16"/>
    </row>
    <row r="52" spans="1:27" ht="22.5" customHeight="1">
      <c r="A52" s="15">
        <v>51</v>
      </c>
      <c r="B52" s="16"/>
      <c r="C52" s="17"/>
      <c r="D52" s="18"/>
      <c r="E52" s="16"/>
      <c r="F52" s="18"/>
      <c r="G52" s="16"/>
      <c r="H52" s="16" t="str">
        <f ca="1">IFERROR(__xludf.DUMMYFUNCTION("IFERROR(GOOGLEFINANCE(""NSE:""&amp;B52,""price""),"""")"),"")</f>
        <v/>
      </c>
      <c r="I52" s="15"/>
      <c r="J52" s="16">
        <f t="shared" si="0"/>
        <v>0</v>
      </c>
      <c r="K52" s="16">
        <f t="shared" si="1"/>
        <v>0</v>
      </c>
      <c r="L52" s="16" t="e">
        <f t="shared" ca="1" si="2"/>
        <v>#VALUE!</v>
      </c>
      <c r="M52" s="19">
        <f t="shared" ca="1" si="3"/>
        <v>0</v>
      </c>
      <c r="N52" s="16">
        <f ca="1">IFERROR(__xludf.DUMMYFUNCTION("IFERROR(IF(G52&gt;0,0,GOOGLEFINANCE(""NSE:""&amp;B52,""change"")),0)"),0)</f>
        <v>0</v>
      </c>
      <c r="O52" s="16">
        <f t="shared" ca="1" si="4"/>
        <v>0</v>
      </c>
      <c r="P52" s="16">
        <f t="shared" si="5"/>
        <v>0</v>
      </c>
      <c r="Q52" s="19">
        <f t="shared" si="6"/>
        <v>0</v>
      </c>
      <c r="R52" s="16"/>
      <c r="S52" s="16"/>
      <c r="T52" s="16"/>
      <c r="U52" s="16"/>
      <c r="V52" s="16"/>
      <c r="W52" s="16"/>
      <c r="X52" s="16"/>
      <c r="Y52" s="16"/>
      <c r="Z52" s="19"/>
      <c r="AA52" s="16"/>
    </row>
    <row r="53" spans="1:27" ht="22.5" customHeight="1">
      <c r="A53" s="15">
        <v>52</v>
      </c>
      <c r="B53" s="32"/>
      <c r="C53" s="33"/>
      <c r="D53" s="34"/>
      <c r="E53" s="32"/>
      <c r="F53" s="34"/>
      <c r="G53" s="32"/>
      <c r="H53" s="16" t="str">
        <f ca="1">IFERROR(__xludf.DUMMYFUNCTION("IFERROR(GOOGLEFINANCE(""NSE:""&amp;B53,""price""),"""")"),"")</f>
        <v/>
      </c>
      <c r="I53" s="15"/>
      <c r="J53" s="16">
        <f t="shared" si="0"/>
        <v>0</v>
      </c>
      <c r="K53" s="16">
        <f t="shared" si="1"/>
        <v>0</v>
      </c>
      <c r="L53" s="16" t="e">
        <f t="shared" ca="1" si="2"/>
        <v>#VALUE!</v>
      </c>
      <c r="M53" s="19">
        <f t="shared" ca="1" si="3"/>
        <v>0</v>
      </c>
      <c r="N53" s="16">
        <f ca="1">IFERROR(__xludf.DUMMYFUNCTION("IFERROR(IF(G53&gt;0,0,GOOGLEFINANCE(""NSE:""&amp;B53,""change"")),0)"),0)</f>
        <v>0</v>
      </c>
      <c r="O53" s="16">
        <f t="shared" ca="1" si="4"/>
        <v>0</v>
      </c>
      <c r="P53" s="16">
        <f t="shared" si="5"/>
        <v>0</v>
      </c>
      <c r="Q53" s="19">
        <f t="shared" si="6"/>
        <v>0</v>
      </c>
      <c r="R53" s="32"/>
      <c r="S53" s="32"/>
      <c r="T53" s="32"/>
      <c r="U53" s="32"/>
      <c r="V53" s="32"/>
      <c r="W53" s="32"/>
      <c r="X53" s="32"/>
      <c r="Y53" s="32"/>
      <c r="Z53" s="35"/>
      <c r="AA53" s="32"/>
    </row>
  </sheetData>
  <conditionalFormatting sqref="L2:Q53 Y2:Z53 AM3:AO3 AI3:AJ3 AE4:AE6">
    <cfRule type="cellIs" dxfId="27" priority="1" operator="lessThan">
      <formula>0</formula>
    </cfRule>
    <cfRule type="cellIs" dxfId="26" priority="2" operator="greaterThan">
      <formula>0</formula>
    </cfRule>
  </conditionalFormatting>
  <dataValidations count="3">
    <dataValidation type="list" allowBlank="1" sqref="C2:C53" xr:uid="{00000000-0002-0000-0100-000000000000}">
      <formula1>"DHAN,RAM,KAMAL,ESPRESSO,FYERS,Paytm,ANGELONE"</formula1>
    </dataValidation>
    <dataValidation type="custom" allowBlank="1" showDropDown="1" sqref="D2:D53" xr:uid="{00000000-0002-0000-0100-000001000000}">
      <formula1>OR(NOT(ISERROR(DATEVALUE(D2))), AND(ISNUMBER(D2), LEFT(CELL("format", D2))="D"))</formula1>
    </dataValidation>
    <dataValidation type="custom" allowBlank="1" showDropDown="1" sqref="E2:E53 G2:H53 J2:Q53" xr:uid="{00000000-0002-0000-0100-000002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5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2" max="2" width="12.88671875" customWidth="1"/>
    <col min="3" max="3" width="15" customWidth="1"/>
    <col min="4" max="4" width="15.44140625" customWidth="1"/>
    <col min="5" max="5" width="11.6640625" customWidth="1"/>
    <col min="6" max="6" width="12.109375" customWidth="1"/>
    <col min="7" max="7" width="11.44140625" customWidth="1"/>
    <col min="8" max="8" width="11.6640625" customWidth="1"/>
    <col min="9" max="9" width="8.109375" customWidth="1"/>
    <col min="10" max="10" width="15.109375" customWidth="1"/>
    <col min="11" max="11" width="15.44140625" customWidth="1"/>
    <col min="12" max="12" width="19.77734375" customWidth="1"/>
    <col min="13" max="15" width="14.44140625" customWidth="1"/>
    <col min="16" max="16" width="18.21875" customWidth="1"/>
    <col min="17" max="17" width="14.44140625" customWidth="1"/>
    <col min="18" max="18" width="7" hidden="1" customWidth="1"/>
    <col min="19" max="19" width="9.77734375" hidden="1" customWidth="1"/>
    <col min="20" max="20" width="5.109375" hidden="1" customWidth="1"/>
    <col min="21" max="21" width="11.21875" hidden="1" customWidth="1"/>
    <col min="22" max="22" width="8" hidden="1" customWidth="1"/>
    <col min="23" max="23" width="10.109375" hidden="1" customWidth="1"/>
    <col min="24" max="24" width="11.21875" hidden="1" customWidth="1"/>
    <col min="25" max="25" width="9.33203125" hidden="1" customWidth="1"/>
    <col min="26" max="26" width="8.44140625" hidden="1" customWidth="1"/>
    <col min="27" max="27" width="12.6640625" hidden="1"/>
    <col min="28" max="28" width="25.21875" customWidth="1"/>
    <col min="29" max="30" width="17.88671875" customWidth="1"/>
    <col min="35" max="36" width="13.88671875" customWidth="1"/>
  </cols>
  <sheetData>
    <row r="1" spans="1:41" ht="22.5" customHeight="1">
      <c r="A1" s="11" t="s">
        <v>72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11" t="s">
        <v>79</v>
      </c>
      <c r="J1" s="11" t="s">
        <v>80</v>
      </c>
      <c r="K1" s="11" t="s">
        <v>81</v>
      </c>
      <c r="L1" s="11" t="s">
        <v>6</v>
      </c>
      <c r="M1" s="11" t="s">
        <v>82</v>
      </c>
      <c r="N1" s="11" t="s">
        <v>83</v>
      </c>
      <c r="O1" s="11" t="s">
        <v>84</v>
      </c>
      <c r="P1" s="11" t="s">
        <v>5</v>
      </c>
      <c r="Q1" s="11" t="s">
        <v>85</v>
      </c>
      <c r="R1" s="11" t="s">
        <v>86</v>
      </c>
      <c r="S1" s="11" t="s">
        <v>87</v>
      </c>
      <c r="T1" s="11" t="s">
        <v>88</v>
      </c>
      <c r="U1" s="11" t="s">
        <v>89</v>
      </c>
      <c r="V1" s="11" t="s">
        <v>90</v>
      </c>
      <c r="W1" s="11" t="s">
        <v>91</v>
      </c>
      <c r="X1" s="11" t="s">
        <v>92</v>
      </c>
      <c r="Y1" s="11" t="s">
        <v>93</v>
      </c>
      <c r="Z1" s="11" t="s">
        <v>94</v>
      </c>
      <c r="AA1" s="11" t="s">
        <v>95</v>
      </c>
      <c r="AB1" s="12" t="s">
        <v>96</v>
      </c>
      <c r="AC1" s="13"/>
      <c r="AD1" s="14"/>
    </row>
    <row r="2" spans="1:41" ht="22.5" customHeight="1">
      <c r="A2" s="15">
        <v>1</v>
      </c>
      <c r="B2" s="16" t="s">
        <v>15</v>
      </c>
      <c r="C2" s="17" t="s">
        <v>109</v>
      </c>
      <c r="D2" s="18"/>
      <c r="E2" s="16">
        <v>19.8</v>
      </c>
      <c r="F2" s="18"/>
      <c r="G2" s="16"/>
      <c r="H2" s="16">
        <f ca="1">IFERROR(__xludf.DUMMYFUNCTION("IFERROR(GOOGLEFINANCE(""NSE:""&amp;B2,""price""),"""")"),21.49)</f>
        <v>21.49</v>
      </c>
      <c r="I2" s="15">
        <v>328</v>
      </c>
      <c r="J2" s="16">
        <f t="shared" ref="J2:J53" si="0">E2*I2</f>
        <v>6494.4000000000005</v>
      </c>
      <c r="K2" s="16">
        <f t="shared" ref="K2:K53" si="1">IF(G2&gt;0,(E2+G2)*I2,E2*I2)</f>
        <v>6494.4000000000005</v>
      </c>
      <c r="L2" s="16">
        <f t="shared" ref="L2:L53" ca="1" si="2">IF(G2&gt;0,0,(H2-E2)*I2)</f>
        <v>554.31999999999925</v>
      </c>
      <c r="M2" s="19">
        <f t="shared" ref="M2:M53" ca="1" si="3">IFERROR(IF(G2&gt;0,0,(H2-E2)/E2),0)</f>
        <v>8.5353535353535237E-2</v>
      </c>
      <c r="N2" s="16">
        <f ca="1">IFERROR(__xludf.DUMMYFUNCTION("IFERROR(IF(G2&gt;0,0,GOOGLEFINANCE(""NSE:""&amp;B2,""change"")),)"),0.34)</f>
        <v>0.34</v>
      </c>
      <c r="O2" s="16">
        <f t="shared" ref="O2:O53" ca="1" si="4">I2*N2</f>
        <v>111.52000000000001</v>
      </c>
      <c r="P2" s="16">
        <f t="shared" ref="P2:P53" si="5">IF(G2=0,0,(G2-E2)*I2)</f>
        <v>0</v>
      </c>
      <c r="Q2" s="19">
        <f t="shared" ref="Q2:Q53" si="6">IF(G2&gt;0,(G2-E2)/E2,0)</f>
        <v>0</v>
      </c>
      <c r="R2" s="16">
        <f t="shared" ref="R2:R6" si="7">0.001*K2</f>
        <v>6.4944000000000006</v>
      </c>
      <c r="S2" s="16">
        <f t="shared" ref="S2:S6" si="8">0.0000325*K2</f>
        <v>0.21106800000000001</v>
      </c>
      <c r="T2" s="16">
        <f t="shared" ref="T2:T9" si="9">0.18*S2</f>
        <v>3.7992239999999997E-2</v>
      </c>
      <c r="U2" s="20">
        <f t="shared" ref="U2:U6" si="10">0.0000005*K2</f>
        <v>3.2472E-3</v>
      </c>
      <c r="V2" s="16">
        <f t="shared" ref="V2:V9" si="11">R2+S2+T2+U2</f>
        <v>6.7467074400000007</v>
      </c>
      <c r="W2" s="16">
        <f t="shared" ref="W2:W4" si="12">IF(G2&gt;0,15.34,0)</f>
        <v>0</v>
      </c>
      <c r="X2" s="16">
        <f t="shared" ref="X2:X9" si="13">V2+W2</f>
        <v>6.7467074400000007</v>
      </c>
      <c r="Y2" s="16">
        <f t="shared" ref="Y2:Y4" si="14">IF(G2&gt;0,P2-X2,0)</f>
        <v>0</v>
      </c>
      <c r="Z2" s="19">
        <f t="shared" ref="Z2:Z6" si="15">Y2/J2</f>
        <v>0</v>
      </c>
      <c r="AA2" s="21">
        <f>SUM($AE$2,Y2)</f>
        <v>50000</v>
      </c>
      <c r="AB2" s="22"/>
      <c r="AC2" s="22"/>
      <c r="AD2" s="23" t="s">
        <v>98</v>
      </c>
      <c r="AE2" s="8">
        <v>50000</v>
      </c>
      <c r="AG2" s="113"/>
      <c r="AH2" s="134"/>
      <c r="AI2" s="114" t="s">
        <v>275</v>
      </c>
      <c r="AJ2" s="115"/>
      <c r="AL2" s="113"/>
      <c r="AM2" s="114" t="s">
        <v>275</v>
      </c>
      <c r="AN2" s="134"/>
      <c r="AO2" s="115"/>
    </row>
    <row r="3" spans="1:41" ht="22.5" customHeight="1">
      <c r="A3" s="15">
        <v>2</v>
      </c>
      <c r="B3" s="16" t="s">
        <v>34</v>
      </c>
      <c r="C3" s="17" t="s">
        <v>109</v>
      </c>
      <c r="D3" s="18"/>
      <c r="E3" s="16">
        <v>1598.5</v>
      </c>
      <c r="F3" s="18"/>
      <c r="G3" s="16"/>
      <c r="H3" s="16">
        <f ca="1">IFERROR(__xludf.DUMMYFUNCTION("IFERROR(GOOGLEFINANCE(""NSE:""&amp;B3,""price""),"""")"),1674.8)</f>
        <v>1674.8</v>
      </c>
      <c r="I3" s="15">
        <v>17</v>
      </c>
      <c r="J3" s="16">
        <f t="shared" si="0"/>
        <v>27174.5</v>
      </c>
      <c r="K3" s="16">
        <f t="shared" si="1"/>
        <v>27174.5</v>
      </c>
      <c r="L3" s="16">
        <f t="shared" ca="1" si="2"/>
        <v>1297.0999999999992</v>
      </c>
      <c r="M3" s="19">
        <f t="shared" ca="1" si="3"/>
        <v>4.7732248983421932E-2</v>
      </c>
      <c r="N3" s="16">
        <f ca="1">IFERROR(__xludf.DUMMYFUNCTION("IFERROR(IF(G3&gt;0,0,GOOGLEFINANCE(""NSE:""&amp;B3,""change"")),0)"),4.5)</f>
        <v>4.5</v>
      </c>
      <c r="O3" s="16">
        <f t="shared" ca="1" si="4"/>
        <v>76.5</v>
      </c>
      <c r="P3" s="16">
        <f t="shared" si="5"/>
        <v>0</v>
      </c>
      <c r="Q3" s="19">
        <f t="shared" si="6"/>
        <v>0</v>
      </c>
      <c r="R3" s="16">
        <f t="shared" si="7"/>
        <v>27.174500000000002</v>
      </c>
      <c r="S3" s="16">
        <f t="shared" si="8"/>
        <v>0.88317124999999996</v>
      </c>
      <c r="T3" s="16">
        <f t="shared" si="9"/>
        <v>0.15897082499999998</v>
      </c>
      <c r="U3" s="16">
        <f t="shared" si="10"/>
        <v>1.3587249999999999E-2</v>
      </c>
      <c r="V3" s="16">
        <f t="shared" si="11"/>
        <v>28.230229325000003</v>
      </c>
      <c r="W3" s="16">
        <f t="shared" si="12"/>
        <v>0</v>
      </c>
      <c r="X3" s="16">
        <f t="shared" si="13"/>
        <v>28.230229325000003</v>
      </c>
      <c r="Y3" s="16">
        <f t="shared" si="14"/>
        <v>0</v>
      </c>
      <c r="Z3" s="19">
        <f t="shared" si="15"/>
        <v>0</v>
      </c>
      <c r="AA3" s="21">
        <f t="shared" ref="AA3:AA9" si="16">SUM(AA2,Y3)</f>
        <v>50000</v>
      </c>
      <c r="AB3" s="22"/>
      <c r="AC3" s="22"/>
      <c r="AD3" s="23" t="s">
        <v>99</v>
      </c>
      <c r="AE3" s="8">
        <f>AE2+AE4</f>
        <v>50000</v>
      </c>
      <c r="AG3" s="114" t="s">
        <v>73</v>
      </c>
      <c r="AH3" s="114" t="s">
        <v>4</v>
      </c>
      <c r="AI3" s="113" t="s">
        <v>9</v>
      </c>
      <c r="AJ3" s="116" t="s">
        <v>8</v>
      </c>
      <c r="AL3" s="114" t="s">
        <v>4</v>
      </c>
      <c r="AM3" s="113" t="s">
        <v>5</v>
      </c>
      <c r="AN3" s="135" t="s">
        <v>6</v>
      </c>
      <c r="AO3" s="116" t="s">
        <v>7</v>
      </c>
    </row>
    <row r="4" spans="1:41" ht="22.5" customHeight="1">
      <c r="A4" s="15">
        <v>3</v>
      </c>
      <c r="B4" s="16" t="s">
        <v>110</v>
      </c>
      <c r="C4" s="17" t="s">
        <v>109</v>
      </c>
      <c r="D4" s="18"/>
      <c r="E4" s="16">
        <v>763.9</v>
      </c>
      <c r="F4" s="18"/>
      <c r="G4" s="16"/>
      <c r="H4" s="16">
        <f ca="1">IFERROR(__xludf.DUMMYFUNCTION("IFERROR(GOOGLEFINANCE(""NSE:""&amp;B4,""price""),"""")"),763)</f>
        <v>763</v>
      </c>
      <c r="I4" s="15">
        <v>11</v>
      </c>
      <c r="J4" s="16">
        <f t="shared" si="0"/>
        <v>8402.9</v>
      </c>
      <c r="K4" s="16">
        <f t="shared" si="1"/>
        <v>8402.9</v>
      </c>
      <c r="L4" s="16">
        <f t="shared" ca="1" si="2"/>
        <v>-9.8999999999997499</v>
      </c>
      <c r="M4" s="19">
        <f t="shared" ca="1" si="3"/>
        <v>-1.1781646812409703E-3</v>
      </c>
      <c r="N4" s="16">
        <f ca="1">IFERROR(__xludf.DUMMYFUNCTION("IFERROR(IF(G4&gt;0,0,GOOGLEFINANCE(""NSE:""&amp;B4,""change"")),0)"),1.2)</f>
        <v>1.2</v>
      </c>
      <c r="O4" s="16">
        <f t="shared" ca="1" si="4"/>
        <v>13.2</v>
      </c>
      <c r="P4" s="16">
        <f t="shared" si="5"/>
        <v>0</v>
      </c>
      <c r="Q4" s="19">
        <f t="shared" si="6"/>
        <v>0</v>
      </c>
      <c r="R4" s="16">
        <f t="shared" si="7"/>
        <v>8.4028999999999989</v>
      </c>
      <c r="S4" s="16">
        <f t="shared" si="8"/>
        <v>0.27309424999999998</v>
      </c>
      <c r="T4" s="16">
        <f t="shared" si="9"/>
        <v>4.9156964999999997E-2</v>
      </c>
      <c r="U4" s="16">
        <f t="shared" si="10"/>
        <v>4.2014499999999998E-3</v>
      </c>
      <c r="V4" s="16">
        <f t="shared" si="11"/>
        <v>8.7293526649999986</v>
      </c>
      <c r="W4" s="16">
        <f t="shared" si="12"/>
        <v>0</v>
      </c>
      <c r="X4" s="16">
        <f t="shared" si="13"/>
        <v>8.7293526649999986</v>
      </c>
      <c r="Y4" s="16">
        <f t="shared" si="14"/>
        <v>0</v>
      </c>
      <c r="Z4" s="19">
        <f t="shared" si="15"/>
        <v>0</v>
      </c>
      <c r="AA4" s="21">
        <f t="shared" si="16"/>
        <v>50000</v>
      </c>
      <c r="AB4" s="22"/>
      <c r="AC4" s="22"/>
      <c r="AD4" s="23" t="s">
        <v>100</v>
      </c>
      <c r="AE4" s="8">
        <f>SUM(P2:P53)</f>
        <v>0</v>
      </c>
      <c r="AG4" s="113" t="s">
        <v>109</v>
      </c>
      <c r="AH4" s="136" t="s">
        <v>15</v>
      </c>
      <c r="AI4" s="117">
        <v>554.31999999999925</v>
      </c>
      <c r="AJ4" s="118">
        <v>0</v>
      </c>
      <c r="AL4" s="136" t="s">
        <v>15</v>
      </c>
      <c r="AM4" s="117">
        <v>0</v>
      </c>
      <c r="AN4" s="137">
        <v>554.31999999999925</v>
      </c>
      <c r="AO4" s="118">
        <v>111.52000000000001</v>
      </c>
    </row>
    <row r="5" spans="1:41" ht="22.5" customHeight="1">
      <c r="A5" s="15">
        <v>4</v>
      </c>
      <c r="B5" s="16" t="s">
        <v>111</v>
      </c>
      <c r="C5" s="17" t="s">
        <v>109</v>
      </c>
      <c r="D5" s="18"/>
      <c r="E5" s="16">
        <v>31.75</v>
      </c>
      <c r="F5" s="18"/>
      <c r="G5" s="16"/>
      <c r="H5" s="16">
        <f ca="1">IFERROR(__xludf.DUMMYFUNCTION("IFERROR(GOOGLEFINANCE(""NSE:""&amp;B5,""price""),"""")"),31.69)</f>
        <v>31.69</v>
      </c>
      <c r="I5" s="15">
        <v>251</v>
      </c>
      <c r="J5" s="16">
        <f t="shared" si="0"/>
        <v>7969.25</v>
      </c>
      <c r="K5" s="16">
        <f t="shared" si="1"/>
        <v>7969.25</v>
      </c>
      <c r="L5" s="16">
        <f t="shared" ca="1" si="2"/>
        <v>-15.059999999999679</v>
      </c>
      <c r="M5" s="19">
        <f t="shared" ca="1" si="3"/>
        <v>-1.8897637795275187E-3</v>
      </c>
      <c r="N5" s="16">
        <f ca="1">IFERROR(__xludf.DUMMYFUNCTION("IFERROR(IF(G5&gt;0,0,GOOGLEFINANCE(""NSE:""&amp;B5,""change"")),0)"),-0.12)</f>
        <v>-0.12</v>
      </c>
      <c r="O5" s="16">
        <f t="shared" ca="1" si="4"/>
        <v>-30.119999999999997</v>
      </c>
      <c r="P5" s="16">
        <f t="shared" si="5"/>
        <v>0</v>
      </c>
      <c r="Q5" s="19">
        <f t="shared" si="6"/>
        <v>0</v>
      </c>
      <c r="R5" s="16">
        <f t="shared" si="7"/>
        <v>7.9692499999999997</v>
      </c>
      <c r="S5" s="16">
        <f t="shared" si="8"/>
        <v>0.25900062499999998</v>
      </c>
      <c r="T5" s="16">
        <f t="shared" si="9"/>
        <v>4.6620112499999998E-2</v>
      </c>
      <c r="U5" s="16">
        <f t="shared" si="10"/>
        <v>3.9846249999999995E-3</v>
      </c>
      <c r="V5" s="16">
        <f t="shared" si="11"/>
        <v>8.2788553624999981</v>
      </c>
      <c r="W5" s="16">
        <f t="shared" ref="W5:W6" si="17">IF(G6&gt;0,15.34,0)</f>
        <v>0</v>
      </c>
      <c r="X5" s="16">
        <f t="shared" si="13"/>
        <v>8.2788553624999981</v>
      </c>
      <c r="Y5" s="16">
        <f t="shared" ref="Y5:Y6" si="18">IF(G6&gt;0,P5-X5,0)</f>
        <v>0</v>
      </c>
      <c r="Z5" s="19">
        <f t="shared" si="15"/>
        <v>0</v>
      </c>
      <c r="AA5" s="21">
        <f t="shared" si="16"/>
        <v>50000</v>
      </c>
      <c r="AB5" s="22" t="s">
        <v>101</v>
      </c>
      <c r="AC5" s="22" t="s">
        <v>102</v>
      </c>
      <c r="AD5" s="23" t="s">
        <v>103</v>
      </c>
      <c r="AE5" s="24">
        <f>AE4/AE2</f>
        <v>0</v>
      </c>
      <c r="AG5" s="143"/>
      <c r="AH5" s="138" t="s">
        <v>34</v>
      </c>
      <c r="AI5" s="120">
        <v>1297.0999999999992</v>
      </c>
      <c r="AJ5" s="121">
        <v>0</v>
      </c>
      <c r="AL5" s="138" t="s">
        <v>34</v>
      </c>
      <c r="AM5" s="120">
        <v>0</v>
      </c>
      <c r="AN5" s="139">
        <v>1297.0999999999992</v>
      </c>
      <c r="AO5" s="121">
        <v>76.5</v>
      </c>
    </row>
    <row r="6" spans="1:41" ht="22.5" customHeight="1">
      <c r="A6" s="15">
        <v>5</v>
      </c>
      <c r="B6" s="25" t="s">
        <v>112</v>
      </c>
      <c r="C6" s="17" t="s">
        <v>109</v>
      </c>
      <c r="D6" s="18"/>
      <c r="E6" s="16">
        <v>151.87</v>
      </c>
      <c r="F6" s="18"/>
      <c r="G6" s="16"/>
      <c r="H6" s="16">
        <f ca="1">IFERROR(__xludf.DUMMYFUNCTION("IFERROR(GOOGLEFINANCE(""NSE:""&amp;B6,""price""),"""")"),203.12)</f>
        <v>203.12</v>
      </c>
      <c r="I6" s="15">
        <v>47</v>
      </c>
      <c r="J6" s="16">
        <f t="shared" si="0"/>
        <v>7137.89</v>
      </c>
      <c r="K6" s="16">
        <f t="shared" si="1"/>
        <v>7137.89</v>
      </c>
      <c r="L6" s="16">
        <f t="shared" ca="1" si="2"/>
        <v>2408.75</v>
      </c>
      <c r="M6" s="19">
        <f t="shared" ca="1" si="3"/>
        <v>0.33745966945413841</v>
      </c>
      <c r="N6" s="16">
        <f ca="1">IFERROR(__xludf.DUMMYFUNCTION("IFERROR(IF(G6&gt;0,0,GOOGLEFINANCE(""NSE:""&amp;B6,""change"")),0)"),1.84)</f>
        <v>1.84</v>
      </c>
      <c r="O6" s="16">
        <f t="shared" ca="1" si="4"/>
        <v>86.48</v>
      </c>
      <c r="P6" s="16">
        <f t="shared" si="5"/>
        <v>0</v>
      </c>
      <c r="Q6" s="19">
        <f t="shared" si="6"/>
        <v>0</v>
      </c>
      <c r="R6" s="16">
        <f t="shared" si="7"/>
        <v>7.1378900000000005</v>
      </c>
      <c r="S6" s="16">
        <f t="shared" si="8"/>
        <v>0.23198142499999999</v>
      </c>
      <c r="T6" s="16">
        <f t="shared" si="9"/>
        <v>4.1756656499999996E-2</v>
      </c>
      <c r="U6" s="16">
        <f t="shared" si="10"/>
        <v>3.568945E-3</v>
      </c>
      <c r="V6" s="16">
        <f t="shared" si="11"/>
        <v>7.4151970264999996</v>
      </c>
      <c r="W6" s="16">
        <f t="shared" si="17"/>
        <v>0</v>
      </c>
      <c r="X6" s="16">
        <f t="shared" si="13"/>
        <v>7.4151970264999996</v>
      </c>
      <c r="Y6" s="16">
        <f t="shared" si="18"/>
        <v>0</v>
      </c>
      <c r="Z6" s="19">
        <f t="shared" si="15"/>
        <v>0</v>
      </c>
      <c r="AA6" s="21">
        <f t="shared" si="16"/>
        <v>50000</v>
      </c>
      <c r="AB6" s="22" t="s">
        <v>101</v>
      </c>
      <c r="AC6" s="22"/>
      <c r="AD6" s="22"/>
      <c r="AE6" s="26"/>
      <c r="AG6" s="143"/>
      <c r="AH6" s="138" t="s">
        <v>110</v>
      </c>
      <c r="AI6" s="120">
        <v>-9.8999999999997499</v>
      </c>
      <c r="AJ6" s="121">
        <v>0</v>
      </c>
      <c r="AL6" s="138" t="s">
        <v>110</v>
      </c>
      <c r="AM6" s="120">
        <v>0</v>
      </c>
      <c r="AN6" s="139">
        <v>-9.8999999999997499</v>
      </c>
      <c r="AO6" s="121">
        <v>13.2</v>
      </c>
    </row>
    <row r="7" spans="1:41" ht="22.5" customHeight="1">
      <c r="A7" s="15">
        <v>6</v>
      </c>
      <c r="B7" s="25" t="s">
        <v>27</v>
      </c>
      <c r="C7" s="17" t="s">
        <v>109</v>
      </c>
      <c r="D7" s="18"/>
      <c r="E7" s="16">
        <v>116.64</v>
      </c>
      <c r="F7" s="18"/>
      <c r="G7" s="16"/>
      <c r="H7" s="16">
        <f ca="1">IFERROR(__xludf.DUMMYFUNCTION("IFERROR(GOOGLEFINANCE(""NSE:""&amp;B7,""price""),"""")"),116.72)</f>
        <v>116.72</v>
      </c>
      <c r="I7" s="15">
        <v>147</v>
      </c>
      <c r="J7" s="16">
        <f t="shared" si="0"/>
        <v>17146.080000000002</v>
      </c>
      <c r="K7" s="16">
        <f t="shared" si="1"/>
        <v>17146.080000000002</v>
      </c>
      <c r="L7" s="16">
        <f t="shared" ca="1" si="2"/>
        <v>11.759999999999749</v>
      </c>
      <c r="M7" s="19">
        <f t="shared" ca="1" si="3"/>
        <v>6.8587105624141203E-4</v>
      </c>
      <c r="N7" s="16">
        <f ca="1">IFERROR(__xludf.DUMMYFUNCTION("IFERROR(IF(G7&gt;0,0,GOOGLEFINANCE(""NSE:""&amp;B7,""change"")),0)"),0.58)</f>
        <v>0.57999999999999996</v>
      </c>
      <c r="O7" s="16">
        <f t="shared" ca="1" si="4"/>
        <v>85.259999999999991</v>
      </c>
      <c r="P7" s="16">
        <f t="shared" si="5"/>
        <v>0</v>
      </c>
      <c r="Q7" s="19">
        <f t="shared" si="6"/>
        <v>0</v>
      </c>
      <c r="R7" s="16" t="e">
        <f t="shared" ref="R7:R9" si="19">0.001*#REF!</f>
        <v>#REF!</v>
      </c>
      <c r="S7" s="16" t="e">
        <f t="shared" ref="S7:S9" si="20">0.0000325*#REF!</f>
        <v>#REF!</v>
      </c>
      <c r="T7" s="16" t="e">
        <f t="shared" si="9"/>
        <v>#REF!</v>
      </c>
      <c r="U7" s="16" t="e">
        <f t="shared" ref="U7:U9" si="21">0.0000005*#REF!</f>
        <v>#REF!</v>
      </c>
      <c r="V7" s="16" t="e">
        <f t="shared" si="11"/>
        <v>#REF!</v>
      </c>
      <c r="W7" s="16" t="e">
        <f t="shared" ref="W7:W9" si="22">IF(#REF!&gt;0,15.34,0)</f>
        <v>#REF!</v>
      </c>
      <c r="X7" s="16" t="e">
        <f t="shared" si="13"/>
        <v>#REF!</v>
      </c>
      <c r="Y7" s="16" t="e">
        <f t="shared" ref="Y7:Y9" si="23">IF(#REF!&gt;0,P7-X7,0)</f>
        <v>#REF!</v>
      </c>
      <c r="Z7" s="19" t="e">
        <f t="shared" ref="Z7:Z9" si="24">Y7/#REF!</f>
        <v>#REF!</v>
      </c>
      <c r="AA7" s="21" t="e">
        <f t="shared" si="16"/>
        <v>#REF!</v>
      </c>
      <c r="AB7" s="22" t="s">
        <v>101</v>
      </c>
      <c r="AC7" s="6" t="s">
        <v>105</v>
      </c>
      <c r="AD7" s="114" t="s">
        <v>76</v>
      </c>
      <c r="AE7" s="125" t="s">
        <v>8</v>
      </c>
      <c r="AG7" s="143"/>
      <c r="AH7" s="138" t="s">
        <v>111</v>
      </c>
      <c r="AI7" s="120">
        <v>-15.059999999999679</v>
      </c>
      <c r="AJ7" s="121">
        <v>0</v>
      </c>
      <c r="AL7" s="138" t="s">
        <v>111</v>
      </c>
      <c r="AM7" s="120">
        <v>0</v>
      </c>
      <c r="AN7" s="139">
        <v>-15.059999999999679</v>
      </c>
      <c r="AO7" s="121">
        <v>-30.119999999999997</v>
      </c>
    </row>
    <row r="8" spans="1:41" ht="22.5" customHeight="1">
      <c r="A8" s="15">
        <v>7</v>
      </c>
      <c r="B8" s="16" t="s">
        <v>31</v>
      </c>
      <c r="C8" s="17" t="s">
        <v>109</v>
      </c>
      <c r="D8" s="18"/>
      <c r="E8" s="16">
        <v>80.69</v>
      </c>
      <c r="F8" s="18"/>
      <c r="G8" s="16"/>
      <c r="H8" s="16">
        <f ca="1">IFERROR(__xludf.DUMMYFUNCTION("IFERROR(GOOGLEFINANCE(""NSE:""&amp;B8,""price""),"""")"),84.9)</f>
        <v>84.9</v>
      </c>
      <c r="I8" s="15">
        <v>25</v>
      </c>
      <c r="J8" s="16">
        <f t="shared" si="0"/>
        <v>2017.25</v>
      </c>
      <c r="K8" s="16">
        <f t="shared" si="1"/>
        <v>2017.25</v>
      </c>
      <c r="L8" s="16">
        <f t="shared" ca="1" si="2"/>
        <v>105.2500000000002</v>
      </c>
      <c r="M8" s="19">
        <f t="shared" ca="1" si="3"/>
        <v>5.2174990705168026E-2</v>
      </c>
      <c r="N8" s="16">
        <f ca="1">IFERROR(__xludf.DUMMYFUNCTION("IFERROR(IF(G8&gt;0,0,GOOGLEFINANCE(""NSE:""&amp;B8,""change"")),0)"),-0.45)</f>
        <v>-0.45</v>
      </c>
      <c r="O8" s="16">
        <f t="shared" ca="1" si="4"/>
        <v>-11.25</v>
      </c>
      <c r="P8" s="16">
        <f t="shared" si="5"/>
        <v>0</v>
      </c>
      <c r="Q8" s="19">
        <f t="shared" si="6"/>
        <v>0</v>
      </c>
      <c r="R8" s="16" t="e">
        <f t="shared" si="19"/>
        <v>#REF!</v>
      </c>
      <c r="S8" s="16" t="e">
        <f t="shared" si="20"/>
        <v>#REF!</v>
      </c>
      <c r="T8" s="16" t="e">
        <f t="shared" si="9"/>
        <v>#REF!</v>
      </c>
      <c r="U8" s="16" t="e">
        <f t="shared" si="21"/>
        <v>#REF!</v>
      </c>
      <c r="V8" s="16" t="e">
        <f t="shared" si="11"/>
        <v>#REF!</v>
      </c>
      <c r="W8" s="16" t="e">
        <f t="shared" si="22"/>
        <v>#REF!</v>
      </c>
      <c r="X8" s="16" t="e">
        <f t="shared" si="13"/>
        <v>#REF!</v>
      </c>
      <c r="Y8" s="16" t="e">
        <f t="shared" si="23"/>
        <v>#REF!</v>
      </c>
      <c r="Z8" s="19" t="e">
        <f t="shared" si="24"/>
        <v>#REF!</v>
      </c>
      <c r="AA8" s="21" t="e">
        <f t="shared" si="16"/>
        <v>#REF!</v>
      </c>
      <c r="AB8" s="27" t="s">
        <v>106</v>
      </c>
      <c r="AC8" s="6" t="s">
        <v>102</v>
      </c>
      <c r="AD8" s="113" t="s">
        <v>276</v>
      </c>
      <c r="AE8" s="127">
        <v>0</v>
      </c>
      <c r="AG8" s="143"/>
      <c r="AH8" s="138" t="s">
        <v>112</v>
      </c>
      <c r="AI8" s="120">
        <v>2408.75</v>
      </c>
      <c r="AJ8" s="121">
        <v>0</v>
      </c>
      <c r="AL8" s="138" t="s">
        <v>112</v>
      </c>
      <c r="AM8" s="120">
        <v>0</v>
      </c>
      <c r="AN8" s="139">
        <v>2408.75</v>
      </c>
      <c r="AO8" s="121">
        <v>86.48</v>
      </c>
    </row>
    <row r="9" spans="1:41" ht="22.5" customHeight="1">
      <c r="A9" s="15">
        <v>8</v>
      </c>
      <c r="B9" s="16" t="s">
        <v>113</v>
      </c>
      <c r="C9" s="17" t="s">
        <v>109</v>
      </c>
      <c r="D9" s="18"/>
      <c r="E9" s="16">
        <v>1202.55</v>
      </c>
      <c r="F9" s="18"/>
      <c r="G9" s="16"/>
      <c r="H9" s="16">
        <f ca="1">IFERROR(__xludf.DUMMYFUNCTION("IFERROR(GOOGLEFINANCE(""NSE:""&amp;B9,""price""),"""")"),1170.2)</f>
        <v>1170.2</v>
      </c>
      <c r="I9" s="15">
        <v>5</v>
      </c>
      <c r="J9" s="16">
        <f t="shared" si="0"/>
        <v>6012.75</v>
      </c>
      <c r="K9" s="16">
        <f t="shared" si="1"/>
        <v>6012.75</v>
      </c>
      <c r="L9" s="16">
        <f t="shared" ca="1" si="2"/>
        <v>-161.74999999999955</v>
      </c>
      <c r="M9" s="19">
        <f t="shared" ca="1" si="3"/>
        <v>-2.6901168350588259E-2</v>
      </c>
      <c r="N9" s="16">
        <f ca="1">IFERROR(__xludf.DUMMYFUNCTION("IFERROR(IF(G9&gt;0,0,GOOGLEFINANCE(""NSE:""&amp;B9,""change"")),0)"),-10)</f>
        <v>-10</v>
      </c>
      <c r="O9" s="16">
        <f t="shared" ca="1" si="4"/>
        <v>-50</v>
      </c>
      <c r="P9" s="16">
        <f t="shared" si="5"/>
        <v>0</v>
      </c>
      <c r="Q9" s="19">
        <f t="shared" si="6"/>
        <v>0</v>
      </c>
      <c r="R9" s="16" t="e">
        <f t="shared" si="19"/>
        <v>#REF!</v>
      </c>
      <c r="S9" s="16" t="e">
        <f t="shared" si="20"/>
        <v>#REF!</v>
      </c>
      <c r="T9" s="16" t="e">
        <f t="shared" si="9"/>
        <v>#REF!</v>
      </c>
      <c r="U9" s="16" t="e">
        <f t="shared" si="21"/>
        <v>#REF!</v>
      </c>
      <c r="V9" s="16" t="e">
        <f t="shared" si="11"/>
        <v>#REF!</v>
      </c>
      <c r="W9" s="16" t="e">
        <f t="shared" si="22"/>
        <v>#REF!</v>
      </c>
      <c r="X9" s="16" t="e">
        <f t="shared" si="13"/>
        <v>#REF!</v>
      </c>
      <c r="Y9" s="16" t="e">
        <f t="shared" si="23"/>
        <v>#REF!</v>
      </c>
      <c r="Z9" s="19" t="e">
        <f t="shared" si="24"/>
        <v>#REF!</v>
      </c>
      <c r="AA9" s="21" t="e">
        <f t="shared" si="16"/>
        <v>#REF!</v>
      </c>
      <c r="AB9" s="27" t="s">
        <v>106</v>
      </c>
      <c r="AC9" s="6" t="s">
        <v>102</v>
      </c>
      <c r="AD9" s="122" t="s">
        <v>48</v>
      </c>
      <c r="AE9" s="131">
        <v>0</v>
      </c>
      <c r="AG9" s="143"/>
      <c r="AH9" s="138" t="s">
        <v>27</v>
      </c>
      <c r="AI9" s="120">
        <v>11.759999999999749</v>
      </c>
      <c r="AJ9" s="121">
        <v>0</v>
      </c>
      <c r="AL9" s="138" t="s">
        <v>27</v>
      </c>
      <c r="AM9" s="120">
        <v>0</v>
      </c>
      <c r="AN9" s="139">
        <v>11.759999999999749</v>
      </c>
      <c r="AO9" s="121">
        <v>85.259999999999991</v>
      </c>
    </row>
    <row r="10" spans="1:41" ht="22.5" customHeight="1">
      <c r="A10" s="15">
        <v>9</v>
      </c>
      <c r="B10" s="16" t="s">
        <v>114</v>
      </c>
      <c r="C10" s="17" t="s">
        <v>109</v>
      </c>
      <c r="D10" s="18"/>
      <c r="E10" s="16">
        <v>37.770000000000003</v>
      </c>
      <c r="F10" s="18"/>
      <c r="G10" s="16"/>
      <c r="H10" s="16">
        <f ca="1">IFERROR(__xludf.DUMMYFUNCTION("IFERROR(GOOGLEFINANCE(""NSE:""&amp;B10,""price""),"""")"),40.99)</f>
        <v>40.99</v>
      </c>
      <c r="I10" s="15">
        <v>80</v>
      </c>
      <c r="J10" s="16">
        <f t="shared" si="0"/>
        <v>3021.6000000000004</v>
      </c>
      <c r="K10" s="16">
        <f t="shared" si="1"/>
        <v>3021.6000000000004</v>
      </c>
      <c r="L10" s="16">
        <f t="shared" ca="1" si="2"/>
        <v>257.59999999999991</v>
      </c>
      <c r="M10" s="19">
        <f t="shared" ca="1" si="3"/>
        <v>8.5252846174212304E-2</v>
      </c>
      <c r="N10" s="16">
        <f ca="1">IFERROR(__xludf.DUMMYFUNCTION("IFERROR(IF(G10&gt;0,0,GOOGLEFINANCE(""NSE:""&amp;B10,""change"")),0)"),-0.34)</f>
        <v>-0.34</v>
      </c>
      <c r="O10" s="16">
        <f t="shared" ca="1" si="4"/>
        <v>-27.200000000000003</v>
      </c>
      <c r="P10" s="16">
        <f t="shared" si="5"/>
        <v>0</v>
      </c>
      <c r="Q10" s="19">
        <f t="shared" si="6"/>
        <v>0</v>
      </c>
      <c r="R10" s="16"/>
      <c r="S10" s="16"/>
      <c r="T10" s="16"/>
      <c r="U10" s="16"/>
      <c r="V10" s="16"/>
      <c r="W10" s="16"/>
      <c r="X10" s="16"/>
      <c r="Y10" s="16"/>
      <c r="Z10" s="19"/>
      <c r="AA10" s="16"/>
      <c r="AB10" s="27" t="s">
        <v>107</v>
      </c>
      <c r="AC10" s="6" t="s">
        <v>102</v>
      </c>
      <c r="AE10" s="8"/>
      <c r="AG10" s="143"/>
      <c r="AH10" s="138" t="s">
        <v>31</v>
      </c>
      <c r="AI10" s="120">
        <v>105.2500000000002</v>
      </c>
      <c r="AJ10" s="121">
        <v>0</v>
      </c>
      <c r="AL10" s="138" t="s">
        <v>31</v>
      </c>
      <c r="AM10" s="120">
        <v>0</v>
      </c>
      <c r="AN10" s="139">
        <v>105.2500000000002</v>
      </c>
      <c r="AO10" s="121">
        <v>-11.25</v>
      </c>
    </row>
    <row r="11" spans="1:41" ht="22.5" customHeight="1">
      <c r="A11" s="15">
        <v>10</v>
      </c>
      <c r="B11" s="28" t="s">
        <v>115</v>
      </c>
      <c r="C11" s="17" t="s">
        <v>109</v>
      </c>
      <c r="D11" s="18"/>
      <c r="E11" s="16">
        <v>33.909999999999997</v>
      </c>
      <c r="F11" s="29"/>
      <c r="G11" s="16"/>
      <c r="H11" s="16">
        <f ca="1">IFERROR(__xludf.DUMMYFUNCTION("IFERROR(GOOGLEFINANCE(""NSE:""&amp;B11,""price""),"""")"),1.08)</f>
        <v>1.08</v>
      </c>
      <c r="I11" s="15">
        <v>200</v>
      </c>
      <c r="J11" s="16">
        <f t="shared" si="0"/>
        <v>6781.9999999999991</v>
      </c>
      <c r="K11" s="16">
        <f t="shared" si="1"/>
        <v>6781.9999999999991</v>
      </c>
      <c r="L11" s="16">
        <f t="shared" ca="1" si="2"/>
        <v>-6566</v>
      </c>
      <c r="M11" s="19">
        <f t="shared" ca="1" si="3"/>
        <v>-0.96815098790917142</v>
      </c>
      <c r="N11" s="16">
        <f ca="1">IFERROR(__xludf.DUMMYFUNCTION("IFERROR(IF(G11&gt;0,0,GOOGLEFINANCE(""NSE:""&amp;B11,""change"")),0)"),-0.05)</f>
        <v>-0.05</v>
      </c>
      <c r="O11" s="16">
        <f t="shared" ca="1" si="4"/>
        <v>-10</v>
      </c>
      <c r="P11" s="16">
        <f t="shared" si="5"/>
        <v>0</v>
      </c>
      <c r="Q11" s="19">
        <f t="shared" si="6"/>
        <v>0</v>
      </c>
      <c r="R11" s="16"/>
      <c r="S11" s="16"/>
      <c r="T11" s="16"/>
      <c r="U11" s="16"/>
      <c r="V11" s="16"/>
      <c r="W11" s="16"/>
      <c r="X11" s="16"/>
      <c r="Y11" s="16"/>
      <c r="Z11" s="19"/>
      <c r="AA11" s="16"/>
      <c r="AC11" s="6" t="s">
        <v>102</v>
      </c>
      <c r="AG11" s="143"/>
      <c r="AH11" s="138" t="s">
        <v>113</v>
      </c>
      <c r="AI11" s="120">
        <v>-161.74999999999955</v>
      </c>
      <c r="AJ11" s="121">
        <v>0</v>
      </c>
      <c r="AL11" s="138" t="s">
        <v>113</v>
      </c>
      <c r="AM11" s="120">
        <v>0</v>
      </c>
      <c r="AN11" s="139">
        <v>-161.74999999999955</v>
      </c>
      <c r="AO11" s="121">
        <v>-50</v>
      </c>
    </row>
    <row r="12" spans="1:41" ht="22.5" customHeight="1">
      <c r="A12" s="15">
        <v>11</v>
      </c>
      <c r="B12" s="28" t="s">
        <v>116</v>
      </c>
      <c r="C12" s="17" t="s">
        <v>109</v>
      </c>
      <c r="D12" s="18"/>
      <c r="E12" s="16">
        <v>1154.8</v>
      </c>
      <c r="F12" s="18"/>
      <c r="G12" s="16"/>
      <c r="H12" s="16">
        <f ca="1">IFERROR(__xludf.DUMMYFUNCTION("IFERROR(GOOGLEFINANCE(""NSE:""&amp;B12,""price""),"""")"),1185.2)</f>
        <v>1185.2</v>
      </c>
      <c r="I12" s="15">
        <v>12</v>
      </c>
      <c r="J12" s="16">
        <f t="shared" si="0"/>
        <v>13857.599999999999</v>
      </c>
      <c r="K12" s="16">
        <f t="shared" si="1"/>
        <v>13857.599999999999</v>
      </c>
      <c r="L12" s="16">
        <f t="shared" ca="1" si="2"/>
        <v>364.80000000000109</v>
      </c>
      <c r="M12" s="19">
        <f t="shared" ca="1" si="3"/>
        <v>2.6324904745410542E-2</v>
      </c>
      <c r="N12" s="16">
        <f ca="1">IFERROR(__xludf.DUMMYFUNCTION("IFERROR(IF(G12&gt;0,0,GOOGLEFINANCE(""NSE:""&amp;B12,""change"")),0)"),6.4)</f>
        <v>6.4</v>
      </c>
      <c r="O12" s="16">
        <f t="shared" ca="1" si="4"/>
        <v>76.800000000000011</v>
      </c>
      <c r="P12" s="16">
        <f t="shared" si="5"/>
        <v>0</v>
      </c>
      <c r="Q12" s="19">
        <f t="shared" si="6"/>
        <v>0</v>
      </c>
      <c r="R12" s="16"/>
      <c r="S12" s="16"/>
      <c r="T12" s="16"/>
      <c r="U12" s="16"/>
      <c r="V12" s="16"/>
      <c r="W12" s="16"/>
      <c r="X12" s="16"/>
      <c r="Y12" s="16"/>
      <c r="Z12" s="19"/>
      <c r="AA12" s="16"/>
      <c r="AB12" s="27" t="s">
        <v>108</v>
      </c>
      <c r="AG12" s="143"/>
      <c r="AH12" s="138" t="s">
        <v>114</v>
      </c>
      <c r="AI12" s="120">
        <v>257.59999999999991</v>
      </c>
      <c r="AJ12" s="121">
        <v>0</v>
      </c>
      <c r="AL12" s="138" t="s">
        <v>114</v>
      </c>
      <c r="AM12" s="120">
        <v>0</v>
      </c>
      <c r="AN12" s="139">
        <v>257.59999999999991</v>
      </c>
      <c r="AO12" s="121">
        <v>-27.200000000000003</v>
      </c>
    </row>
    <row r="13" spans="1:41" ht="22.5" customHeight="1">
      <c r="A13" s="15">
        <v>12</v>
      </c>
      <c r="B13" s="30" t="s">
        <v>69</v>
      </c>
      <c r="C13" s="17" t="s">
        <v>109</v>
      </c>
      <c r="D13" s="18"/>
      <c r="E13" s="16">
        <v>179.29</v>
      </c>
      <c r="F13" s="18"/>
      <c r="G13" s="16"/>
      <c r="H13" s="16">
        <f ca="1">IFERROR(__xludf.DUMMYFUNCTION("IFERROR(GOOGLEFINANCE(""NSE:""&amp;B13,""price""),"""")"),170.82)</f>
        <v>170.82</v>
      </c>
      <c r="I13" s="15">
        <v>10</v>
      </c>
      <c r="J13" s="16">
        <f t="shared" si="0"/>
        <v>1792.8999999999999</v>
      </c>
      <c r="K13" s="16">
        <f t="shared" si="1"/>
        <v>1792.8999999999999</v>
      </c>
      <c r="L13" s="16">
        <f t="shared" ca="1" si="2"/>
        <v>-84.699999999999989</v>
      </c>
      <c r="M13" s="19">
        <f t="shared" ca="1" si="3"/>
        <v>-4.7241898600033458E-2</v>
      </c>
      <c r="N13" s="16">
        <f ca="1">IFERROR(__xludf.DUMMYFUNCTION("IFERROR(IF(G13&gt;0,0,GOOGLEFINANCE(""NSE:""&amp;B13,""change"")),0)"),1.6)</f>
        <v>1.6</v>
      </c>
      <c r="O13" s="16">
        <f t="shared" ca="1" si="4"/>
        <v>16</v>
      </c>
      <c r="P13" s="16">
        <f t="shared" si="5"/>
        <v>0</v>
      </c>
      <c r="Q13" s="19">
        <f t="shared" si="6"/>
        <v>0</v>
      </c>
      <c r="R13" s="16"/>
      <c r="S13" s="16"/>
      <c r="T13" s="16"/>
      <c r="U13" s="16"/>
      <c r="V13" s="16"/>
      <c r="W13" s="16"/>
      <c r="X13" s="16"/>
      <c r="Y13" s="16"/>
      <c r="Z13" s="19"/>
      <c r="AA13" s="16"/>
      <c r="AC13" s="6" t="s">
        <v>102</v>
      </c>
      <c r="AG13" s="143"/>
      <c r="AH13" s="138" t="s">
        <v>115</v>
      </c>
      <c r="AI13" s="120">
        <v>-6566</v>
      </c>
      <c r="AJ13" s="121">
        <v>0</v>
      </c>
      <c r="AL13" s="138" t="s">
        <v>115</v>
      </c>
      <c r="AM13" s="120">
        <v>0</v>
      </c>
      <c r="AN13" s="139">
        <v>-6566</v>
      </c>
      <c r="AO13" s="121">
        <v>-10</v>
      </c>
    </row>
    <row r="14" spans="1:41" ht="22.5" customHeight="1">
      <c r="A14" s="15">
        <v>13</v>
      </c>
      <c r="B14" s="15" t="s">
        <v>42</v>
      </c>
      <c r="C14" s="17" t="s">
        <v>109</v>
      </c>
      <c r="D14" s="18"/>
      <c r="E14" s="16">
        <v>203.32</v>
      </c>
      <c r="F14" s="18"/>
      <c r="G14" s="16"/>
      <c r="H14" s="16">
        <f ca="1">IFERROR(__xludf.DUMMYFUNCTION("IFERROR(GOOGLEFINANCE(""NSE:""&amp;B14,""price""),"""")"),425.5)</f>
        <v>425.5</v>
      </c>
      <c r="I14" s="15">
        <v>1</v>
      </c>
      <c r="J14" s="16">
        <f t="shared" si="0"/>
        <v>203.32</v>
      </c>
      <c r="K14" s="16">
        <f t="shared" si="1"/>
        <v>203.32</v>
      </c>
      <c r="L14" s="16">
        <f t="shared" ca="1" si="2"/>
        <v>222.18</v>
      </c>
      <c r="M14" s="19">
        <f t="shared" ca="1" si="3"/>
        <v>1.0927601809954752</v>
      </c>
      <c r="N14" s="16">
        <f ca="1">IFERROR(__xludf.DUMMYFUNCTION("IFERROR(IF(G14&gt;0,0,GOOGLEFINANCE(""NSE:""&amp;B14,""change"")),0)"),13.8)</f>
        <v>13.8</v>
      </c>
      <c r="O14" s="16">
        <f t="shared" ca="1" si="4"/>
        <v>13.8</v>
      </c>
      <c r="P14" s="16">
        <f t="shared" si="5"/>
        <v>0</v>
      </c>
      <c r="Q14" s="19">
        <f t="shared" si="6"/>
        <v>0</v>
      </c>
      <c r="R14" s="16"/>
      <c r="S14" s="16"/>
      <c r="T14" s="16"/>
      <c r="U14" s="16"/>
      <c r="V14" s="16"/>
      <c r="W14" s="16"/>
      <c r="X14" s="16"/>
      <c r="Y14" s="16"/>
      <c r="Z14" s="19"/>
      <c r="AA14" s="16"/>
      <c r="AG14" s="143"/>
      <c r="AH14" s="138" t="s">
        <v>116</v>
      </c>
      <c r="AI14" s="120">
        <v>364.80000000000109</v>
      </c>
      <c r="AJ14" s="121">
        <v>0</v>
      </c>
      <c r="AL14" s="138" t="s">
        <v>116</v>
      </c>
      <c r="AM14" s="120">
        <v>0</v>
      </c>
      <c r="AN14" s="139">
        <v>364.80000000000109</v>
      </c>
      <c r="AO14" s="121">
        <v>76.800000000000011</v>
      </c>
    </row>
    <row r="15" spans="1:41" ht="22.5" customHeight="1">
      <c r="A15" s="15">
        <v>14</v>
      </c>
      <c r="B15" s="28" t="s">
        <v>45</v>
      </c>
      <c r="C15" s="17" t="s">
        <v>109</v>
      </c>
      <c r="D15" s="18"/>
      <c r="E15" s="16">
        <v>449.4</v>
      </c>
      <c r="F15" s="18"/>
      <c r="G15" s="16"/>
      <c r="H15" s="16">
        <f ca="1">IFERROR(__xludf.DUMMYFUNCTION("IFERROR(GOOGLEFINANCE(""NSE:""&amp;B15,""price""),"""")"),362.6)</f>
        <v>362.6</v>
      </c>
      <c r="I15" s="15">
        <v>1</v>
      </c>
      <c r="J15" s="16">
        <f t="shared" si="0"/>
        <v>449.4</v>
      </c>
      <c r="K15" s="16">
        <f t="shared" si="1"/>
        <v>449.4</v>
      </c>
      <c r="L15" s="16">
        <f t="shared" ca="1" si="2"/>
        <v>-86.799999999999955</v>
      </c>
      <c r="M15" s="19">
        <f t="shared" ca="1" si="3"/>
        <v>-0.19314641744548278</v>
      </c>
      <c r="N15" s="16">
        <f ca="1">IFERROR(__xludf.DUMMYFUNCTION("IFERROR(IF(G15&gt;0,0,GOOGLEFINANCE(""NSE:""&amp;B15,""change"")),0)"),3.45)</f>
        <v>3.45</v>
      </c>
      <c r="O15" s="16">
        <f t="shared" ca="1" si="4"/>
        <v>3.45</v>
      </c>
      <c r="P15" s="16">
        <f t="shared" si="5"/>
        <v>0</v>
      </c>
      <c r="Q15" s="19">
        <f t="shared" si="6"/>
        <v>0</v>
      </c>
      <c r="R15" s="16"/>
      <c r="S15" s="16"/>
      <c r="T15" s="16"/>
      <c r="U15" s="16"/>
      <c r="V15" s="16"/>
      <c r="W15" s="16"/>
      <c r="X15" s="16"/>
      <c r="Y15" s="16"/>
      <c r="Z15" s="19"/>
      <c r="AA15" s="16"/>
      <c r="AG15" s="143"/>
      <c r="AH15" s="138" t="s">
        <v>69</v>
      </c>
      <c r="AI15" s="120">
        <v>-84.699999999999989</v>
      </c>
      <c r="AJ15" s="121">
        <v>0</v>
      </c>
      <c r="AL15" s="138" t="s">
        <v>69</v>
      </c>
      <c r="AM15" s="120">
        <v>0</v>
      </c>
      <c r="AN15" s="139">
        <v>-84.699999999999989</v>
      </c>
      <c r="AO15" s="121">
        <v>16</v>
      </c>
    </row>
    <row r="16" spans="1:41" ht="22.5" customHeight="1">
      <c r="A16" s="15">
        <v>15</v>
      </c>
      <c r="B16" s="31"/>
      <c r="C16" s="17"/>
      <c r="D16" s="18"/>
      <c r="E16" s="16"/>
      <c r="F16" s="18"/>
      <c r="G16" s="16"/>
      <c r="H16" s="16" t="str">
        <f ca="1">IFERROR(__xludf.DUMMYFUNCTION("IFERROR(GOOGLEFINANCE(""NSE:""&amp;B16,""price""),"""")"),"")</f>
        <v/>
      </c>
      <c r="I16" s="15"/>
      <c r="J16" s="16">
        <f t="shared" si="0"/>
        <v>0</v>
      </c>
      <c r="K16" s="16">
        <f t="shared" si="1"/>
        <v>0</v>
      </c>
      <c r="L16" s="16" t="e">
        <f t="shared" ca="1" si="2"/>
        <v>#VALUE!</v>
      </c>
      <c r="M16" s="19">
        <f t="shared" ca="1" si="3"/>
        <v>0</v>
      </c>
      <c r="N16" s="16">
        <f ca="1">IFERROR(__xludf.DUMMYFUNCTION("IFERROR(IF(G16&gt;0,0,GOOGLEFINANCE(""NSE:""&amp;B16,""change"")),0)"),0)</f>
        <v>0</v>
      </c>
      <c r="O16" s="16">
        <f t="shared" ca="1" si="4"/>
        <v>0</v>
      </c>
      <c r="P16" s="16">
        <f t="shared" si="5"/>
        <v>0</v>
      </c>
      <c r="Q16" s="19">
        <f t="shared" si="6"/>
        <v>0</v>
      </c>
      <c r="R16" s="16"/>
      <c r="S16" s="16"/>
      <c r="T16" s="16"/>
      <c r="U16" s="16"/>
      <c r="V16" s="16"/>
      <c r="W16" s="16"/>
      <c r="X16" s="16"/>
      <c r="Y16" s="16"/>
      <c r="Z16" s="19"/>
      <c r="AA16" s="16"/>
      <c r="AG16" s="143"/>
      <c r="AH16" s="138" t="s">
        <v>42</v>
      </c>
      <c r="AI16" s="120">
        <v>222.18</v>
      </c>
      <c r="AJ16" s="121">
        <v>0</v>
      </c>
      <c r="AL16" s="138" t="s">
        <v>42</v>
      </c>
      <c r="AM16" s="120">
        <v>0</v>
      </c>
      <c r="AN16" s="139">
        <v>222.18</v>
      </c>
      <c r="AO16" s="121">
        <v>13.8</v>
      </c>
    </row>
    <row r="17" spans="1:41" ht="22.5" customHeight="1">
      <c r="A17" s="15">
        <v>16</v>
      </c>
      <c r="B17" s="31"/>
      <c r="C17" s="17"/>
      <c r="D17" s="18"/>
      <c r="E17" s="16"/>
      <c r="F17" s="18"/>
      <c r="G17" s="16"/>
      <c r="H17" s="16" t="str">
        <f ca="1">IFERROR(__xludf.DUMMYFUNCTION("IFERROR(GOOGLEFINANCE(""NSE:""&amp;B17,""price""),"""")"),"")</f>
        <v/>
      </c>
      <c r="I17" s="15"/>
      <c r="J17" s="16">
        <f t="shared" si="0"/>
        <v>0</v>
      </c>
      <c r="K17" s="16">
        <f t="shared" si="1"/>
        <v>0</v>
      </c>
      <c r="L17" s="16" t="e">
        <f t="shared" ca="1" si="2"/>
        <v>#VALUE!</v>
      </c>
      <c r="M17" s="19">
        <f t="shared" ca="1" si="3"/>
        <v>0</v>
      </c>
      <c r="N17" s="16">
        <f ca="1">IFERROR(__xludf.DUMMYFUNCTION("IFERROR(IF(G17&gt;0,0,GOOGLEFINANCE(""NSE:""&amp;B17,""change"")),0)"),0)</f>
        <v>0</v>
      </c>
      <c r="O17" s="16">
        <f t="shared" ca="1" si="4"/>
        <v>0</v>
      </c>
      <c r="P17" s="16">
        <f t="shared" si="5"/>
        <v>0</v>
      </c>
      <c r="Q17" s="19">
        <f t="shared" si="6"/>
        <v>0</v>
      </c>
      <c r="R17" s="16"/>
      <c r="S17" s="16"/>
      <c r="T17" s="16"/>
      <c r="U17" s="16"/>
      <c r="V17" s="16"/>
      <c r="W17" s="16"/>
      <c r="X17" s="16"/>
      <c r="Y17" s="16"/>
      <c r="Z17" s="19"/>
      <c r="AA17" s="16"/>
      <c r="AG17" s="143"/>
      <c r="AH17" s="138" t="s">
        <v>45</v>
      </c>
      <c r="AI17" s="120">
        <v>-86.799999999999955</v>
      </c>
      <c r="AJ17" s="121">
        <v>0</v>
      </c>
      <c r="AL17" s="138" t="s">
        <v>45</v>
      </c>
      <c r="AM17" s="120">
        <v>0</v>
      </c>
      <c r="AN17" s="139">
        <v>-86.799999999999955</v>
      </c>
      <c r="AO17" s="121">
        <v>3.45</v>
      </c>
    </row>
    <row r="18" spans="1:41" ht="22.5" customHeight="1">
      <c r="A18" s="15">
        <v>17</v>
      </c>
      <c r="B18" s="30"/>
      <c r="C18" s="17"/>
      <c r="D18" s="18"/>
      <c r="E18" s="16"/>
      <c r="F18" s="18"/>
      <c r="G18" s="16"/>
      <c r="H18" s="16" t="str">
        <f ca="1">IFERROR(__xludf.DUMMYFUNCTION("IFERROR(GOOGLEFINANCE(""NSE:""&amp;B18,""price""),"""")"),"")</f>
        <v/>
      </c>
      <c r="I18" s="15"/>
      <c r="J18" s="16">
        <f t="shared" si="0"/>
        <v>0</v>
      </c>
      <c r="K18" s="16">
        <f t="shared" si="1"/>
        <v>0</v>
      </c>
      <c r="L18" s="16" t="e">
        <f t="shared" ca="1" si="2"/>
        <v>#VALUE!</v>
      </c>
      <c r="M18" s="19">
        <f t="shared" ca="1" si="3"/>
        <v>0</v>
      </c>
      <c r="N18" s="16">
        <f ca="1">IFERROR(__xludf.DUMMYFUNCTION("IFERROR(IF(G18&gt;0,0,GOOGLEFINANCE(""NSE:""&amp;B18,""change"")),0)"),0)</f>
        <v>0</v>
      </c>
      <c r="O18" s="16">
        <f t="shared" ca="1" si="4"/>
        <v>0</v>
      </c>
      <c r="P18" s="16">
        <f t="shared" si="5"/>
        <v>0</v>
      </c>
      <c r="Q18" s="19">
        <f t="shared" si="6"/>
        <v>0</v>
      </c>
      <c r="R18" s="16"/>
      <c r="S18" s="16"/>
      <c r="T18" s="16"/>
      <c r="U18" s="16"/>
      <c r="V18" s="16"/>
      <c r="W18" s="16"/>
      <c r="X18" s="16"/>
      <c r="Y18" s="16"/>
      <c r="Z18" s="19"/>
      <c r="AA18" s="16"/>
      <c r="AG18" s="113" t="s">
        <v>276</v>
      </c>
      <c r="AH18" s="136" t="s">
        <v>276</v>
      </c>
      <c r="AI18" s="117" t="e">
        <v>#VALUE!</v>
      </c>
      <c r="AJ18" s="118">
        <v>0</v>
      </c>
      <c r="AL18" s="138" t="s">
        <v>276</v>
      </c>
      <c r="AM18" s="120">
        <v>0</v>
      </c>
      <c r="AN18" s="139" t="e">
        <v>#VALUE!</v>
      </c>
      <c r="AO18" s="121">
        <v>0</v>
      </c>
    </row>
    <row r="19" spans="1:41" ht="22.5" customHeight="1">
      <c r="A19" s="15">
        <v>18</v>
      </c>
      <c r="B19" s="31"/>
      <c r="C19" s="17"/>
      <c r="D19" s="18"/>
      <c r="E19" s="16"/>
      <c r="F19" s="18"/>
      <c r="G19" s="16"/>
      <c r="H19" s="16" t="str">
        <f ca="1">IFERROR(__xludf.DUMMYFUNCTION("IFERROR(GOOGLEFINANCE(""NSE:""&amp;B19,""price""),"""")"),"")</f>
        <v/>
      </c>
      <c r="I19" s="15"/>
      <c r="J19" s="16">
        <f t="shared" si="0"/>
        <v>0</v>
      </c>
      <c r="K19" s="16">
        <f t="shared" si="1"/>
        <v>0</v>
      </c>
      <c r="L19" s="16" t="e">
        <f t="shared" ca="1" si="2"/>
        <v>#VALUE!</v>
      </c>
      <c r="M19" s="19">
        <f t="shared" ca="1" si="3"/>
        <v>0</v>
      </c>
      <c r="N19" s="16">
        <f ca="1">IFERROR(__xludf.DUMMYFUNCTION("IFERROR(IF(G19&gt;0,0,GOOGLEFINANCE(""NSE:""&amp;B19,""change"")),0)"),0)</f>
        <v>0</v>
      </c>
      <c r="O19" s="16">
        <f t="shared" ca="1" si="4"/>
        <v>0</v>
      </c>
      <c r="P19" s="16">
        <f t="shared" si="5"/>
        <v>0</v>
      </c>
      <c r="Q19" s="19">
        <f t="shared" si="6"/>
        <v>0</v>
      </c>
      <c r="R19" s="16"/>
      <c r="S19" s="16"/>
      <c r="T19" s="16"/>
      <c r="U19" s="16"/>
      <c r="V19" s="16"/>
      <c r="W19" s="16"/>
      <c r="X19" s="16"/>
      <c r="Y19" s="16"/>
      <c r="Z19" s="19"/>
      <c r="AA19" s="16"/>
      <c r="AG19" s="122" t="s">
        <v>48</v>
      </c>
      <c r="AH19" s="142"/>
      <c r="AI19" s="123" t="e">
        <v>#VALUE!</v>
      </c>
      <c r="AJ19" s="124">
        <v>0</v>
      </c>
      <c r="AL19" s="140" t="s">
        <v>48</v>
      </c>
      <c r="AM19" s="123">
        <v>0</v>
      </c>
      <c r="AN19" s="141" t="e">
        <v>#VALUE!</v>
      </c>
      <c r="AO19" s="124">
        <v>354.44</v>
      </c>
    </row>
    <row r="20" spans="1:41" ht="22.5" customHeight="1">
      <c r="A20" s="15">
        <v>19</v>
      </c>
      <c r="B20" s="16"/>
      <c r="C20" s="17"/>
      <c r="D20" s="18"/>
      <c r="E20" s="16"/>
      <c r="F20" s="18"/>
      <c r="G20" s="16"/>
      <c r="H20" s="16" t="str">
        <f ca="1">IFERROR(__xludf.DUMMYFUNCTION("IFERROR(GOOGLEFINANCE(""NSE:""&amp;B20,""price""),"""")"),"")</f>
        <v/>
      </c>
      <c r="I20" s="15"/>
      <c r="J20" s="16">
        <f t="shared" si="0"/>
        <v>0</v>
      </c>
      <c r="K20" s="16">
        <f t="shared" si="1"/>
        <v>0</v>
      </c>
      <c r="L20" s="16" t="e">
        <f t="shared" ca="1" si="2"/>
        <v>#VALUE!</v>
      </c>
      <c r="M20" s="19">
        <f t="shared" ca="1" si="3"/>
        <v>0</v>
      </c>
      <c r="N20" s="16">
        <f ca="1">IFERROR(__xludf.DUMMYFUNCTION("IFERROR(IF(G20&gt;0,0,GOOGLEFINANCE(""NSE:""&amp;B20,""change"")),0)"),0)</f>
        <v>0</v>
      </c>
      <c r="O20" s="16">
        <f t="shared" ca="1" si="4"/>
        <v>0</v>
      </c>
      <c r="P20" s="16">
        <f t="shared" si="5"/>
        <v>0</v>
      </c>
      <c r="Q20" s="19">
        <f t="shared" si="6"/>
        <v>0</v>
      </c>
      <c r="R20" s="16"/>
      <c r="S20" s="16"/>
      <c r="T20" s="16"/>
      <c r="U20" s="16"/>
      <c r="V20" s="16"/>
      <c r="W20" s="16"/>
      <c r="X20" s="16"/>
      <c r="Y20" s="16"/>
      <c r="Z20" s="19"/>
      <c r="AA20" s="16"/>
    </row>
    <row r="21" spans="1:41" ht="22.5" customHeight="1">
      <c r="A21" s="15">
        <v>20</v>
      </c>
      <c r="B21" s="16"/>
      <c r="C21" s="15"/>
      <c r="D21" s="18"/>
      <c r="E21" s="16"/>
      <c r="F21" s="18"/>
      <c r="G21" s="16"/>
      <c r="H21" s="16" t="str">
        <f ca="1">IFERROR(__xludf.DUMMYFUNCTION("IFERROR(GOOGLEFINANCE(""NSE:""&amp;B21,""price""),"""")"),"")</f>
        <v/>
      </c>
      <c r="I21" s="15"/>
      <c r="J21" s="16">
        <f t="shared" si="0"/>
        <v>0</v>
      </c>
      <c r="K21" s="16">
        <f t="shared" si="1"/>
        <v>0</v>
      </c>
      <c r="L21" s="16" t="e">
        <f t="shared" ca="1" si="2"/>
        <v>#VALUE!</v>
      </c>
      <c r="M21" s="19">
        <f t="shared" ca="1" si="3"/>
        <v>0</v>
      </c>
      <c r="N21" s="16">
        <f ca="1">IFERROR(__xludf.DUMMYFUNCTION("IFERROR(IF(G21&gt;0,0,GOOGLEFINANCE(""NSE:""&amp;B21,""change"")),0)"),0)</f>
        <v>0</v>
      </c>
      <c r="O21" s="16">
        <f t="shared" ca="1" si="4"/>
        <v>0</v>
      </c>
      <c r="P21" s="16">
        <f t="shared" si="5"/>
        <v>0</v>
      </c>
      <c r="Q21" s="19">
        <f t="shared" si="6"/>
        <v>0</v>
      </c>
      <c r="R21" s="16"/>
      <c r="S21" s="16"/>
      <c r="T21" s="16"/>
      <c r="U21" s="16"/>
      <c r="V21" s="16"/>
      <c r="W21" s="16"/>
      <c r="X21" s="16"/>
      <c r="Y21" s="16"/>
      <c r="Z21" s="19"/>
      <c r="AA21" s="16"/>
    </row>
    <row r="22" spans="1:41" ht="22.5" customHeight="1">
      <c r="A22" s="15">
        <v>21</v>
      </c>
      <c r="B22" s="16"/>
      <c r="C22" s="17"/>
      <c r="D22" s="18"/>
      <c r="E22" s="16"/>
      <c r="F22" s="18"/>
      <c r="G22" s="16"/>
      <c r="H22" s="16" t="str">
        <f ca="1">IFERROR(__xludf.DUMMYFUNCTION("IFERROR(GOOGLEFINANCE(""NSE:""&amp;B22,""price""),"""")"),"")</f>
        <v/>
      </c>
      <c r="I22" s="15"/>
      <c r="J22" s="16">
        <f t="shared" si="0"/>
        <v>0</v>
      </c>
      <c r="K22" s="16">
        <f t="shared" si="1"/>
        <v>0</v>
      </c>
      <c r="L22" s="16" t="e">
        <f t="shared" ca="1" si="2"/>
        <v>#VALUE!</v>
      </c>
      <c r="M22" s="19">
        <f t="shared" ca="1" si="3"/>
        <v>0</v>
      </c>
      <c r="N22" s="16">
        <f ca="1">IFERROR(__xludf.DUMMYFUNCTION("IFERROR(IF(G22&gt;0,0,GOOGLEFINANCE(""NSE:""&amp;B22,""change"")),0)"),0)</f>
        <v>0</v>
      </c>
      <c r="O22" s="16">
        <f t="shared" ca="1" si="4"/>
        <v>0</v>
      </c>
      <c r="P22" s="16">
        <f t="shared" si="5"/>
        <v>0</v>
      </c>
      <c r="Q22" s="19">
        <f t="shared" si="6"/>
        <v>0</v>
      </c>
      <c r="R22" s="16"/>
      <c r="S22" s="16"/>
      <c r="T22" s="16"/>
      <c r="U22" s="16"/>
      <c r="V22" s="16"/>
      <c r="W22" s="16"/>
      <c r="X22" s="16"/>
      <c r="Y22" s="16"/>
      <c r="Z22" s="19"/>
      <c r="AA22" s="16"/>
    </row>
    <row r="23" spans="1:41" ht="22.5" customHeight="1">
      <c r="A23" s="15">
        <v>22</v>
      </c>
      <c r="B23" s="16"/>
      <c r="C23" s="17"/>
      <c r="D23" s="18"/>
      <c r="E23" s="16"/>
      <c r="F23" s="18"/>
      <c r="G23" s="16"/>
      <c r="H23" s="16" t="str">
        <f ca="1">IFERROR(__xludf.DUMMYFUNCTION("IFERROR(GOOGLEFINANCE(""NSE:""&amp;B23,""price""),"""")"),"")</f>
        <v/>
      </c>
      <c r="I23" s="15"/>
      <c r="J23" s="16">
        <f t="shared" si="0"/>
        <v>0</v>
      </c>
      <c r="K23" s="16">
        <f t="shared" si="1"/>
        <v>0</v>
      </c>
      <c r="L23" s="16" t="e">
        <f t="shared" ca="1" si="2"/>
        <v>#VALUE!</v>
      </c>
      <c r="M23" s="19">
        <f t="shared" ca="1" si="3"/>
        <v>0</v>
      </c>
      <c r="N23" s="16">
        <f ca="1">IFERROR(__xludf.DUMMYFUNCTION("IFERROR(IF(G23&gt;0,0,GOOGLEFINANCE(""NSE:""&amp;B23,""change"")),0)"),0)</f>
        <v>0</v>
      </c>
      <c r="O23" s="16">
        <f t="shared" ca="1" si="4"/>
        <v>0</v>
      </c>
      <c r="P23" s="16">
        <f t="shared" si="5"/>
        <v>0</v>
      </c>
      <c r="Q23" s="19">
        <f t="shared" si="6"/>
        <v>0</v>
      </c>
      <c r="R23" s="16"/>
      <c r="S23" s="16"/>
      <c r="T23" s="16"/>
      <c r="U23" s="16"/>
      <c r="V23" s="16"/>
      <c r="W23" s="16"/>
      <c r="X23" s="16"/>
      <c r="Y23" s="16"/>
      <c r="Z23" s="19"/>
      <c r="AA23" s="16"/>
    </row>
    <row r="24" spans="1:41" ht="22.5" customHeight="1">
      <c r="A24" s="15">
        <v>23</v>
      </c>
      <c r="B24" s="16"/>
      <c r="C24" s="15"/>
      <c r="D24" s="18"/>
      <c r="E24" s="16"/>
      <c r="F24" s="18"/>
      <c r="G24" s="16"/>
      <c r="H24" s="16" t="str">
        <f ca="1">IFERROR(__xludf.DUMMYFUNCTION("IFERROR(GOOGLEFINANCE(""NSE:""&amp;B24,""price""),"""")"),"")</f>
        <v/>
      </c>
      <c r="I24" s="15"/>
      <c r="J24" s="16">
        <f t="shared" si="0"/>
        <v>0</v>
      </c>
      <c r="K24" s="16">
        <f t="shared" si="1"/>
        <v>0</v>
      </c>
      <c r="L24" s="16" t="e">
        <f t="shared" ca="1" si="2"/>
        <v>#VALUE!</v>
      </c>
      <c r="M24" s="19">
        <f t="shared" ca="1" si="3"/>
        <v>0</v>
      </c>
      <c r="N24" s="16">
        <f ca="1">IFERROR(__xludf.DUMMYFUNCTION("IFERROR(IF(G24&gt;0,0,GOOGLEFINANCE(""NSE:""&amp;B24,""change"")),0)"),0)</f>
        <v>0</v>
      </c>
      <c r="O24" s="16">
        <f t="shared" ca="1" si="4"/>
        <v>0</v>
      </c>
      <c r="P24" s="16">
        <f t="shared" si="5"/>
        <v>0</v>
      </c>
      <c r="Q24" s="19">
        <f t="shared" si="6"/>
        <v>0</v>
      </c>
      <c r="R24" s="16"/>
      <c r="S24" s="16"/>
      <c r="T24" s="16"/>
      <c r="U24" s="16"/>
      <c r="V24" s="16"/>
      <c r="W24" s="16"/>
      <c r="X24" s="16"/>
      <c r="Y24" s="16"/>
      <c r="Z24" s="19"/>
      <c r="AA24" s="16"/>
    </row>
    <row r="25" spans="1:41" ht="22.5" customHeight="1">
      <c r="A25" s="15">
        <v>24</v>
      </c>
      <c r="B25" s="16"/>
      <c r="C25" s="17"/>
      <c r="D25" s="18"/>
      <c r="E25" s="16"/>
      <c r="F25" s="18"/>
      <c r="G25" s="16"/>
      <c r="H25" s="16" t="str">
        <f ca="1">IFERROR(__xludf.DUMMYFUNCTION("IFERROR(GOOGLEFINANCE(""NSE:""&amp;B25,""price""),"""")"),"")</f>
        <v/>
      </c>
      <c r="I25" s="15"/>
      <c r="J25" s="16">
        <f t="shared" si="0"/>
        <v>0</v>
      </c>
      <c r="K25" s="16">
        <f t="shared" si="1"/>
        <v>0</v>
      </c>
      <c r="L25" s="16" t="e">
        <f t="shared" ca="1" si="2"/>
        <v>#VALUE!</v>
      </c>
      <c r="M25" s="19">
        <f t="shared" ca="1" si="3"/>
        <v>0</v>
      </c>
      <c r="N25" s="16">
        <f ca="1">IFERROR(__xludf.DUMMYFUNCTION("IFERROR(IF(G25&gt;0,0,GOOGLEFINANCE(""NSE:""&amp;B25,""change"")),0)"),0)</f>
        <v>0</v>
      </c>
      <c r="O25" s="16">
        <f t="shared" ca="1" si="4"/>
        <v>0</v>
      </c>
      <c r="P25" s="16">
        <f t="shared" si="5"/>
        <v>0</v>
      </c>
      <c r="Q25" s="19">
        <f t="shared" si="6"/>
        <v>0</v>
      </c>
      <c r="R25" s="16"/>
      <c r="S25" s="16"/>
      <c r="T25" s="16"/>
      <c r="U25" s="16"/>
      <c r="V25" s="16"/>
      <c r="W25" s="16"/>
      <c r="X25" s="16"/>
      <c r="Y25" s="16"/>
      <c r="Z25" s="19"/>
      <c r="AA25" s="16"/>
      <c r="AL25" s="7"/>
    </row>
    <row r="26" spans="1:41" ht="22.5" customHeight="1">
      <c r="A26" s="15">
        <v>25</v>
      </c>
      <c r="B26" s="16"/>
      <c r="C26" s="17"/>
      <c r="D26" s="18"/>
      <c r="E26" s="16"/>
      <c r="F26" s="18"/>
      <c r="G26" s="16"/>
      <c r="H26" s="16" t="str">
        <f ca="1">IFERROR(__xludf.DUMMYFUNCTION("IFERROR(GOOGLEFINANCE(""NSE:""&amp;B26,""price""),"""")"),"")</f>
        <v/>
      </c>
      <c r="I26" s="15"/>
      <c r="J26" s="16">
        <f t="shared" si="0"/>
        <v>0</v>
      </c>
      <c r="K26" s="16">
        <f t="shared" si="1"/>
        <v>0</v>
      </c>
      <c r="L26" s="16" t="e">
        <f t="shared" ca="1" si="2"/>
        <v>#VALUE!</v>
      </c>
      <c r="M26" s="19">
        <f t="shared" ca="1" si="3"/>
        <v>0</v>
      </c>
      <c r="N26" s="16">
        <f ca="1">IFERROR(__xludf.DUMMYFUNCTION("IFERROR(IF(G26&gt;0,0,GOOGLEFINANCE(""NSE:""&amp;B26,""change"")),0)"),0)</f>
        <v>0</v>
      </c>
      <c r="O26" s="16">
        <f t="shared" ca="1" si="4"/>
        <v>0</v>
      </c>
      <c r="P26" s="16">
        <f t="shared" si="5"/>
        <v>0</v>
      </c>
      <c r="Q26" s="19">
        <f t="shared" si="6"/>
        <v>0</v>
      </c>
      <c r="R26" s="16"/>
      <c r="S26" s="16"/>
      <c r="T26" s="16"/>
      <c r="U26" s="16"/>
      <c r="V26" s="16"/>
      <c r="W26" s="16"/>
      <c r="X26" s="16"/>
      <c r="Y26" s="16"/>
      <c r="Z26" s="19"/>
      <c r="AA26" s="16"/>
    </row>
    <row r="27" spans="1:41" ht="22.5" customHeight="1">
      <c r="A27" s="15">
        <v>26</v>
      </c>
      <c r="B27" s="16"/>
      <c r="C27" s="17"/>
      <c r="D27" s="18"/>
      <c r="E27" s="16"/>
      <c r="F27" s="18"/>
      <c r="G27" s="16"/>
      <c r="H27" s="16" t="str">
        <f ca="1">IFERROR(__xludf.DUMMYFUNCTION("IFERROR(GOOGLEFINANCE(""NSE:""&amp;B27,""price""),"""")"),"")</f>
        <v/>
      </c>
      <c r="I27" s="15"/>
      <c r="J27" s="16">
        <f t="shared" si="0"/>
        <v>0</v>
      </c>
      <c r="K27" s="16">
        <f t="shared" si="1"/>
        <v>0</v>
      </c>
      <c r="L27" s="16" t="e">
        <f t="shared" ca="1" si="2"/>
        <v>#VALUE!</v>
      </c>
      <c r="M27" s="19">
        <f t="shared" ca="1" si="3"/>
        <v>0</v>
      </c>
      <c r="N27" s="16">
        <f ca="1">IFERROR(__xludf.DUMMYFUNCTION("IFERROR(IF(G27&gt;0,0,GOOGLEFINANCE(""NSE:""&amp;B27,""change"")),0)"),0)</f>
        <v>0</v>
      </c>
      <c r="O27" s="16">
        <f t="shared" ca="1" si="4"/>
        <v>0</v>
      </c>
      <c r="P27" s="16">
        <f t="shared" si="5"/>
        <v>0</v>
      </c>
      <c r="Q27" s="19">
        <f t="shared" si="6"/>
        <v>0</v>
      </c>
      <c r="R27" s="16"/>
      <c r="S27" s="16"/>
      <c r="T27" s="16"/>
      <c r="U27" s="16"/>
      <c r="V27" s="16"/>
      <c r="W27" s="16"/>
      <c r="X27" s="16"/>
      <c r="Y27" s="16"/>
      <c r="Z27" s="19"/>
      <c r="AA27" s="16"/>
    </row>
    <row r="28" spans="1:41" ht="22.5" customHeight="1">
      <c r="A28" s="15">
        <v>27</v>
      </c>
      <c r="B28" s="16"/>
      <c r="C28" s="17"/>
      <c r="D28" s="18"/>
      <c r="E28" s="16"/>
      <c r="F28" s="18"/>
      <c r="G28" s="16"/>
      <c r="H28" s="16" t="str">
        <f ca="1">IFERROR(__xludf.DUMMYFUNCTION("IFERROR(GOOGLEFINANCE(""NSE:""&amp;B28,""price""),"""")"),"")</f>
        <v/>
      </c>
      <c r="I28" s="15"/>
      <c r="J28" s="16">
        <f t="shared" si="0"/>
        <v>0</v>
      </c>
      <c r="K28" s="16">
        <f t="shared" si="1"/>
        <v>0</v>
      </c>
      <c r="L28" s="16" t="e">
        <f t="shared" ca="1" si="2"/>
        <v>#VALUE!</v>
      </c>
      <c r="M28" s="19">
        <f t="shared" ca="1" si="3"/>
        <v>0</v>
      </c>
      <c r="N28" s="16">
        <f ca="1">IFERROR(__xludf.DUMMYFUNCTION("IFERROR(IF(G28&gt;0,0,GOOGLEFINANCE(""NSE:""&amp;B28,""change"")),0)"),0)</f>
        <v>0</v>
      </c>
      <c r="O28" s="16">
        <f t="shared" ca="1" si="4"/>
        <v>0</v>
      </c>
      <c r="P28" s="16">
        <f t="shared" si="5"/>
        <v>0</v>
      </c>
      <c r="Q28" s="19">
        <f t="shared" si="6"/>
        <v>0</v>
      </c>
      <c r="R28" s="16"/>
      <c r="S28" s="16"/>
      <c r="T28" s="16"/>
      <c r="U28" s="16"/>
      <c r="V28" s="16"/>
      <c r="W28" s="16"/>
      <c r="X28" s="16"/>
      <c r="Y28" s="16"/>
      <c r="Z28" s="19"/>
      <c r="AA28" s="16"/>
    </row>
    <row r="29" spans="1:41" ht="22.5" customHeight="1">
      <c r="A29" s="15">
        <v>28</v>
      </c>
      <c r="B29" s="16"/>
      <c r="C29" s="17"/>
      <c r="D29" s="18"/>
      <c r="E29" s="16"/>
      <c r="F29" s="18"/>
      <c r="G29" s="16"/>
      <c r="H29" s="16" t="str">
        <f ca="1">IFERROR(__xludf.DUMMYFUNCTION("IFERROR(GOOGLEFINANCE(""NSE:""&amp;B29,""price""),"""")"),"")</f>
        <v/>
      </c>
      <c r="I29" s="15"/>
      <c r="J29" s="16">
        <f t="shared" si="0"/>
        <v>0</v>
      </c>
      <c r="K29" s="16">
        <f t="shared" si="1"/>
        <v>0</v>
      </c>
      <c r="L29" s="16" t="e">
        <f t="shared" ca="1" si="2"/>
        <v>#VALUE!</v>
      </c>
      <c r="M29" s="19">
        <f t="shared" ca="1" si="3"/>
        <v>0</v>
      </c>
      <c r="N29" s="16">
        <f ca="1">IFERROR(__xludf.DUMMYFUNCTION("IFERROR(IF(G29&gt;0,0,GOOGLEFINANCE(""NSE:""&amp;B29,""change"")),0)"),0)</f>
        <v>0</v>
      </c>
      <c r="O29" s="16">
        <f t="shared" ca="1" si="4"/>
        <v>0</v>
      </c>
      <c r="P29" s="16">
        <f t="shared" si="5"/>
        <v>0</v>
      </c>
      <c r="Q29" s="19">
        <f t="shared" si="6"/>
        <v>0</v>
      </c>
      <c r="R29" s="16"/>
      <c r="S29" s="16"/>
      <c r="T29" s="16"/>
      <c r="U29" s="16"/>
      <c r="V29" s="16"/>
      <c r="W29" s="16"/>
      <c r="X29" s="16"/>
      <c r="Y29" s="16"/>
      <c r="Z29" s="19"/>
      <c r="AA29" s="16"/>
    </row>
    <row r="30" spans="1:41" ht="22.5" customHeight="1">
      <c r="A30" s="15">
        <v>29</v>
      </c>
      <c r="B30" s="16"/>
      <c r="C30" s="17"/>
      <c r="D30" s="18"/>
      <c r="E30" s="16"/>
      <c r="F30" s="18"/>
      <c r="G30" s="16"/>
      <c r="H30" s="16" t="str">
        <f ca="1">IFERROR(__xludf.DUMMYFUNCTION("IFERROR(GOOGLEFINANCE(""NSE:""&amp;B30,""price""),"""")"),"")</f>
        <v/>
      </c>
      <c r="I30" s="15"/>
      <c r="J30" s="16">
        <f t="shared" si="0"/>
        <v>0</v>
      </c>
      <c r="K30" s="16">
        <f t="shared" si="1"/>
        <v>0</v>
      </c>
      <c r="L30" s="16" t="e">
        <f t="shared" ca="1" si="2"/>
        <v>#VALUE!</v>
      </c>
      <c r="M30" s="19">
        <f t="shared" ca="1" si="3"/>
        <v>0</v>
      </c>
      <c r="N30" s="16">
        <f ca="1">IFERROR(__xludf.DUMMYFUNCTION("IFERROR(IF(G30&gt;0,0,GOOGLEFINANCE(""NSE:""&amp;B30,""change"")),0)"),0)</f>
        <v>0</v>
      </c>
      <c r="O30" s="16">
        <f t="shared" ca="1" si="4"/>
        <v>0</v>
      </c>
      <c r="P30" s="16">
        <f t="shared" si="5"/>
        <v>0</v>
      </c>
      <c r="Q30" s="19">
        <f t="shared" si="6"/>
        <v>0</v>
      </c>
      <c r="R30" s="16"/>
      <c r="S30" s="16"/>
      <c r="T30" s="16"/>
      <c r="U30" s="16"/>
      <c r="V30" s="16"/>
      <c r="W30" s="16"/>
      <c r="X30" s="16"/>
      <c r="Y30" s="16"/>
      <c r="Z30" s="19"/>
      <c r="AA30" s="16"/>
    </row>
    <row r="31" spans="1:41" ht="22.5" customHeight="1">
      <c r="A31" s="15">
        <v>30</v>
      </c>
      <c r="B31" s="16"/>
      <c r="C31" s="17"/>
      <c r="D31" s="18"/>
      <c r="E31" s="16"/>
      <c r="F31" s="18"/>
      <c r="G31" s="16"/>
      <c r="H31" s="16" t="str">
        <f ca="1">IFERROR(__xludf.DUMMYFUNCTION("IFERROR(GOOGLEFINANCE(""NSE:""&amp;B31,""price""),"""")"),"")</f>
        <v/>
      </c>
      <c r="I31" s="15"/>
      <c r="J31" s="16">
        <f t="shared" si="0"/>
        <v>0</v>
      </c>
      <c r="K31" s="16">
        <f t="shared" si="1"/>
        <v>0</v>
      </c>
      <c r="L31" s="16" t="e">
        <f t="shared" ca="1" si="2"/>
        <v>#VALUE!</v>
      </c>
      <c r="M31" s="19">
        <f t="shared" ca="1" si="3"/>
        <v>0</v>
      </c>
      <c r="N31" s="16">
        <f ca="1">IFERROR(__xludf.DUMMYFUNCTION("IFERROR(IF(G31&gt;0,0,GOOGLEFINANCE(""NSE:""&amp;B31,""change"")),0)"),0)</f>
        <v>0</v>
      </c>
      <c r="O31" s="16">
        <f t="shared" ca="1" si="4"/>
        <v>0</v>
      </c>
      <c r="P31" s="16">
        <f t="shared" si="5"/>
        <v>0</v>
      </c>
      <c r="Q31" s="19">
        <f t="shared" si="6"/>
        <v>0</v>
      </c>
      <c r="R31" s="16"/>
      <c r="S31" s="16"/>
      <c r="T31" s="16"/>
      <c r="U31" s="16"/>
      <c r="V31" s="16"/>
      <c r="W31" s="16"/>
      <c r="X31" s="16"/>
      <c r="Y31" s="16"/>
      <c r="Z31" s="19"/>
      <c r="AA31" s="16"/>
    </row>
    <row r="32" spans="1:41" ht="22.5" customHeight="1">
      <c r="A32" s="15">
        <v>31</v>
      </c>
      <c r="B32" s="16"/>
      <c r="C32" s="17"/>
      <c r="D32" s="18"/>
      <c r="E32" s="16"/>
      <c r="F32" s="18"/>
      <c r="G32" s="16"/>
      <c r="H32" s="16" t="str">
        <f ca="1">IFERROR(__xludf.DUMMYFUNCTION("IFERROR(GOOGLEFINANCE(""NSE:""&amp;B32,""price""),"""")"),"")</f>
        <v/>
      </c>
      <c r="I32" s="15"/>
      <c r="J32" s="16">
        <f t="shared" si="0"/>
        <v>0</v>
      </c>
      <c r="K32" s="16">
        <f t="shared" si="1"/>
        <v>0</v>
      </c>
      <c r="L32" s="16" t="e">
        <f t="shared" ca="1" si="2"/>
        <v>#VALUE!</v>
      </c>
      <c r="M32" s="19">
        <f t="shared" ca="1" si="3"/>
        <v>0</v>
      </c>
      <c r="N32" s="16">
        <f ca="1">IFERROR(__xludf.DUMMYFUNCTION("IFERROR(IF(G32&gt;0,0,GOOGLEFINANCE(""NSE:""&amp;B32,""change"")),0)"),0)</f>
        <v>0</v>
      </c>
      <c r="O32" s="16">
        <f t="shared" ca="1" si="4"/>
        <v>0</v>
      </c>
      <c r="P32" s="16">
        <f t="shared" si="5"/>
        <v>0</v>
      </c>
      <c r="Q32" s="19">
        <f t="shared" si="6"/>
        <v>0</v>
      </c>
      <c r="R32" s="16"/>
      <c r="S32" s="16"/>
      <c r="T32" s="16"/>
      <c r="U32" s="16"/>
      <c r="V32" s="16"/>
      <c r="W32" s="16"/>
      <c r="X32" s="16"/>
      <c r="Y32" s="16"/>
      <c r="Z32" s="19"/>
      <c r="AA32" s="16"/>
    </row>
    <row r="33" spans="1:27" ht="22.5" customHeight="1">
      <c r="A33" s="15">
        <v>32</v>
      </c>
      <c r="B33" s="16"/>
      <c r="C33" s="17"/>
      <c r="D33" s="18"/>
      <c r="E33" s="16"/>
      <c r="F33" s="18"/>
      <c r="G33" s="16"/>
      <c r="H33" s="16" t="str">
        <f ca="1">IFERROR(__xludf.DUMMYFUNCTION("IFERROR(GOOGLEFINANCE(""NSE:""&amp;B33,""price""),"""")"),"")</f>
        <v/>
      </c>
      <c r="I33" s="15"/>
      <c r="J33" s="16">
        <f t="shared" si="0"/>
        <v>0</v>
      </c>
      <c r="K33" s="16">
        <f t="shared" si="1"/>
        <v>0</v>
      </c>
      <c r="L33" s="16" t="e">
        <f t="shared" ca="1" si="2"/>
        <v>#VALUE!</v>
      </c>
      <c r="M33" s="19">
        <f t="shared" ca="1" si="3"/>
        <v>0</v>
      </c>
      <c r="N33" s="16">
        <f ca="1">IFERROR(__xludf.DUMMYFUNCTION("IFERROR(IF(G33&gt;0,0,GOOGLEFINANCE(""NSE:""&amp;B33,""change"")),0)"),0)</f>
        <v>0</v>
      </c>
      <c r="O33" s="16">
        <f t="shared" ca="1" si="4"/>
        <v>0</v>
      </c>
      <c r="P33" s="16">
        <f t="shared" si="5"/>
        <v>0</v>
      </c>
      <c r="Q33" s="19">
        <f t="shared" si="6"/>
        <v>0</v>
      </c>
    </row>
    <row r="34" spans="1:27" ht="22.5" customHeight="1">
      <c r="A34" s="15">
        <v>33</v>
      </c>
      <c r="B34" s="16"/>
      <c r="C34" s="17"/>
      <c r="D34" s="18"/>
      <c r="E34" s="16"/>
      <c r="F34" s="18"/>
      <c r="G34" s="16"/>
      <c r="H34" s="16" t="str">
        <f ca="1">IFERROR(__xludf.DUMMYFUNCTION("IFERROR(GOOGLEFINANCE(""NSE:""&amp;B34,""price""),"""")"),"")</f>
        <v/>
      </c>
      <c r="I34" s="15"/>
      <c r="J34" s="16">
        <f t="shared" si="0"/>
        <v>0</v>
      </c>
      <c r="K34" s="16">
        <f t="shared" si="1"/>
        <v>0</v>
      </c>
      <c r="L34" s="16" t="e">
        <f t="shared" ca="1" si="2"/>
        <v>#VALUE!</v>
      </c>
      <c r="M34" s="19">
        <f t="shared" ca="1" si="3"/>
        <v>0</v>
      </c>
      <c r="N34" s="16">
        <f ca="1">IFERROR(__xludf.DUMMYFUNCTION("IFERROR(IF(G34&gt;0,0,GOOGLEFINANCE(""NSE:""&amp;B34,""change"")),0)"),0)</f>
        <v>0</v>
      </c>
      <c r="O34" s="16">
        <f t="shared" ca="1" si="4"/>
        <v>0</v>
      </c>
      <c r="P34" s="16">
        <f t="shared" si="5"/>
        <v>0</v>
      </c>
      <c r="Q34" s="19">
        <f t="shared" si="6"/>
        <v>0</v>
      </c>
      <c r="R34" s="16"/>
      <c r="S34" s="16"/>
      <c r="T34" s="16"/>
      <c r="U34" s="16"/>
      <c r="V34" s="16"/>
      <c r="W34" s="16"/>
      <c r="X34" s="16"/>
      <c r="Y34" s="16"/>
      <c r="Z34" s="19"/>
      <c r="AA34" s="16"/>
    </row>
    <row r="35" spans="1:27" ht="22.5" customHeight="1">
      <c r="A35" s="15">
        <v>34</v>
      </c>
      <c r="B35" s="16"/>
      <c r="C35" s="17"/>
      <c r="D35" s="18"/>
      <c r="E35" s="16"/>
      <c r="F35" s="18"/>
      <c r="G35" s="16"/>
      <c r="H35" s="16" t="str">
        <f ca="1">IFERROR(__xludf.DUMMYFUNCTION("IFERROR(GOOGLEFINANCE(""NSE:""&amp;B35,""price""),"""")"),"")</f>
        <v/>
      </c>
      <c r="I35" s="15"/>
      <c r="J35" s="16">
        <f t="shared" si="0"/>
        <v>0</v>
      </c>
      <c r="K35" s="16">
        <f t="shared" si="1"/>
        <v>0</v>
      </c>
      <c r="L35" s="16" t="e">
        <f t="shared" ca="1" si="2"/>
        <v>#VALUE!</v>
      </c>
      <c r="M35" s="19">
        <f t="shared" ca="1" si="3"/>
        <v>0</v>
      </c>
      <c r="N35" s="16">
        <f ca="1">IFERROR(__xludf.DUMMYFUNCTION("IFERROR(IF(G35&gt;0,0,GOOGLEFINANCE(""NSE:""&amp;B35,""change"")),0)"),0)</f>
        <v>0</v>
      </c>
      <c r="O35" s="16">
        <f t="shared" ca="1" si="4"/>
        <v>0</v>
      </c>
      <c r="P35" s="16">
        <f t="shared" si="5"/>
        <v>0</v>
      </c>
      <c r="Q35" s="19">
        <f t="shared" si="6"/>
        <v>0</v>
      </c>
      <c r="R35" s="16"/>
      <c r="S35" s="16"/>
      <c r="T35" s="16"/>
      <c r="U35" s="16"/>
      <c r="V35" s="16"/>
      <c r="W35" s="16"/>
      <c r="X35" s="16"/>
      <c r="Y35" s="16"/>
      <c r="Z35" s="19"/>
      <c r="AA35" s="16"/>
    </row>
    <row r="36" spans="1:27" ht="22.5" customHeight="1">
      <c r="A36" s="15">
        <v>35</v>
      </c>
      <c r="B36" s="16"/>
      <c r="C36" s="17"/>
      <c r="D36" s="18"/>
      <c r="E36" s="16"/>
      <c r="F36" s="18"/>
      <c r="G36" s="16"/>
      <c r="H36" s="16" t="str">
        <f ca="1">IFERROR(__xludf.DUMMYFUNCTION("IFERROR(GOOGLEFINANCE(""NSE:""&amp;B36,""price""),"""")"),"")</f>
        <v/>
      </c>
      <c r="I36" s="15"/>
      <c r="J36" s="16">
        <f t="shared" si="0"/>
        <v>0</v>
      </c>
      <c r="K36" s="16">
        <f t="shared" si="1"/>
        <v>0</v>
      </c>
      <c r="L36" s="16" t="e">
        <f t="shared" ca="1" si="2"/>
        <v>#VALUE!</v>
      </c>
      <c r="M36" s="19">
        <f t="shared" ca="1" si="3"/>
        <v>0</v>
      </c>
      <c r="N36" s="16">
        <f ca="1">IFERROR(__xludf.DUMMYFUNCTION("IFERROR(IF(G36&gt;0,0,GOOGLEFINANCE(""NSE:""&amp;B36,""change"")),0)"),0)</f>
        <v>0</v>
      </c>
      <c r="O36" s="16">
        <f t="shared" ca="1" si="4"/>
        <v>0</v>
      </c>
      <c r="P36" s="16">
        <f t="shared" si="5"/>
        <v>0</v>
      </c>
      <c r="Q36" s="19">
        <f t="shared" si="6"/>
        <v>0</v>
      </c>
      <c r="R36" s="16"/>
      <c r="S36" s="16"/>
      <c r="T36" s="16"/>
      <c r="U36" s="16"/>
      <c r="V36" s="16"/>
      <c r="W36" s="16"/>
      <c r="X36" s="16"/>
      <c r="Y36" s="16"/>
      <c r="Z36" s="19"/>
      <c r="AA36" s="16"/>
    </row>
    <row r="37" spans="1:27" ht="22.5" customHeight="1">
      <c r="A37" s="15">
        <v>36</v>
      </c>
      <c r="B37" s="16"/>
      <c r="C37" s="17"/>
      <c r="D37" s="18"/>
      <c r="E37" s="16"/>
      <c r="F37" s="18"/>
      <c r="G37" s="16"/>
      <c r="H37" s="16" t="str">
        <f ca="1">IFERROR(__xludf.DUMMYFUNCTION("IFERROR(GOOGLEFINANCE(""NSE:""&amp;B37,""price""),"""")"),"")</f>
        <v/>
      </c>
      <c r="I37" s="15"/>
      <c r="J37" s="16">
        <f t="shared" si="0"/>
        <v>0</v>
      </c>
      <c r="K37" s="16">
        <f t="shared" si="1"/>
        <v>0</v>
      </c>
      <c r="L37" s="16" t="e">
        <f t="shared" ca="1" si="2"/>
        <v>#VALUE!</v>
      </c>
      <c r="M37" s="19">
        <f t="shared" ca="1" si="3"/>
        <v>0</v>
      </c>
      <c r="N37" s="16">
        <f ca="1">IFERROR(__xludf.DUMMYFUNCTION("IFERROR(IF(G37&gt;0,0,GOOGLEFINANCE(""NSE:""&amp;B37,""change"")),0)"),0)</f>
        <v>0</v>
      </c>
      <c r="O37" s="16">
        <f t="shared" ca="1" si="4"/>
        <v>0</v>
      </c>
      <c r="P37" s="16">
        <f t="shared" si="5"/>
        <v>0</v>
      </c>
      <c r="Q37" s="19">
        <f t="shared" si="6"/>
        <v>0</v>
      </c>
      <c r="R37" s="16"/>
      <c r="S37" s="16"/>
      <c r="T37" s="16"/>
      <c r="U37" s="16"/>
      <c r="V37" s="16"/>
      <c r="W37" s="16"/>
      <c r="X37" s="16"/>
      <c r="Y37" s="16"/>
      <c r="Z37" s="19"/>
      <c r="AA37" s="16"/>
    </row>
    <row r="38" spans="1:27" ht="22.5" customHeight="1">
      <c r="A38" s="15">
        <v>37</v>
      </c>
      <c r="B38" s="16"/>
      <c r="C38" s="17"/>
      <c r="D38" s="18"/>
      <c r="E38" s="16"/>
      <c r="F38" s="18"/>
      <c r="G38" s="16"/>
      <c r="H38" s="16" t="str">
        <f ca="1">IFERROR(__xludf.DUMMYFUNCTION("IFERROR(GOOGLEFINANCE(""NSE:""&amp;B38,""price""),"""")"),"")</f>
        <v/>
      </c>
      <c r="I38" s="15"/>
      <c r="J38" s="16">
        <f t="shared" si="0"/>
        <v>0</v>
      </c>
      <c r="K38" s="16">
        <f t="shared" si="1"/>
        <v>0</v>
      </c>
      <c r="L38" s="16" t="e">
        <f t="shared" ca="1" si="2"/>
        <v>#VALUE!</v>
      </c>
      <c r="M38" s="19">
        <f t="shared" ca="1" si="3"/>
        <v>0</v>
      </c>
      <c r="N38" s="16">
        <f ca="1">IFERROR(__xludf.DUMMYFUNCTION("IFERROR(IF(G38&gt;0,0,GOOGLEFINANCE(""NSE:""&amp;B38,""change"")),0)"),0)</f>
        <v>0</v>
      </c>
      <c r="O38" s="16">
        <f t="shared" ca="1" si="4"/>
        <v>0</v>
      </c>
      <c r="P38" s="16">
        <f t="shared" si="5"/>
        <v>0</v>
      </c>
      <c r="Q38" s="19">
        <f t="shared" si="6"/>
        <v>0</v>
      </c>
      <c r="R38" s="16"/>
      <c r="S38" s="16"/>
      <c r="T38" s="16"/>
      <c r="U38" s="16"/>
      <c r="V38" s="16"/>
      <c r="W38" s="16"/>
      <c r="X38" s="16"/>
      <c r="Y38" s="16"/>
      <c r="Z38" s="19"/>
      <c r="AA38" s="16"/>
    </row>
    <row r="39" spans="1:27" ht="22.5" customHeight="1">
      <c r="A39" s="15">
        <v>38</v>
      </c>
      <c r="B39" s="16"/>
      <c r="C39" s="17"/>
      <c r="D39" s="18"/>
      <c r="E39" s="16"/>
      <c r="F39" s="18"/>
      <c r="G39" s="16"/>
      <c r="H39" s="16" t="str">
        <f ca="1">IFERROR(__xludf.DUMMYFUNCTION("IFERROR(GOOGLEFINANCE(""NSE:""&amp;B39,""price""),"""")"),"")</f>
        <v/>
      </c>
      <c r="I39" s="15"/>
      <c r="J39" s="16">
        <f t="shared" si="0"/>
        <v>0</v>
      </c>
      <c r="K39" s="16">
        <f t="shared" si="1"/>
        <v>0</v>
      </c>
      <c r="L39" s="16" t="e">
        <f t="shared" ca="1" si="2"/>
        <v>#VALUE!</v>
      </c>
      <c r="M39" s="19">
        <f t="shared" ca="1" si="3"/>
        <v>0</v>
      </c>
      <c r="N39" s="16">
        <f ca="1">IFERROR(__xludf.DUMMYFUNCTION("IFERROR(IF(G39&gt;0,0,GOOGLEFINANCE(""NSE:""&amp;B39,""change"")),0)"),0)</f>
        <v>0</v>
      </c>
      <c r="O39" s="16">
        <f t="shared" ca="1" si="4"/>
        <v>0</v>
      </c>
      <c r="P39" s="16">
        <f t="shared" si="5"/>
        <v>0</v>
      </c>
      <c r="Q39" s="19">
        <f t="shared" si="6"/>
        <v>0</v>
      </c>
      <c r="R39" s="16"/>
      <c r="S39" s="16"/>
      <c r="T39" s="16"/>
      <c r="U39" s="16"/>
      <c r="V39" s="16"/>
      <c r="W39" s="16"/>
      <c r="X39" s="16"/>
      <c r="Y39" s="16"/>
      <c r="Z39" s="19"/>
      <c r="AA39" s="16"/>
    </row>
    <row r="40" spans="1:27" ht="22.5" customHeight="1">
      <c r="A40" s="15">
        <v>39</v>
      </c>
      <c r="B40" s="16"/>
      <c r="C40" s="17"/>
      <c r="D40" s="18"/>
      <c r="E40" s="16"/>
      <c r="F40" s="18"/>
      <c r="G40" s="16"/>
      <c r="H40" s="16" t="str">
        <f ca="1">IFERROR(__xludf.DUMMYFUNCTION("IFERROR(GOOGLEFINANCE(""NSE:""&amp;B40,""price""),"""")"),"")</f>
        <v/>
      </c>
      <c r="I40" s="15"/>
      <c r="J40" s="16">
        <f t="shared" si="0"/>
        <v>0</v>
      </c>
      <c r="K40" s="16">
        <f t="shared" si="1"/>
        <v>0</v>
      </c>
      <c r="L40" s="16" t="e">
        <f t="shared" ca="1" si="2"/>
        <v>#VALUE!</v>
      </c>
      <c r="M40" s="19">
        <f t="shared" ca="1" si="3"/>
        <v>0</v>
      </c>
      <c r="N40" s="16">
        <f ca="1">IFERROR(__xludf.DUMMYFUNCTION("IFERROR(IF(G40&gt;0,0,GOOGLEFINANCE(""NSE:""&amp;B40,""change"")),0)"),0)</f>
        <v>0</v>
      </c>
      <c r="O40" s="16">
        <f t="shared" ca="1" si="4"/>
        <v>0</v>
      </c>
      <c r="P40" s="16">
        <f t="shared" si="5"/>
        <v>0</v>
      </c>
      <c r="Q40" s="19">
        <f t="shared" si="6"/>
        <v>0</v>
      </c>
      <c r="R40" s="16"/>
      <c r="S40" s="16"/>
      <c r="T40" s="16"/>
      <c r="U40" s="16"/>
      <c r="V40" s="16"/>
      <c r="W40" s="16"/>
      <c r="X40" s="16"/>
      <c r="Y40" s="16"/>
      <c r="Z40" s="19"/>
      <c r="AA40" s="16"/>
    </row>
    <row r="41" spans="1:27" ht="22.5" customHeight="1">
      <c r="A41" s="15">
        <v>40</v>
      </c>
      <c r="B41" s="16"/>
      <c r="C41" s="17"/>
      <c r="D41" s="18"/>
      <c r="E41" s="16"/>
      <c r="F41" s="18"/>
      <c r="G41" s="16"/>
      <c r="H41" s="16" t="str">
        <f ca="1">IFERROR(__xludf.DUMMYFUNCTION("IFERROR(GOOGLEFINANCE(""NSE:""&amp;B41,""price""),"""")"),"")</f>
        <v/>
      </c>
      <c r="I41" s="15"/>
      <c r="J41" s="16">
        <f t="shared" si="0"/>
        <v>0</v>
      </c>
      <c r="K41" s="16">
        <f t="shared" si="1"/>
        <v>0</v>
      </c>
      <c r="L41" s="16" t="e">
        <f t="shared" ca="1" si="2"/>
        <v>#VALUE!</v>
      </c>
      <c r="M41" s="19">
        <f t="shared" ca="1" si="3"/>
        <v>0</v>
      </c>
      <c r="N41" s="16">
        <f ca="1">IFERROR(__xludf.DUMMYFUNCTION("IFERROR(IF(G41&gt;0,0,GOOGLEFINANCE(""NSE:""&amp;B41,""change"")),0)"),0)</f>
        <v>0</v>
      </c>
      <c r="O41" s="16">
        <f t="shared" ca="1" si="4"/>
        <v>0</v>
      </c>
      <c r="P41" s="16">
        <f t="shared" si="5"/>
        <v>0</v>
      </c>
      <c r="Q41" s="19">
        <f t="shared" si="6"/>
        <v>0</v>
      </c>
      <c r="R41" s="16"/>
      <c r="S41" s="16"/>
      <c r="T41" s="16"/>
      <c r="U41" s="16"/>
      <c r="V41" s="16"/>
      <c r="W41" s="16"/>
      <c r="X41" s="16"/>
      <c r="Y41" s="16"/>
      <c r="Z41" s="19"/>
      <c r="AA41" s="16"/>
    </row>
    <row r="42" spans="1:27" ht="22.5" customHeight="1">
      <c r="A42" s="15">
        <v>41</v>
      </c>
      <c r="B42" s="16"/>
      <c r="C42" s="17"/>
      <c r="D42" s="18"/>
      <c r="E42" s="16"/>
      <c r="F42" s="18"/>
      <c r="G42" s="16"/>
      <c r="H42" s="16" t="str">
        <f ca="1">IFERROR(__xludf.DUMMYFUNCTION("IFERROR(GOOGLEFINANCE(""NSE:""&amp;B42,""price""),"""")"),"")</f>
        <v/>
      </c>
      <c r="I42" s="15"/>
      <c r="J42" s="16">
        <f t="shared" si="0"/>
        <v>0</v>
      </c>
      <c r="K42" s="16">
        <f t="shared" si="1"/>
        <v>0</v>
      </c>
      <c r="L42" s="16" t="e">
        <f t="shared" ca="1" si="2"/>
        <v>#VALUE!</v>
      </c>
      <c r="M42" s="19">
        <f t="shared" ca="1" si="3"/>
        <v>0</v>
      </c>
      <c r="N42" s="16">
        <f ca="1">IFERROR(__xludf.DUMMYFUNCTION("IFERROR(IF(G42&gt;0,0,GOOGLEFINANCE(""NSE:""&amp;B42,""change"")),0)"),0)</f>
        <v>0</v>
      </c>
      <c r="O42" s="16">
        <f t="shared" ca="1" si="4"/>
        <v>0</v>
      </c>
      <c r="P42" s="16">
        <f t="shared" si="5"/>
        <v>0</v>
      </c>
      <c r="Q42" s="19">
        <f t="shared" si="6"/>
        <v>0</v>
      </c>
      <c r="R42" s="16"/>
      <c r="S42" s="16"/>
      <c r="T42" s="16"/>
      <c r="U42" s="16"/>
      <c r="V42" s="16"/>
      <c r="W42" s="16"/>
      <c r="X42" s="16"/>
      <c r="Y42" s="16"/>
      <c r="Z42" s="19"/>
      <c r="AA42" s="16"/>
    </row>
    <row r="43" spans="1:27" ht="22.5" customHeight="1">
      <c r="A43" s="15">
        <v>42</v>
      </c>
      <c r="B43" s="16"/>
      <c r="C43" s="17"/>
      <c r="D43" s="18"/>
      <c r="E43" s="16"/>
      <c r="F43" s="15"/>
      <c r="G43" s="16"/>
      <c r="H43" s="16" t="str">
        <f ca="1">IFERROR(__xludf.DUMMYFUNCTION("IFERROR(GOOGLEFINANCE(""NSE:""&amp;B43,""price""),"""")"),"")</f>
        <v/>
      </c>
      <c r="I43" s="15"/>
      <c r="J43" s="16">
        <f t="shared" si="0"/>
        <v>0</v>
      </c>
      <c r="K43" s="16">
        <f t="shared" si="1"/>
        <v>0</v>
      </c>
      <c r="L43" s="16" t="e">
        <f t="shared" ca="1" si="2"/>
        <v>#VALUE!</v>
      </c>
      <c r="M43" s="19">
        <f t="shared" ca="1" si="3"/>
        <v>0</v>
      </c>
      <c r="N43" s="16">
        <f ca="1">IFERROR(__xludf.DUMMYFUNCTION("IFERROR(IF(G43&gt;0,0,GOOGLEFINANCE(""NSE:""&amp;B43,""change"")),0)"),0)</f>
        <v>0</v>
      </c>
      <c r="O43" s="16">
        <f t="shared" ca="1" si="4"/>
        <v>0</v>
      </c>
      <c r="P43" s="16">
        <f t="shared" si="5"/>
        <v>0</v>
      </c>
      <c r="Q43" s="19">
        <f t="shared" si="6"/>
        <v>0</v>
      </c>
      <c r="R43" s="16"/>
      <c r="S43" s="16"/>
      <c r="T43" s="16"/>
      <c r="U43" s="16"/>
      <c r="V43" s="16"/>
      <c r="W43" s="16"/>
      <c r="X43" s="16"/>
      <c r="Y43" s="16"/>
      <c r="Z43" s="19"/>
      <c r="AA43" s="16"/>
    </row>
    <row r="44" spans="1:27" ht="22.5" customHeight="1">
      <c r="A44" s="15">
        <v>43</v>
      </c>
      <c r="B44" s="16"/>
      <c r="C44" s="17"/>
      <c r="D44" s="18"/>
      <c r="E44" s="16"/>
      <c r="F44" s="18"/>
      <c r="G44" s="16"/>
      <c r="H44" s="16" t="str">
        <f ca="1">IFERROR(__xludf.DUMMYFUNCTION("IFERROR(GOOGLEFINANCE(""NSE:""&amp;B44,""price""),"""")"),"")</f>
        <v/>
      </c>
      <c r="I44" s="15"/>
      <c r="J44" s="16">
        <f t="shared" si="0"/>
        <v>0</v>
      </c>
      <c r="K44" s="16">
        <f t="shared" si="1"/>
        <v>0</v>
      </c>
      <c r="L44" s="16" t="e">
        <f t="shared" ca="1" si="2"/>
        <v>#VALUE!</v>
      </c>
      <c r="M44" s="19">
        <f t="shared" ca="1" si="3"/>
        <v>0</v>
      </c>
      <c r="N44" s="16">
        <f ca="1">IFERROR(__xludf.DUMMYFUNCTION("IFERROR(IF(G44&gt;0,0,GOOGLEFINANCE(""NSE:""&amp;B44,""change"")),0)"),0)</f>
        <v>0</v>
      </c>
      <c r="O44" s="16">
        <f t="shared" ca="1" si="4"/>
        <v>0</v>
      </c>
      <c r="P44" s="16">
        <f t="shared" si="5"/>
        <v>0</v>
      </c>
      <c r="Q44" s="19">
        <f t="shared" si="6"/>
        <v>0</v>
      </c>
      <c r="R44" s="16"/>
      <c r="S44" s="16"/>
      <c r="T44" s="16"/>
      <c r="U44" s="16"/>
      <c r="V44" s="16"/>
      <c r="W44" s="16"/>
      <c r="X44" s="16"/>
      <c r="Y44" s="16"/>
      <c r="Z44" s="19"/>
      <c r="AA44" s="16"/>
    </row>
    <row r="45" spans="1:27" ht="22.5" customHeight="1">
      <c r="A45" s="15">
        <v>44</v>
      </c>
      <c r="B45" s="16"/>
      <c r="C45" s="17"/>
      <c r="D45" s="18"/>
      <c r="E45" s="16"/>
      <c r="F45" s="18"/>
      <c r="G45" s="16"/>
      <c r="H45" s="16" t="str">
        <f ca="1">IFERROR(__xludf.DUMMYFUNCTION("IFERROR(GOOGLEFINANCE(""NSE:""&amp;B45,""price""),"""")"),"")</f>
        <v/>
      </c>
      <c r="I45" s="15"/>
      <c r="J45" s="16">
        <f t="shared" si="0"/>
        <v>0</v>
      </c>
      <c r="K45" s="16">
        <f t="shared" si="1"/>
        <v>0</v>
      </c>
      <c r="L45" s="16" t="e">
        <f t="shared" ca="1" si="2"/>
        <v>#VALUE!</v>
      </c>
      <c r="M45" s="19">
        <f t="shared" ca="1" si="3"/>
        <v>0</v>
      </c>
      <c r="N45" s="16">
        <f ca="1">IFERROR(__xludf.DUMMYFUNCTION("IFERROR(IF(G45&gt;0,0,GOOGLEFINANCE(""NSE:""&amp;B45,""change"")),0)"),0)</f>
        <v>0</v>
      </c>
      <c r="O45" s="16">
        <f t="shared" ca="1" si="4"/>
        <v>0</v>
      </c>
      <c r="P45" s="16">
        <f t="shared" si="5"/>
        <v>0</v>
      </c>
      <c r="Q45" s="19">
        <f t="shared" si="6"/>
        <v>0</v>
      </c>
      <c r="R45" s="16"/>
      <c r="S45" s="16"/>
      <c r="T45" s="16"/>
      <c r="U45" s="16"/>
      <c r="V45" s="16"/>
      <c r="W45" s="16"/>
      <c r="X45" s="16"/>
      <c r="Y45" s="16"/>
      <c r="Z45" s="19"/>
      <c r="AA45" s="16"/>
    </row>
    <row r="46" spans="1:27" ht="22.5" customHeight="1">
      <c r="A46" s="15">
        <v>45</v>
      </c>
      <c r="B46" s="16"/>
      <c r="C46" s="17"/>
      <c r="D46" s="18"/>
      <c r="E46" s="16"/>
      <c r="F46" s="18"/>
      <c r="G46" s="16"/>
      <c r="H46" s="16" t="str">
        <f ca="1">IFERROR(__xludf.DUMMYFUNCTION("IFERROR(GOOGLEFINANCE(""NSE:""&amp;B46,""price""),"""")"),"")</f>
        <v/>
      </c>
      <c r="I46" s="15"/>
      <c r="J46" s="16">
        <f t="shared" si="0"/>
        <v>0</v>
      </c>
      <c r="K46" s="16">
        <f t="shared" si="1"/>
        <v>0</v>
      </c>
      <c r="L46" s="16" t="e">
        <f t="shared" ca="1" si="2"/>
        <v>#VALUE!</v>
      </c>
      <c r="M46" s="19">
        <f t="shared" ca="1" si="3"/>
        <v>0</v>
      </c>
      <c r="N46" s="16">
        <f ca="1">IFERROR(__xludf.DUMMYFUNCTION("IFERROR(IF(G46&gt;0,0,GOOGLEFINANCE(""NSE:""&amp;B46,""change"")),0)"),0)</f>
        <v>0</v>
      </c>
      <c r="O46" s="16">
        <f t="shared" ca="1" si="4"/>
        <v>0</v>
      </c>
      <c r="P46" s="16">
        <f t="shared" si="5"/>
        <v>0</v>
      </c>
      <c r="Q46" s="19">
        <f t="shared" si="6"/>
        <v>0</v>
      </c>
      <c r="R46" s="16"/>
      <c r="S46" s="16"/>
      <c r="T46" s="16"/>
      <c r="U46" s="16"/>
      <c r="V46" s="16"/>
      <c r="W46" s="16"/>
      <c r="X46" s="16"/>
      <c r="Y46" s="16"/>
      <c r="Z46" s="19"/>
      <c r="AA46" s="16"/>
    </row>
    <row r="47" spans="1:27" ht="22.5" customHeight="1">
      <c r="A47" s="15">
        <v>46</v>
      </c>
      <c r="B47" s="16"/>
      <c r="C47" s="17"/>
      <c r="D47" s="18"/>
      <c r="E47" s="16"/>
      <c r="F47" s="18"/>
      <c r="G47" s="16"/>
      <c r="H47" s="16" t="str">
        <f ca="1">IFERROR(__xludf.DUMMYFUNCTION("IFERROR(GOOGLEFINANCE(""NSE:""&amp;B47,""price""),"""")"),"")</f>
        <v/>
      </c>
      <c r="I47" s="15"/>
      <c r="J47" s="16">
        <f t="shared" si="0"/>
        <v>0</v>
      </c>
      <c r="K47" s="16">
        <f t="shared" si="1"/>
        <v>0</v>
      </c>
      <c r="L47" s="16" t="e">
        <f t="shared" ca="1" si="2"/>
        <v>#VALUE!</v>
      </c>
      <c r="M47" s="19">
        <f t="shared" ca="1" si="3"/>
        <v>0</v>
      </c>
      <c r="N47" s="16">
        <f ca="1">IFERROR(__xludf.DUMMYFUNCTION("IFERROR(IF(G47&gt;0,0,GOOGLEFINANCE(""NSE:""&amp;B47,""change"")),0)"),0)</f>
        <v>0</v>
      </c>
      <c r="O47" s="16">
        <f t="shared" ca="1" si="4"/>
        <v>0</v>
      </c>
      <c r="P47" s="16">
        <f t="shared" si="5"/>
        <v>0</v>
      </c>
      <c r="Q47" s="19">
        <f t="shared" si="6"/>
        <v>0</v>
      </c>
      <c r="R47" s="16"/>
      <c r="S47" s="16"/>
      <c r="T47" s="16"/>
      <c r="U47" s="16"/>
      <c r="V47" s="16"/>
      <c r="W47" s="16"/>
      <c r="X47" s="16"/>
      <c r="Y47" s="16"/>
      <c r="Z47" s="19"/>
      <c r="AA47" s="16"/>
    </row>
    <row r="48" spans="1:27" ht="22.5" customHeight="1">
      <c r="A48" s="15">
        <v>47</v>
      </c>
      <c r="B48" s="16"/>
      <c r="C48" s="17"/>
      <c r="D48" s="18"/>
      <c r="E48" s="16"/>
      <c r="F48" s="18"/>
      <c r="G48" s="16"/>
      <c r="H48" s="16" t="str">
        <f ca="1">IFERROR(__xludf.DUMMYFUNCTION("IFERROR(GOOGLEFINANCE(""NSE:""&amp;B48,""price""),"""")"),"")</f>
        <v/>
      </c>
      <c r="I48" s="15"/>
      <c r="J48" s="16">
        <f t="shared" si="0"/>
        <v>0</v>
      </c>
      <c r="K48" s="16">
        <f t="shared" si="1"/>
        <v>0</v>
      </c>
      <c r="L48" s="16" t="e">
        <f t="shared" ca="1" si="2"/>
        <v>#VALUE!</v>
      </c>
      <c r="M48" s="19">
        <f t="shared" ca="1" si="3"/>
        <v>0</v>
      </c>
      <c r="N48" s="16">
        <f ca="1">IFERROR(__xludf.DUMMYFUNCTION("IFERROR(IF(G48&gt;0,0,GOOGLEFINANCE(""NSE:""&amp;B48,""change"")),0)"),0)</f>
        <v>0</v>
      </c>
      <c r="O48" s="16">
        <f t="shared" ca="1" si="4"/>
        <v>0</v>
      </c>
      <c r="P48" s="16">
        <f t="shared" si="5"/>
        <v>0</v>
      </c>
      <c r="Q48" s="19">
        <f t="shared" si="6"/>
        <v>0</v>
      </c>
      <c r="R48" s="16"/>
      <c r="S48" s="16"/>
      <c r="T48" s="16"/>
      <c r="U48" s="16"/>
      <c r="V48" s="16"/>
      <c r="W48" s="16"/>
      <c r="X48" s="16"/>
      <c r="Y48" s="16"/>
      <c r="Z48" s="19"/>
      <c r="AA48" s="16"/>
    </row>
    <row r="49" spans="1:27" ht="22.5" customHeight="1">
      <c r="A49" s="15">
        <v>48</v>
      </c>
      <c r="B49" s="16"/>
      <c r="C49" s="17"/>
      <c r="D49" s="18"/>
      <c r="E49" s="16"/>
      <c r="F49" s="18"/>
      <c r="G49" s="16"/>
      <c r="H49" s="16" t="str">
        <f ca="1">IFERROR(__xludf.DUMMYFUNCTION("IFERROR(GOOGLEFINANCE(""NSE:""&amp;B49,""price""),"""")"),"")</f>
        <v/>
      </c>
      <c r="I49" s="15"/>
      <c r="J49" s="16">
        <f t="shared" si="0"/>
        <v>0</v>
      </c>
      <c r="K49" s="16">
        <f t="shared" si="1"/>
        <v>0</v>
      </c>
      <c r="L49" s="16" t="e">
        <f t="shared" ca="1" si="2"/>
        <v>#VALUE!</v>
      </c>
      <c r="M49" s="19">
        <f t="shared" ca="1" si="3"/>
        <v>0</v>
      </c>
      <c r="N49" s="16">
        <f ca="1">IFERROR(__xludf.DUMMYFUNCTION("IFERROR(IF(G49&gt;0,0,GOOGLEFINANCE(""NSE:""&amp;B49,""change"")),0)"),0)</f>
        <v>0</v>
      </c>
      <c r="O49" s="16">
        <f t="shared" ca="1" si="4"/>
        <v>0</v>
      </c>
      <c r="P49" s="16">
        <f t="shared" si="5"/>
        <v>0</v>
      </c>
      <c r="Q49" s="19">
        <f t="shared" si="6"/>
        <v>0</v>
      </c>
      <c r="R49" s="16"/>
      <c r="S49" s="16"/>
      <c r="T49" s="16"/>
      <c r="U49" s="16"/>
      <c r="V49" s="16"/>
      <c r="W49" s="16"/>
      <c r="X49" s="16"/>
      <c r="Y49" s="16"/>
      <c r="Z49" s="19"/>
      <c r="AA49" s="16"/>
    </row>
    <row r="50" spans="1:27" ht="22.5" customHeight="1">
      <c r="A50" s="15">
        <v>49</v>
      </c>
      <c r="B50" s="16"/>
      <c r="C50" s="17"/>
      <c r="D50" s="18"/>
      <c r="E50" s="16"/>
      <c r="F50" s="15"/>
      <c r="G50" s="16"/>
      <c r="H50" s="16" t="str">
        <f ca="1">IFERROR(__xludf.DUMMYFUNCTION("IFERROR(GOOGLEFINANCE(""NSE:""&amp;B50,""price""),"""")"),"")</f>
        <v/>
      </c>
      <c r="I50" s="15"/>
      <c r="J50" s="16">
        <f t="shared" si="0"/>
        <v>0</v>
      </c>
      <c r="K50" s="16">
        <f t="shared" si="1"/>
        <v>0</v>
      </c>
      <c r="L50" s="16" t="e">
        <f t="shared" ca="1" si="2"/>
        <v>#VALUE!</v>
      </c>
      <c r="M50" s="19">
        <f t="shared" ca="1" si="3"/>
        <v>0</v>
      </c>
      <c r="N50" s="16">
        <f ca="1">IFERROR(__xludf.DUMMYFUNCTION("IFERROR(IF(G50&gt;0,0,GOOGLEFINANCE(""NSE:""&amp;B50,""change"")),0)"),0)</f>
        <v>0</v>
      </c>
      <c r="O50" s="16">
        <f t="shared" ca="1" si="4"/>
        <v>0</v>
      </c>
      <c r="P50" s="16">
        <f t="shared" si="5"/>
        <v>0</v>
      </c>
      <c r="Q50" s="19">
        <f t="shared" si="6"/>
        <v>0</v>
      </c>
      <c r="R50" s="16"/>
      <c r="S50" s="16"/>
      <c r="T50" s="16"/>
      <c r="U50" s="16"/>
      <c r="V50" s="16"/>
      <c r="W50" s="16"/>
      <c r="X50" s="16"/>
      <c r="Y50" s="16"/>
      <c r="Z50" s="19"/>
      <c r="AA50" s="16"/>
    </row>
    <row r="51" spans="1:27" ht="22.5" customHeight="1">
      <c r="A51" s="15">
        <v>50</v>
      </c>
      <c r="B51" s="32"/>
      <c r="C51" s="33"/>
      <c r="D51" s="34"/>
      <c r="E51" s="32"/>
      <c r="F51" s="34"/>
      <c r="G51" s="32"/>
      <c r="H51" s="16" t="str">
        <f ca="1">IFERROR(__xludf.DUMMYFUNCTION("IFERROR(GOOGLEFINANCE(""NSE:""&amp;B51,""price""),"""")"),"")</f>
        <v/>
      </c>
      <c r="I51" s="15"/>
      <c r="J51" s="16">
        <f t="shared" si="0"/>
        <v>0</v>
      </c>
      <c r="K51" s="16">
        <f t="shared" si="1"/>
        <v>0</v>
      </c>
      <c r="L51" s="16" t="e">
        <f t="shared" ca="1" si="2"/>
        <v>#VALUE!</v>
      </c>
      <c r="M51" s="19">
        <f t="shared" ca="1" si="3"/>
        <v>0</v>
      </c>
      <c r="N51" s="16">
        <f ca="1">IFERROR(__xludf.DUMMYFUNCTION("IFERROR(IF(G51&gt;0,0,GOOGLEFINANCE(""NSE:""&amp;B51,""change"")),0)"),0)</f>
        <v>0</v>
      </c>
      <c r="O51" s="16">
        <f t="shared" ca="1" si="4"/>
        <v>0</v>
      </c>
      <c r="P51" s="16">
        <f t="shared" si="5"/>
        <v>0</v>
      </c>
      <c r="Q51" s="19">
        <f t="shared" si="6"/>
        <v>0</v>
      </c>
      <c r="R51" s="16"/>
      <c r="S51" s="16"/>
      <c r="T51" s="16"/>
      <c r="U51" s="16"/>
      <c r="V51" s="16"/>
      <c r="W51" s="16"/>
      <c r="X51" s="16"/>
      <c r="Y51" s="16"/>
      <c r="Z51" s="19"/>
      <c r="AA51" s="16"/>
    </row>
    <row r="52" spans="1:27" ht="22.5" customHeight="1">
      <c r="A52" s="15">
        <v>51</v>
      </c>
      <c r="B52" s="16"/>
      <c r="C52" s="17"/>
      <c r="D52" s="18"/>
      <c r="E52" s="16"/>
      <c r="F52" s="18"/>
      <c r="G52" s="16"/>
      <c r="H52" s="16" t="str">
        <f ca="1">IFERROR(__xludf.DUMMYFUNCTION("IFERROR(GOOGLEFINANCE(""NSE:""&amp;B52,""price""),"""")"),"")</f>
        <v/>
      </c>
      <c r="I52" s="15"/>
      <c r="J52" s="16">
        <f t="shared" si="0"/>
        <v>0</v>
      </c>
      <c r="K52" s="16">
        <f t="shared" si="1"/>
        <v>0</v>
      </c>
      <c r="L52" s="16" t="e">
        <f t="shared" ca="1" si="2"/>
        <v>#VALUE!</v>
      </c>
      <c r="M52" s="19">
        <f t="shared" ca="1" si="3"/>
        <v>0</v>
      </c>
      <c r="N52" s="16">
        <f ca="1">IFERROR(__xludf.DUMMYFUNCTION("IFERROR(IF(G52&gt;0,0,GOOGLEFINANCE(""NSE:""&amp;B52,""change"")),0)"),0)</f>
        <v>0</v>
      </c>
      <c r="O52" s="16">
        <f t="shared" ca="1" si="4"/>
        <v>0</v>
      </c>
      <c r="P52" s="16">
        <f t="shared" si="5"/>
        <v>0</v>
      </c>
      <c r="Q52" s="19">
        <f t="shared" si="6"/>
        <v>0</v>
      </c>
      <c r="R52" s="16"/>
      <c r="S52" s="16"/>
      <c r="T52" s="16"/>
      <c r="U52" s="16"/>
      <c r="V52" s="16"/>
      <c r="W52" s="16"/>
      <c r="X52" s="16"/>
      <c r="Y52" s="16"/>
      <c r="Z52" s="19"/>
      <c r="AA52" s="16"/>
    </row>
    <row r="53" spans="1:27" ht="22.5" customHeight="1">
      <c r="A53" s="15">
        <v>52</v>
      </c>
      <c r="B53" s="32"/>
      <c r="C53" s="33"/>
      <c r="D53" s="34"/>
      <c r="E53" s="32"/>
      <c r="F53" s="34"/>
      <c r="G53" s="32"/>
      <c r="H53" s="16" t="str">
        <f ca="1">IFERROR(__xludf.DUMMYFUNCTION("IFERROR(GOOGLEFINANCE(""NSE:""&amp;B53,""price""),"""")"),"")</f>
        <v/>
      </c>
      <c r="I53" s="15"/>
      <c r="J53" s="16">
        <f t="shared" si="0"/>
        <v>0</v>
      </c>
      <c r="K53" s="16">
        <f t="shared" si="1"/>
        <v>0</v>
      </c>
      <c r="L53" s="16" t="e">
        <f t="shared" ca="1" si="2"/>
        <v>#VALUE!</v>
      </c>
      <c r="M53" s="19">
        <f t="shared" ca="1" si="3"/>
        <v>0</v>
      </c>
      <c r="N53" s="16">
        <f ca="1">IFERROR(__xludf.DUMMYFUNCTION("IFERROR(IF(G53&gt;0,0,GOOGLEFINANCE(""NSE:""&amp;B53,""change"")),0)"),0)</f>
        <v>0</v>
      </c>
      <c r="O53" s="16">
        <f t="shared" ca="1" si="4"/>
        <v>0</v>
      </c>
      <c r="P53" s="16">
        <f t="shared" si="5"/>
        <v>0</v>
      </c>
      <c r="Q53" s="19">
        <f t="shared" si="6"/>
        <v>0</v>
      </c>
      <c r="R53" s="32"/>
      <c r="S53" s="32"/>
      <c r="T53" s="32"/>
      <c r="U53" s="32"/>
      <c r="V53" s="32"/>
      <c r="W53" s="32"/>
      <c r="X53" s="32"/>
      <c r="Y53" s="32"/>
      <c r="Z53" s="35"/>
      <c r="AA53" s="32"/>
    </row>
  </sheetData>
  <conditionalFormatting sqref="L2:Q53 Y2:Z53 AM3:AO3 AI3:AJ3 AE4:AE6 AE10">
    <cfRule type="cellIs" dxfId="25" priority="1" operator="lessThan">
      <formula>0</formula>
    </cfRule>
    <cfRule type="cellIs" dxfId="24" priority="2" operator="greaterThan">
      <formula>0</formula>
    </cfRule>
  </conditionalFormatting>
  <dataValidations count="3">
    <dataValidation type="custom" allowBlank="1" showDropDown="1" sqref="D2:D53" xr:uid="{00000000-0002-0000-0200-000000000000}">
      <formula1>OR(NOT(ISERROR(DATEVALUE(D2))), AND(ISNUMBER(D2), LEFT(CELL("format", D2))="D"))</formula1>
    </dataValidation>
    <dataValidation type="custom" allowBlank="1" showDropDown="1" sqref="E2:E53 G2:H53 J2:Q53" xr:uid="{00000000-0002-0000-0200-000001000000}">
      <formula1>AND(ISNUMBER(E2),(NOT(OR(NOT(ISERROR(DATEVALUE(E2))), AND(ISNUMBER(E2), LEFT(CELL("format", E2))="D")))))</formula1>
    </dataValidation>
    <dataValidation type="list" allowBlank="1" sqref="C2:C53" xr:uid="{00000000-0002-0000-0200-000002000000}">
      <formula1>"DHAN,RAM,KAMAL,ESPRESSO,FYERS,Paytm,ANGELONE,Dashrathlal"</formula1>
    </dataValidation>
  </dataValidation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53"/>
  <sheetViews>
    <sheetView showGridLines="0" tabSelected="1" workbookViewId="0">
      <pane ySplit="1" topLeftCell="A2" activePane="bottomLeft" state="frozen"/>
      <selection pane="bottomLeft" activeCell="B7" sqref="B7"/>
    </sheetView>
  </sheetViews>
  <sheetFormatPr defaultColWidth="12.6640625" defaultRowHeight="15.75" customHeight="1"/>
  <cols>
    <col min="1" max="1" width="4.33203125" customWidth="1"/>
    <col min="2" max="2" width="12.88671875" customWidth="1"/>
    <col min="3" max="3" width="15" customWidth="1"/>
    <col min="4" max="4" width="15.44140625" customWidth="1"/>
    <col min="5" max="5" width="11.6640625" customWidth="1"/>
    <col min="6" max="6" width="12.109375" customWidth="1"/>
    <col min="7" max="7" width="11.44140625" customWidth="1"/>
    <col min="8" max="8" width="11.6640625" customWidth="1"/>
    <col min="9" max="9" width="8.109375" customWidth="1"/>
    <col min="10" max="10" width="15.109375" customWidth="1"/>
    <col min="11" max="11" width="15.44140625" customWidth="1"/>
    <col min="12" max="12" width="19.77734375" customWidth="1"/>
    <col min="13" max="15" width="14.44140625" customWidth="1"/>
    <col min="16" max="16" width="18.21875" customWidth="1"/>
    <col min="17" max="17" width="14.44140625" customWidth="1"/>
    <col min="18" max="18" width="7" hidden="1" customWidth="1"/>
    <col min="19" max="19" width="9.77734375" hidden="1" customWidth="1"/>
    <col min="20" max="20" width="5.109375" hidden="1" customWidth="1"/>
    <col min="21" max="21" width="11.21875" hidden="1" customWidth="1"/>
    <col min="22" max="22" width="8" hidden="1" customWidth="1"/>
    <col min="23" max="23" width="10.109375" hidden="1" customWidth="1"/>
    <col min="24" max="24" width="11.21875" hidden="1" customWidth="1"/>
    <col min="25" max="25" width="9.33203125" hidden="1" customWidth="1"/>
    <col min="26" max="26" width="8.44140625" hidden="1" customWidth="1"/>
    <col min="27" max="27" width="12.6640625" hidden="1"/>
    <col min="28" max="28" width="25.21875" customWidth="1"/>
    <col min="29" max="30" width="17.88671875" customWidth="1"/>
    <col min="35" max="36" width="13.88671875" customWidth="1"/>
  </cols>
  <sheetData>
    <row r="1" spans="1:41" ht="22.5" customHeight="1">
      <c r="A1" s="11" t="s">
        <v>72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11" t="s">
        <v>79</v>
      </c>
      <c r="J1" s="11" t="s">
        <v>80</v>
      </c>
      <c r="K1" s="11" t="s">
        <v>81</v>
      </c>
      <c r="L1" s="11" t="s">
        <v>6</v>
      </c>
      <c r="M1" s="11" t="s">
        <v>82</v>
      </c>
      <c r="N1" s="11" t="s">
        <v>83</v>
      </c>
      <c r="O1" s="11" t="s">
        <v>84</v>
      </c>
      <c r="P1" s="11" t="s">
        <v>5</v>
      </c>
      <c r="Q1" s="11" t="s">
        <v>85</v>
      </c>
      <c r="R1" s="11" t="s">
        <v>86</v>
      </c>
      <c r="S1" s="11" t="s">
        <v>87</v>
      </c>
      <c r="T1" s="11" t="s">
        <v>88</v>
      </c>
      <c r="U1" s="11" t="s">
        <v>89</v>
      </c>
      <c r="V1" s="11" t="s">
        <v>90</v>
      </c>
      <c r="W1" s="11" t="s">
        <v>91</v>
      </c>
      <c r="X1" s="11" t="s">
        <v>92</v>
      </c>
      <c r="Y1" s="11" t="s">
        <v>93</v>
      </c>
      <c r="Z1" s="11" t="s">
        <v>94</v>
      </c>
      <c r="AA1" s="11" t="s">
        <v>95</v>
      </c>
      <c r="AB1" s="12" t="s">
        <v>96</v>
      </c>
      <c r="AC1" s="13"/>
      <c r="AD1" s="14"/>
    </row>
    <row r="2" spans="1:41" ht="22.5" customHeight="1">
      <c r="A2" s="15">
        <v>1</v>
      </c>
      <c r="B2" s="16" t="s">
        <v>15</v>
      </c>
      <c r="C2" s="17" t="s">
        <v>104</v>
      </c>
      <c r="D2" s="18">
        <v>45951</v>
      </c>
      <c r="E2" s="16">
        <v>20.13</v>
      </c>
      <c r="F2" s="18"/>
      <c r="G2" s="16">
        <v>0</v>
      </c>
      <c r="H2" s="16">
        <f ca="1">IFERROR(__xludf.DUMMYFUNCTION("IFERROR(GOOGLEFINANCE(""NSE:""&amp;B2,""price""),"""")"),21.49)</f>
        <v>21.49</v>
      </c>
      <c r="I2" s="15">
        <v>51</v>
      </c>
      <c r="J2" s="16">
        <f t="shared" ref="J2:J53" si="0">E2*I2</f>
        <v>1026.6299999999999</v>
      </c>
      <c r="K2" s="16">
        <f t="shared" ref="K2:K53" si="1">IF(G2&gt;0,(E2+G2)*I2,E2*I2)</f>
        <v>1026.6299999999999</v>
      </c>
      <c r="L2" s="16">
        <f t="shared" ref="L2:L53" ca="1" si="2">IF(G2&gt;0,0,(H2-E2)*I2)</f>
        <v>69.359999999999971</v>
      </c>
      <c r="M2" s="19">
        <f t="shared" ref="M2:M53" ca="1" si="3">IFERROR(IF(G2&gt;0,0,(H2-E2)/E2),0)</f>
        <v>6.7560854446100327E-2</v>
      </c>
      <c r="N2" s="16">
        <f ca="1">IFERROR(__xludf.DUMMYFUNCTION("IFERROR(IF(G2&gt;0,0,GOOGLEFINANCE(""NSE:""&amp;B2,""change"")),)"),0.34)</f>
        <v>0.34</v>
      </c>
      <c r="O2" s="16">
        <f t="shared" ref="O2:O53" ca="1" si="4">I2*N2</f>
        <v>17.34</v>
      </c>
      <c r="P2" s="16">
        <f t="shared" ref="P2:P53" si="5">IF(G2=0,0,(G2-E2)*I2)</f>
        <v>0</v>
      </c>
      <c r="Q2" s="19">
        <f t="shared" ref="Q2:Q53" si="6">IF(G2&gt;0,(G2-E2)/E2,0)</f>
        <v>0</v>
      </c>
      <c r="R2" s="16">
        <f t="shared" ref="R2:R6" si="7">0.001*K2</f>
        <v>1.0266299999999999</v>
      </c>
      <c r="S2" s="16">
        <f t="shared" ref="S2:S6" si="8">0.0000325*K2</f>
        <v>3.3365474999999992E-2</v>
      </c>
      <c r="T2" s="16">
        <f t="shared" ref="T2:T9" si="9">0.18*S2</f>
        <v>6.0057854999999985E-3</v>
      </c>
      <c r="U2" s="20">
        <f t="shared" ref="U2:U6" si="10">0.0000005*K2</f>
        <v>5.1331499999999987E-4</v>
      </c>
      <c r="V2" s="16">
        <f t="shared" ref="V2:V9" si="11">R2+S2+T2+U2</f>
        <v>1.0665145755000001</v>
      </c>
      <c r="W2" s="16">
        <f t="shared" ref="W2:W4" si="12">IF(G2&gt;0,15.34,0)</f>
        <v>0</v>
      </c>
      <c r="X2" s="16">
        <f t="shared" ref="X2:X9" si="13">V2+W2</f>
        <v>1.0665145755000001</v>
      </c>
      <c r="Y2" s="16">
        <f t="shared" ref="Y2:Y4" si="14">IF(G2&gt;0,P2-X2,0)</f>
        <v>0</v>
      </c>
      <c r="Z2" s="19">
        <f t="shared" ref="Z2:Z6" si="15">Y2/J2</f>
        <v>0</v>
      </c>
      <c r="AA2" s="21">
        <f>SUM($AE$2,Y2)</f>
        <v>50000</v>
      </c>
      <c r="AB2" s="22"/>
      <c r="AC2" s="22"/>
      <c r="AD2" s="23" t="s">
        <v>98</v>
      </c>
      <c r="AE2" s="8">
        <v>50000</v>
      </c>
      <c r="AG2" s="113"/>
      <c r="AH2" s="134"/>
      <c r="AI2" s="114" t="s">
        <v>275</v>
      </c>
      <c r="AJ2" s="115"/>
      <c r="AL2" s="113"/>
      <c r="AM2" s="114" t="s">
        <v>275</v>
      </c>
      <c r="AN2" s="134"/>
      <c r="AO2" s="115"/>
    </row>
    <row r="3" spans="1:41" ht="22.5" customHeight="1">
      <c r="A3" s="15">
        <v>2</v>
      </c>
      <c r="B3" s="16" t="s">
        <v>27</v>
      </c>
      <c r="C3" s="17" t="s">
        <v>104</v>
      </c>
      <c r="D3" s="18">
        <v>45233</v>
      </c>
      <c r="E3" s="16">
        <v>74.900000000000006</v>
      </c>
      <c r="F3" s="18"/>
      <c r="G3" s="16">
        <v>0</v>
      </c>
      <c r="H3" s="16">
        <f ca="1">IFERROR(__xludf.DUMMYFUNCTION("IFERROR(GOOGLEFINANCE(""NSE:""&amp;B3,""price""),"""")"),116.72)</f>
        <v>116.72</v>
      </c>
      <c r="I3" s="15">
        <v>200</v>
      </c>
      <c r="J3" s="16">
        <f t="shared" si="0"/>
        <v>14980.000000000002</v>
      </c>
      <c r="K3" s="16">
        <f t="shared" si="1"/>
        <v>14980.000000000002</v>
      </c>
      <c r="L3" s="16">
        <f t="shared" ca="1" si="2"/>
        <v>8363.9999999999982</v>
      </c>
      <c r="M3" s="19">
        <f t="shared" ca="1" si="3"/>
        <v>0.55834445927903853</v>
      </c>
      <c r="N3" s="16">
        <f ca="1">IFERROR(__xludf.DUMMYFUNCTION("IFERROR(IF(G3&gt;0,0,GOOGLEFINANCE(""NSE:""&amp;B3,""change"")),0)"),0.58)</f>
        <v>0.57999999999999996</v>
      </c>
      <c r="O3" s="16">
        <f t="shared" ca="1" si="4"/>
        <v>115.99999999999999</v>
      </c>
      <c r="P3" s="16">
        <f t="shared" si="5"/>
        <v>0</v>
      </c>
      <c r="Q3" s="19">
        <f t="shared" si="6"/>
        <v>0</v>
      </c>
      <c r="R3" s="16">
        <f t="shared" si="7"/>
        <v>14.980000000000002</v>
      </c>
      <c r="S3" s="16">
        <f t="shared" si="8"/>
        <v>0.48685</v>
      </c>
      <c r="T3" s="16">
        <f t="shared" si="9"/>
        <v>8.7633000000000003E-2</v>
      </c>
      <c r="U3" s="16">
        <f t="shared" si="10"/>
        <v>7.490000000000001E-3</v>
      </c>
      <c r="V3" s="16">
        <f t="shared" si="11"/>
        <v>15.561973000000004</v>
      </c>
      <c r="W3" s="16">
        <f t="shared" si="12"/>
        <v>0</v>
      </c>
      <c r="X3" s="16">
        <f t="shared" si="13"/>
        <v>15.561973000000004</v>
      </c>
      <c r="Y3" s="16">
        <f t="shared" si="14"/>
        <v>0</v>
      </c>
      <c r="Z3" s="19">
        <f t="shared" si="15"/>
        <v>0</v>
      </c>
      <c r="AA3" s="21">
        <f t="shared" ref="AA3:AA9" si="16">SUM(AA2,Y3)</f>
        <v>50000</v>
      </c>
      <c r="AB3" s="22"/>
      <c r="AC3" s="22"/>
      <c r="AD3" s="23" t="s">
        <v>99</v>
      </c>
      <c r="AE3" s="8">
        <f>AE2+AE4</f>
        <v>50000</v>
      </c>
      <c r="AG3" s="114" t="s">
        <v>73</v>
      </c>
      <c r="AH3" s="114" t="s">
        <v>4</v>
      </c>
      <c r="AI3" s="113" t="s">
        <v>9</v>
      </c>
      <c r="AJ3" s="116" t="s">
        <v>8</v>
      </c>
      <c r="AL3" s="114" t="s">
        <v>4</v>
      </c>
      <c r="AM3" s="113" t="s">
        <v>5</v>
      </c>
      <c r="AN3" s="135" t="s">
        <v>6</v>
      </c>
      <c r="AO3" s="116" t="s">
        <v>7</v>
      </c>
    </row>
    <row r="4" spans="1:41" ht="22.5" customHeight="1">
      <c r="A4" s="15">
        <v>3</v>
      </c>
      <c r="B4" s="16" t="s">
        <v>117</v>
      </c>
      <c r="C4" s="17" t="s">
        <v>104</v>
      </c>
      <c r="D4" s="18">
        <v>44951</v>
      </c>
      <c r="E4" s="16">
        <v>10.8</v>
      </c>
      <c r="F4" s="18"/>
      <c r="G4" s="16">
        <v>0</v>
      </c>
      <c r="H4" s="16">
        <f ca="1">IFERROR(__xludf.DUMMYFUNCTION("IFERROR(GOOGLEFINANCE(""NSE:""&amp;B4,""price""),"""")"),12.02)</f>
        <v>12.02</v>
      </c>
      <c r="I4" s="15">
        <v>225</v>
      </c>
      <c r="J4" s="16">
        <f t="shared" si="0"/>
        <v>2430</v>
      </c>
      <c r="K4" s="16">
        <f t="shared" si="1"/>
        <v>2430</v>
      </c>
      <c r="L4" s="16">
        <f t="shared" ca="1" si="2"/>
        <v>274.49999999999977</v>
      </c>
      <c r="M4" s="19">
        <f t="shared" ca="1" si="3"/>
        <v>0.11296296296296285</v>
      </c>
      <c r="N4" s="16">
        <f ca="1">IFERROR(__xludf.DUMMYFUNCTION("IFERROR(IF(G4&gt;0,0,GOOGLEFINANCE(""NSE:""&amp;B4,""change"")),0)"),0.17)</f>
        <v>0.17</v>
      </c>
      <c r="O4" s="16">
        <f t="shared" ca="1" si="4"/>
        <v>38.25</v>
      </c>
      <c r="P4" s="16">
        <f t="shared" si="5"/>
        <v>0</v>
      </c>
      <c r="Q4" s="19">
        <f t="shared" si="6"/>
        <v>0</v>
      </c>
      <c r="R4" s="16">
        <f t="shared" si="7"/>
        <v>2.4300000000000002</v>
      </c>
      <c r="S4" s="16">
        <f t="shared" si="8"/>
        <v>7.897499999999999E-2</v>
      </c>
      <c r="T4" s="16">
        <f t="shared" si="9"/>
        <v>1.4215499999999997E-2</v>
      </c>
      <c r="U4" s="16">
        <f t="shared" si="10"/>
        <v>1.2149999999999999E-3</v>
      </c>
      <c r="V4" s="16">
        <f t="shared" si="11"/>
        <v>2.5244055000000003</v>
      </c>
      <c r="W4" s="16">
        <f t="shared" si="12"/>
        <v>0</v>
      </c>
      <c r="X4" s="16">
        <f t="shared" si="13"/>
        <v>2.5244055000000003</v>
      </c>
      <c r="Y4" s="16">
        <f t="shared" si="14"/>
        <v>0</v>
      </c>
      <c r="Z4" s="19">
        <f t="shared" si="15"/>
        <v>0</v>
      </c>
      <c r="AA4" s="21">
        <f t="shared" si="16"/>
        <v>50000</v>
      </c>
      <c r="AB4" s="22"/>
      <c r="AC4" s="22"/>
      <c r="AD4" s="23" t="s">
        <v>100</v>
      </c>
      <c r="AE4" s="8">
        <f>SUM(P2:P53)</f>
        <v>0</v>
      </c>
      <c r="AG4" s="113" t="s">
        <v>104</v>
      </c>
      <c r="AH4" s="136" t="s">
        <v>15</v>
      </c>
      <c r="AI4" s="117">
        <v>69.359999999999971</v>
      </c>
      <c r="AJ4" s="118">
        <v>0</v>
      </c>
      <c r="AL4" s="136" t="s">
        <v>15</v>
      </c>
      <c r="AM4" s="117">
        <v>0</v>
      </c>
      <c r="AN4" s="137">
        <v>69.359999999999971</v>
      </c>
      <c r="AO4" s="118">
        <v>17.34</v>
      </c>
    </row>
    <row r="5" spans="1:41" ht="22.5" customHeight="1">
      <c r="A5" s="15">
        <v>4</v>
      </c>
      <c r="B5" s="16" t="s">
        <v>35</v>
      </c>
      <c r="C5" s="17" t="s">
        <v>104</v>
      </c>
      <c r="D5" s="18">
        <v>44504</v>
      </c>
      <c r="E5" s="16">
        <v>823.2</v>
      </c>
      <c r="F5" s="18"/>
      <c r="G5" s="16">
        <v>0</v>
      </c>
      <c r="H5" s="16">
        <f ca="1">IFERROR(__xludf.DUMMYFUNCTION("IFERROR(GOOGLEFINANCE(""NSE:""&amp;B5,""price""),"""")"),680.5)</f>
        <v>680.5</v>
      </c>
      <c r="I5" s="15">
        <v>1</v>
      </c>
      <c r="J5" s="16">
        <f t="shared" si="0"/>
        <v>823.2</v>
      </c>
      <c r="K5" s="16">
        <f t="shared" si="1"/>
        <v>823.2</v>
      </c>
      <c r="L5" s="16">
        <f t="shared" ca="1" si="2"/>
        <v>-142.70000000000005</v>
      </c>
      <c r="M5" s="19">
        <f t="shared" ca="1" si="3"/>
        <v>-0.1733479105928086</v>
      </c>
      <c r="N5" s="16">
        <f ca="1">IFERROR(__xludf.DUMMYFUNCTION("IFERROR(IF(G5&gt;0,0,GOOGLEFINANCE(""NSE:""&amp;B5,""change"")),0)"),-1.15)</f>
        <v>-1.1499999999999999</v>
      </c>
      <c r="O5" s="16">
        <f t="shared" ca="1" si="4"/>
        <v>-1.1499999999999999</v>
      </c>
      <c r="P5" s="16">
        <f t="shared" si="5"/>
        <v>0</v>
      </c>
      <c r="Q5" s="19">
        <f t="shared" si="6"/>
        <v>0</v>
      </c>
      <c r="R5" s="16">
        <f t="shared" si="7"/>
        <v>0.82320000000000004</v>
      </c>
      <c r="S5" s="16">
        <f t="shared" si="8"/>
        <v>2.6754E-2</v>
      </c>
      <c r="T5" s="16">
        <f t="shared" si="9"/>
        <v>4.8157199999999999E-3</v>
      </c>
      <c r="U5" s="16">
        <f t="shared" si="10"/>
        <v>4.1160000000000003E-4</v>
      </c>
      <c r="V5" s="16">
        <f t="shared" si="11"/>
        <v>0.85518132000000002</v>
      </c>
      <c r="W5" s="16">
        <f t="shared" ref="W5:W6" si="17">IF(G6&gt;0,15.34,0)</f>
        <v>0</v>
      </c>
      <c r="X5" s="16">
        <f t="shared" si="13"/>
        <v>0.85518132000000002</v>
      </c>
      <c r="Y5" s="16">
        <f t="shared" ref="Y5:Y6" si="18">IF(G6&gt;0,P5-X5,0)</f>
        <v>0</v>
      </c>
      <c r="Z5" s="19">
        <f t="shared" si="15"/>
        <v>0</v>
      </c>
      <c r="AA5" s="21">
        <f t="shared" si="16"/>
        <v>50000</v>
      </c>
      <c r="AB5" s="22"/>
      <c r="AC5" s="22" t="s">
        <v>102</v>
      </c>
      <c r="AD5" s="23" t="s">
        <v>103</v>
      </c>
      <c r="AE5" s="24">
        <f>AE4/AE2</f>
        <v>0</v>
      </c>
      <c r="AG5" s="143"/>
      <c r="AH5" s="138" t="s">
        <v>27</v>
      </c>
      <c r="AI5" s="120">
        <v>8363.9999999999982</v>
      </c>
      <c r="AJ5" s="121">
        <v>0</v>
      </c>
      <c r="AL5" s="138" t="s">
        <v>27</v>
      </c>
      <c r="AM5" s="120">
        <v>0</v>
      </c>
      <c r="AN5" s="139">
        <v>8363.9999999999982</v>
      </c>
      <c r="AO5" s="121">
        <v>115.99999999999999</v>
      </c>
    </row>
    <row r="6" spans="1:41" ht="22.5" customHeight="1">
      <c r="A6" s="15">
        <v>5</v>
      </c>
      <c r="B6" s="25" t="s">
        <v>61</v>
      </c>
      <c r="C6" s="17" t="s">
        <v>104</v>
      </c>
      <c r="D6" s="18">
        <v>45597</v>
      </c>
      <c r="E6" s="16">
        <v>102</v>
      </c>
      <c r="F6" s="18"/>
      <c r="G6" s="16">
        <v>0</v>
      </c>
      <c r="H6" s="16">
        <f ca="1">IFERROR(__xludf.DUMMYFUNCTION("IFERROR(GOOGLEFINANCE(""NSE:""&amp;B6,""price""),"""")"),114.45)</f>
        <v>114.45</v>
      </c>
      <c r="I6" s="15">
        <v>51</v>
      </c>
      <c r="J6" s="16">
        <f t="shared" si="0"/>
        <v>5202</v>
      </c>
      <c r="K6" s="16">
        <f t="shared" si="1"/>
        <v>5202</v>
      </c>
      <c r="L6" s="16">
        <f t="shared" ca="1" si="2"/>
        <v>634.95000000000016</v>
      </c>
      <c r="M6" s="19">
        <f t="shared" ca="1" si="3"/>
        <v>0.12205882352941179</v>
      </c>
      <c r="N6" s="16">
        <f ca="1">IFERROR(__xludf.DUMMYFUNCTION("IFERROR(IF(G6&gt;0,0,GOOGLEFINANCE(""NSE:""&amp;B6,""change"")),0)"),0.42)</f>
        <v>0.42</v>
      </c>
      <c r="O6" s="16">
        <f t="shared" ca="1" si="4"/>
        <v>21.419999999999998</v>
      </c>
      <c r="P6" s="16">
        <f t="shared" si="5"/>
        <v>0</v>
      </c>
      <c r="Q6" s="19">
        <f t="shared" si="6"/>
        <v>0</v>
      </c>
      <c r="R6" s="16">
        <f t="shared" si="7"/>
        <v>5.202</v>
      </c>
      <c r="S6" s="16">
        <f t="shared" si="8"/>
        <v>0.16906499999999999</v>
      </c>
      <c r="T6" s="16">
        <f t="shared" si="9"/>
        <v>3.0431699999999999E-2</v>
      </c>
      <c r="U6" s="16">
        <f t="shared" si="10"/>
        <v>2.601E-3</v>
      </c>
      <c r="V6" s="16">
        <f t="shared" si="11"/>
        <v>5.4040977000000003</v>
      </c>
      <c r="W6" s="16">
        <f t="shared" si="17"/>
        <v>0</v>
      </c>
      <c r="X6" s="16">
        <f t="shared" si="13"/>
        <v>5.4040977000000003</v>
      </c>
      <c r="Y6" s="16">
        <f t="shared" si="18"/>
        <v>0</v>
      </c>
      <c r="Z6" s="19">
        <f t="shared" si="15"/>
        <v>0</v>
      </c>
      <c r="AA6" s="21">
        <f t="shared" si="16"/>
        <v>50000</v>
      </c>
      <c r="AB6" s="22"/>
      <c r="AC6" s="22"/>
      <c r="AD6" s="22"/>
      <c r="AE6" s="26"/>
      <c r="AG6" s="143"/>
      <c r="AH6" s="138" t="s">
        <v>117</v>
      </c>
      <c r="AI6" s="120">
        <v>274.49999999999977</v>
      </c>
      <c r="AJ6" s="121">
        <v>0</v>
      </c>
      <c r="AL6" s="138" t="s">
        <v>117</v>
      </c>
      <c r="AM6" s="120">
        <v>0</v>
      </c>
      <c r="AN6" s="139">
        <v>274.49999999999977</v>
      </c>
      <c r="AO6" s="121">
        <v>38.25</v>
      </c>
    </row>
    <row r="7" spans="1:41" ht="22.5" customHeight="1">
      <c r="A7" s="15">
        <v>6</v>
      </c>
      <c r="B7" s="25" t="s">
        <v>278</v>
      </c>
      <c r="C7" s="17" t="s">
        <v>104</v>
      </c>
      <c r="D7" s="18">
        <v>45951</v>
      </c>
      <c r="E7" s="16">
        <v>150</v>
      </c>
      <c r="F7" s="18"/>
      <c r="G7" s="16">
        <v>0</v>
      </c>
      <c r="H7" s="16">
        <f ca="1">IFERROR(__xludf.DUMMYFUNCTION("IFERROR(GOOGLEFINANCE(""NSE:""&amp;B7,""price""),"""")"),204)</f>
        <v>204</v>
      </c>
      <c r="I7" s="15">
        <v>5</v>
      </c>
      <c r="J7" s="16">
        <f t="shared" si="0"/>
        <v>750</v>
      </c>
      <c r="K7" s="16">
        <f t="shared" si="1"/>
        <v>750</v>
      </c>
      <c r="L7" s="16">
        <f t="shared" ca="1" si="2"/>
        <v>270</v>
      </c>
      <c r="M7" s="19">
        <f t="shared" ca="1" si="3"/>
        <v>0.36</v>
      </c>
      <c r="N7" s="16">
        <f ca="1">IFERROR(__xludf.DUMMYFUNCTION("IFERROR(IF(G7&gt;0,0,GOOGLEFINANCE(""NSE:""&amp;B7,""change"")),0)"),1.46)</f>
        <v>1.46</v>
      </c>
      <c r="O7" s="16">
        <f t="shared" ca="1" si="4"/>
        <v>7.3</v>
      </c>
      <c r="P7" s="16">
        <f t="shared" si="5"/>
        <v>0</v>
      </c>
      <c r="Q7" s="19">
        <f t="shared" si="6"/>
        <v>0</v>
      </c>
      <c r="R7" s="16" t="e">
        <f t="shared" ref="R7:R9" si="19">0.001*#REF!</f>
        <v>#REF!</v>
      </c>
      <c r="S7" s="16" t="e">
        <f t="shared" ref="S7:S9" si="20">0.0000325*#REF!</f>
        <v>#REF!</v>
      </c>
      <c r="T7" s="16" t="e">
        <f t="shared" si="9"/>
        <v>#REF!</v>
      </c>
      <c r="U7" s="16" t="e">
        <f t="shared" ref="U7:U9" si="21">0.0000005*#REF!</f>
        <v>#REF!</v>
      </c>
      <c r="V7" s="16" t="e">
        <f t="shared" si="11"/>
        <v>#REF!</v>
      </c>
      <c r="W7" s="16" t="e">
        <f t="shared" ref="W7:W9" si="22">IF(#REF!&gt;0,15.34,0)</f>
        <v>#REF!</v>
      </c>
      <c r="X7" s="16" t="e">
        <f t="shared" si="13"/>
        <v>#REF!</v>
      </c>
      <c r="Y7" s="16" t="e">
        <f t="shared" ref="Y7:Y9" si="23">IF(#REF!&gt;0,P7-X7,0)</f>
        <v>#REF!</v>
      </c>
      <c r="Z7" s="19" t="e">
        <f t="shared" ref="Z7:Z9" si="24">Y7/#REF!</f>
        <v>#REF!</v>
      </c>
      <c r="AA7" s="21" t="e">
        <f t="shared" si="16"/>
        <v>#REF!</v>
      </c>
      <c r="AB7" s="22"/>
      <c r="AC7" s="6" t="s">
        <v>105</v>
      </c>
      <c r="AD7" s="114" t="s">
        <v>76</v>
      </c>
      <c r="AE7" s="125" t="s">
        <v>8</v>
      </c>
      <c r="AG7" s="143"/>
      <c r="AH7" s="138" t="s">
        <v>35</v>
      </c>
      <c r="AI7" s="120">
        <v>-142.70000000000005</v>
      </c>
      <c r="AJ7" s="121">
        <v>0</v>
      </c>
      <c r="AL7" s="138" t="s">
        <v>35</v>
      </c>
      <c r="AM7" s="120">
        <v>0</v>
      </c>
      <c r="AN7" s="139">
        <v>-142.70000000000005</v>
      </c>
      <c r="AO7" s="121">
        <v>-1.1499999999999999</v>
      </c>
    </row>
    <row r="8" spans="1:41" ht="22.5" customHeight="1">
      <c r="A8" s="15">
        <v>7</v>
      </c>
      <c r="B8" s="16" t="s">
        <v>43</v>
      </c>
      <c r="C8" s="17" t="s">
        <v>104</v>
      </c>
      <c r="D8" s="18">
        <v>45938</v>
      </c>
      <c r="E8" s="16">
        <v>920</v>
      </c>
      <c r="F8" s="18"/>
      <c r="G8" s="16">
        <v>0</v>
      </c>
      <c r="H8" s="16">
        <f ca="1">IFERROR(__xludf.DUMMYFUNCTION("IFERROR(GOOGLEFINANCE(""NSE:""&amp;B8,""price""),"""")"),835)</f>
        <v>835</v>
      </c>
      <c r="I8" s="15">
        <v>11</v>
      </c>
      <c r="J8" s="16">
        <f t="shared" si="0"/>
        <v>10120</v>
      </c>
      <c r="K8" s="16">
        <f t="shared" si="1"/>
        <v>10120</v>
      </c>
      <c r="L8" s="16">
        <f t="shared" ca="1" si="2"/>
        <v>-935</v>
      </c>
      <c r="M8" s="19">
        <f t="shared" ca="1" si="3"/>
        <v>-9.2391304347826081E-2</v>
      </c>
      <c r="N8" s="16">
        <f ca="1">IFERROR(__xludf.DUMMYFUNCTION("IFERROR(IF(G8&gt;0,0,GOOGLEFINANCE(""NSE:""&amp;B8,""change"")),0)"),18.5)</f>
        <v>18.5</v>
      </c>
      <c r="O8" s="16">
        <f t="shared" ca="1" si="4"/>
        <v>203.5</v>
      </c>
      <c r="P8" s="16">
        <f t="shared" si="5"/>
        <v>0</v>
      </c>
      <c r="Q8" s="19">
        <f t="shared" si="6"/>
        <v>0</v>
      </c>
      <c r="R8" s="16" t="e">
        <f t="shared" si="19"/>
        <v>#REF!</v>
      </c>
      <c r="S8" s="16" t="e">
        <f t="shared" si="20"/>
        <v>#REF!</v>
      </c>
      <c r="T8" s="16" t="e">
        <f t="shared" si="9"/>
        <v>#REF!</v>
      </c>
      <c r="U8" s="16" t="e">
        <f t="shared" si="21"/>
        <v>#REF!</v>
      </c>
      <c r="V8" s="16" t="e">
        <f t="shared" si="11"/>
        <v>#REF!</v>
      </c>
      <c r="W8" s="16" t="e">
        <f t="shared" si="22"/>
        <v>#REF!</v>
      </c>
      <c r="X8" s="16" t="e">
        <f t="shared" si="13"/>
        <v>#REF!</v>
      </c>
      <c r="Y8" s="16" t="e">
        <f t="shared" si="23"/>
        <v>#REF!</v>
      </c>
      <c r="Z8" s="19" t="e">
        <f t="shared" si="24"/>
        <v>#REF!</v>
      </c>
      <c r="AA8" s="21" t="e">
        <f t="shared" si="16"/>
        <v>#REF!</v>
      </c>
      <c r="AC8" s="6" t="s">
        <v>102</v>
      </c>
      <c r="AD8" s="113" t="s">
        <v>276</v>
      </c>
      <c r="AE8" s="127">
        <v>0</v>
      </c>
      <c r="AG8" s="143"/>
      <c r="AH8" s="138" t="s">
        <v>61</v>
      </c>
      <c r="AI8" s="120">
        <v>634.95000000000016</v>
      </c>
      <c r="AJ8" s="121">
        <v>0</v>
      </c>
      <c r="AL8" s="138" t="s">
        <v>61</v>
      </c>
      <c r="AM8" s="120">
        <v>0</v>
      </c>
      <c r="AN8" s="139">
        <v>634.95000000000016</v>
      </c>
      <c r="AO8" s="121">
        <v>21.419999999999998</v>
      </c>
    </row>
    <row r="9" spans="1:41" ht="22.5" customHeight="1">
      <c r="A9" s="15">
        <v>8</v>
      </c>
      <c r="B9" s="16" t="s">
        <v>49</v>
      </c>
      <c r="C9" s="17" t="s">
        <v>104</v>
      </c>
      <c r="D9" s="18">
        <v>45887</v>
      </c>
      <c r="E9" s="16">
        <v>1402</v>
      </c>
      <c r="F9" s="18"/>
      <c r="G9" s="16">
        <v>0</v>
      </c>
      <c r="H9" s="16">
        <f ca="1">IFERROR(__xludf.DUMMYFUNCTION("IFERROR(GOOGLEFINANCE(""NSE:""&amp;B9,""price""),"""")"),1380)</f>
        <v>1380</v>
      </c>
      <c r="I9" s="15">
        <v>5</v>
      </c>
      <c r="J9" s="16">
        <f t="shared" si="0"/>
        <v>7010</v>
      </c>
      <c r="K9" s="16">
        <f t="shared" si="1"/>
        <v>7010</v>
      </c>
      <c r="L9" s="16">
        <f t="shared" ca="1" si="2"/>
        <v>-110</v>
      </c>
      <c r="M9" s="19">
        <f t="shared" ca="1" si="3"/>
        <v>-1.5691868758915834E-2</v>
      </c>
      <c r="N9" s="16">
        <f ca="1">IFERROR(__xludf.DUMMYFUNCTION("IFERROR(IF(G9&gt;0,0,GOOGLEFINANCE(""NSE:""&amp;B9,""change"")),0)"),-8)</f>
        <v>-8</v>
      </c>
      <c r="O9" s="16">
        <f t="shared" ca="1" si="4"/>
        <v>-40</v>
      </c>
      <c r="P9" s="16">
        <f t="shared" si="5"/>
        <v>0</v>
      </c>
      <c r="Q9" s="19">
        <f t="shared" si="6"/>
        <v>0</v>
      </c>
      <c r="R9" s="16" t="e">
        <f t="shared" si="19"/>
        <v>#REF!</v>
      </c>
      <c r="S9" s="16" t="e">
        <f t="shared" si="20"/>
        <v>#REF!</v>
      </c>
      <c r="T9" s="16" t="e">
        <f t="shared" si="9"/>
        <v>#REF!</v>
      </c>
      <c r="U9" s="16" t="e">
        <f t="shared" si="21"/>
        <v>#REF!</v>
      </c>
      <c r="V9" s="16" t="e">
        <f t="shared" si="11"/>
        <v>#REF!</v>
      </c>
      <c r="W9" s="16" t="e">
        <f t="shared" si="22"/>
        <v>#REF!</v>
      </c>
      <c r="X9" s="16" t="e">
        <f t="shared" si="13"/>
        <v>#REF!</v>
      </c>
      <c r="Y9" s="16" t="e">
        <f t="shared" si="23"/>
        <v>#REF!</v>
      </c>
      <c r="Z9" s="19" t="e">
        <f t="shared" si="24"/>
        <v>#REF!</v>
      </c>
      <c r="AA9" s="21" t="e">
        <f t="shared" si="16"/>
        <v>#REF!</v>
      </c>
      <c r="AC9" s="6" t="s">
        <v>102</v>
      </c>
      <c r="AD9" s="122" t="s">
        <v>48</v>
      </c>
      <c r="AE9" s="131">
        <v>0</v>
      </c>
      <c r="AG9" s="143"/>
      <c r="AH9" s="138" t="s">
        <v>118</v>
      </c>
      <c r="AI9" s="120">
        <v>270</v>
      </c>
      <c r="AJ9" s="121">
        <v>0</v>
      </c>
      <c r="AL9" s="138" t="s">
        <v>118</v>
      </c>
      <c r="AM9" s="120">
        <v>0</v>
      </c>
      <c r="AN9" s="139">
        <v>270</v>
      </c>
      <c r="AO9" s="121">
        <v>7.3</v>
      </c>
    </row>
    <row r="10" spans="1:41" ht="22.5" customHeight="1">
      <c r="A10" s="15">
        <v>9</v>
      </c>
      <c r="B10" s="16" t="s">
        <v>119</v>
      </c>
      <c r="C10" s="17" t="s">
        <v>104</v>
      </c>
      <c r="D10" s="18">
        <v>44048</v>
      </c>
      <c r="E10" s="16">
        <v>12.85</v>
      </c>
      <c r="F10" s="18"/>
      <c r="G10" s="16">
        <v>0</v>
      </c>
      <c r="H10" s="16">
        <f ca="1">IFERROR(__xludf.DUMMYFUNCTION("IFERROR(GOOGLEFINANCE(""NSE:""&amp;B10,""price""),"""")"),21.74)</f>
        <v>21.74</v>
      </c>
      <c r="I10" s="15">
        <v>75</v>
      </c>
      <c r="J10" s="16">
        <f t="shared" si="0"/>
        <v>963.75</v>
      </c>
      <c r="K10" s="16">
        <f t="shared" si="1"/>
        <v>963.75</v>
      </c>
      <c r="L10" s="16">
        <f t="shared" ca="1" si="2"/>
        <v>666.74999999999989</v>
      </c>
      <c r="M10" s="19">
        <f t="shared" ca="1" si="3"/>
        <v>0.69182879377431894</v>
      </c>
      <c r="N10" s="16">
        <f ca="1">IFERROR(__xludf.DUMMYFUNCTION("IFERROR(IF(G10&gt;0,0,GOOGLEFINANCE(""NSE:""&amp;B10,""change"")),0)"),-0.04)</f>
        <v>-0.04</v>
      </c>
      <c r="O10" s="16">
        <f t="shared" ca="1" si="4"/>
        <v>-3</v>
      </c>
      <c r="P10" s="16">
        <f t="shared" si="5"/>
        <v>0</v>
      </c>
      <c r="Q10" s="19">
        <f t="shared" si="6"/>
        <v>0</v>
      </c>
      <c r="R10" s="16"/>
      <c r="S10" s="16"/>
      <c r="T10" s="16"/>
      <c r="U10" s="16"/>
      <c r="V10" s="16"/>
      <c r="W10" s="16"/>
      <c r="X10" s="16"/>
      <c r="Y10" s="16"/>
      <c r="Z10" s="19"/>
      <c r="AA10" s="16"/>
      <c r="AC10" s="6" t="s">
        <v>102</v>
      </c>
      <c r="AE10" s="8"/>
      <c r="AG10" s="143"/>
      <c r="AH10" s="138" t="s">
        <v>43</v>
      </c>
      <c r="AI10" s="120">
        <v>-935</v>
      </c>
      <c r="AJ10" s="121">
        <v>0</v>
      </c>
      <c r="AL10" s="138" t="s">
        <v>43</v>
      </c>
      <c r="AM10" s="120">
        <v>0</v>
      </c>
      <c r="AN10" s="139">
        <v>-935</v>
      </c>
      <c r="AO10" s="121">
        <v>203.5</v>
      </c>
    </row>
    <row r="11" spans="1:41" ht="22.5" customHeight="1">
      <c r="A11" s="15">
        <v>10</v>
      </c>
      <c r="B11" s="28"/>
      <c r="C11" s="17" t="s">
        <v>104</v>
      </c>
      <c r="D11" s="18"/>
      <c r="E11" s="16"/>
      <c r="F11" s="29"/>
      <c r="G11" s="16"/>
      <c r="H11" s="16" t="str">
        <f ca="1">IFERROR(__xludf.DUMMYFUNCTION("IFERROR(GOOGLEFINANCE(""NSE:""&amp;B11,""price""),"""")"),"")</f>
        <v/>
      </c>
      <c r="I11" s="15"/>
      <c r="J11" s="16">
        <f t="shared" si="0"/>
        <v>0</v>
      </c>
      <c r="K11" s="16">
        <f t="shared" si="1"/>
        <v>0</v>
      </c>
      <c r="L11" s="16" t="e">
        <f t="shared" ca="1" si="2"/>
        <v>#VALUE!</v>
      </c>
      <c r="M11" s="19">
        <f t="shared" ca="1" si="3"/>
        <v>0</v>
      </c>
      <c r="N11" s="16">
        <f ca="1">IFERROR(__xludf.DUMMYFUNCTION("IFERROR(IF(G11&gt;0,0,GOOGLEFINANCE(""NSE:""&amp;B11,""change"")),0)"),0)</f>
        <v>0</v>
      </c>
      <c r="O11" s="16">
        <f t="shared" ca="1" si="4"/>
        <v>0</v>
      </c>
      <c r="P11" s="16">
        <f t="shared" si="5"/>
        <v>0</v>
      </c>
      <c r="Q11" s="19">
        <f t="shared" si="6"/>
        <v>0</v>
      </c>
      <c r="R11" s="16"/>
      <c r="S11" s="16"/>
      <c r="T11" s="16"/>
      <c r="U11" s="16"/>
      <c r="V11" s="16"/>
      <c r="W11" s="16"/>
      <c r="X11" s="16"/>
      <c r="Y11" s="16"/>
      <c r="Z11" s="19"/>
      <c r="AA11" s="16"/>
      <c r="AC11" s="6" t="s">
        <v>102</v>
      </c>
      <c r="AG11" s="143"/>
      <c r="AH11" s="138" t="s">
        <v>49</v>
      </c>
      <c r="AI11" s="120">
        <v>-110</v>
      </c>
      <c r="AJ11" s="121">
        <v>0</v>
      </c>
      <c r="AL11" s="138" t="s">
        <v>49</v>
      </c>
      <c r="AM11" s="120">
        <v>0</v>
      </c>
      <c r="AN11" s="139">
        <v>-110</v>
      </c>
      <c r="AO11" s="121">
        <v>-40</v>
      </c>
    </row>
    <row r="12" spans="1:41" ht="22.5" customHeight="1">
      <c r="A12" s="15">
        <v>11</v>
      </c>
      <c r="B12" s="28"/>
      <c r="C12" s="17" t="s">
        <v>104</v>
      </c>
      <c r="D12" s="18"/>
      <c r="E12" s="16"/>
      <c r="F12" s="18"/>
      <c r="G12" s="16"/>
      <c r="H12" s="16" t="str">
        <f ca="1">IFERROR(__xludf.DUMMYFUNCTION("IFERROR(GOOGLEFINANCE(""NSE:""&amp;B12,""price""),"""")"),"")</f>
        <v/>
      </c>
      <c r="I12" s="15"/>
      <c r="J12" s="16">
        <f t="shared" si="0"/>
        <v>0</v>
      </c>
      <c r="K12" s="16">
        <f t="shared" si="1"/>
        <v>0</v>
      </c>
      <c r="L12" s="16" t="e">
        <f t="shared" ca="1" si="2"/>
        <v>#VALUE!</v>
      </c>
      <c r="M12" s="19">
        <f t="shared" ca="1" si="3"/>
        <v>0</v>
      </c>
      <c r="N12" s="16">
        <f ca="1">IFERROR(__xludf.DUMMYFUNCTION("IFERROR(IF(G12&gt;0,0,GOOGLEFINANCE(""NSE:""&amp;B12,""change"")),0)"),0)</f>
        <v>0</v>
      </c>
      <c r="O12" s="16">
        <f t="shared" ca="1" si="4"/>
        <v>0</v>
      </c>
      <c r="P12" s="16">
        <f t="shared" si="5"/>
        <v>0</v>
      </c>
      <c r="Q12" s="19">
        <f t="shared" si="6"/>
        <v>0</v>
      </c>
      <c r="R12" s="16"/>
      <c r="S12" s="16"/>
      <c r="T12" s="16"/>
      <c r="U12" s="16"/>
      <c r="V12" s="16"/>
      <c r="W12" s="16"/>
      <c r="X12" s="16"/>
      <c r="Y12" s="16"/>
      <c r="Z12" s="19"/>
      <c r="AA12" s="16"/>
      <c r="AG12" s="143"/>
      <c r="AH12" s="138" t="s">
        <v>119</v>
      </c>
      <c r="AI12" s="120">
        <v>666.74999999999989</v>
      </c>
      <c r="AJ12" s="121">
        <v>0</v>
      </c>
      <c r="AL12" s="138" t="s">
        <v>119</v>
      </c>
      <c r="AM12" s="120">
        <v>0</v>
      </c>
      <c r="AN12" s="139">
        <v>666.74999999999989</v>
      </c>
      <c r="AO12" s="121">
        <v>-3</v>
      </c>
    </row>
    <row r="13" spans="1:41" ht="22.5" customHeight="1">
      <c r="A13" s="15">
        <v>12</v>
      </c>
      <c r="B13" s="30"/>
      <c r="C13" s="17" t="s">
        <v>104</v>
      </c>
      <c r="D13" s="18"/>
      <c r="E13" s="16"/>
      <c r="F13" s="18"/>
      <c r="G13" s="16"/>
      <c r="H13" s="16" t="str">
        <f ca="1">IFERROR(__xludf.DUMMYFUNCTION("IFERROR(GOOGLEFINANCE(""NSE:""&amp;B13,""price""),"""")"),"")</f>
        <v/>
      </c>
      <c r="I13" s="15"/>
      <c r="J13" s="16">
        <f t="shared" si="0"/>
        <v>0</v>
      </c>
      <c r="K13" s="16">
        <f t="shared" si="1"/>
        <v>0</v>
      </c>
      <c r="L13" s="16" t="e">
        <f t="shared" ca="1" si="2"/>
        <v>#VALUE!</v>
      </c>
      <c r="M13" s="19">
        <f t="shared" ca="1" si="3"/>
        <v>0</v>
      </c>
      <c r="N13" s="16">
        <f ca="1">IFERROR(__xludf.DUMMYFUNCTION("IFERROR(IF(G13&gt;0,0,GOOGLEFINANCE(""NSE:""&amp;B13,""change"")),0)"),0)</f>
        <v>0</v>
      </c>
      <c r="O13" s="16">
        <f t="shared" ca="1" si="4"/>
        <v>0</v>
      </c>
      <c r="P13" s="16">
        <f t="shared" si="5"/>
        <v>0</v>
      </c>
      <c r="Q13" s="19">
        <f t="shared" si="6"/>
        <v>0</v>
      </c>
      <c r="R13" s="16"/>
      <c r="S13" s="16"/>
      <c r="T13" s="16"/>
      <c r="U13" s="16"/>
      <c r="V13" s="16"/>
      <c r="W13" s="16"/>
      <c r="X13" s="16"/>
      <c r="Y13" s="16"/>
      <c r="Z13" s="19"/>
      <c r="AA13" s="16"/>
      <c r="AC13" s="6" t="s">
        <v>102</v>
      </c>
      <c r="AG13" s="143"/>
      <c r="AH13" s="138" t="s">
        <v>276</v>
      </c>
      <c r="AI13" s="120" t="e">
        <v>#VALUE!</v>
      </c>
      <c r="AJ13" s="121">
        <v>0</v>
      </c>
      <c r="AL13" s="138" t="s">
        <v>276</v>
      </c>
      <c r="AM13" s="120">
        <v>0</v>
      </c>
      <c r="AN13" s="139" t="e">
        <v>#VALUE!</v>
      </c>
      <c r="AO13" s="121">
        <v>0</v>
      </c>
    </row>
    <row r="14" spans="1:41" ht="22.5" customHeight="1">
      <c r="A14" s="15">
        <v>13</v>
      </c>
      <c r="B14" s="15"/>
      <c r="C14" s="17" t="s">
        <v>104</v>
      </c>
      <c r="D14" s="18"/>
      <c r="E14" s="16"/>
      <c r="F14" s="18"/>
      <c r="G14" s="16"/>
      <c r="H14" s="16" t="str">
        <f ca="1">IFERROR(__xludf.DUMMYFUNCTION("IFERROR(GOOGLEFINANCE(""NSE:""&amp;B14,""price""),"""")"),"")</f>
        <v/>
      </c>
      <c r="I14" s="15"/>
      <c r="J14" s="16">
        <f t="shared" si="0"/>
        <v>0</v>
      </c>
      <c r="K14" s="16">
        <f t="shared" si="1"/>
        <v>0</v>
      </c>
      <c r="L14" s="16" t="e">
        <f t="shared" ca="1" si="2"/>
        <v>#VALUE!</v>
      </c>
      <c r="M14" s="19">
        <f t="shared" ca="1" si="3"/>
        <v>0</v>
      </c>
      <c r="N14" s="16">
        <f ca="1">IFERROR(__xludf.DUMMYFUNCTION("IFERROR(IF(G14&gt;0,0,GOOGLEFINANCE(""NSE:""&amp;B14,""change"")),0)"),0)</f>
        <v>0</v>
      </c>
      <c r="O14" s="16">
        <f t="shared" ca="1" si="4"/>
        <v>0</v>
      </c>
      <c r="P14" s="16">
        <f t="shared" si="5"/>
        <v>0</v>
      </c>
      <c r="Q14" s="19">
        <f t="shared" si="6"/>
        <v>0</v>
      </c>
      <c r="R14" s="16"/>
      <c r="S14" s="16"/>
      <c r="T14" s="16"/>
      <c r="U14" s="16"/>
      <c r="V14" s="16"/>
      <c r="W14" s="16"/>
      <c r="X14" s="16"/>
      <c r="Y14" s="16"/>
      <c r="Z14" s="19"/>
      <c r="AA14" s="16"/>
      <c r="AG14" s="113" t="s">
        <v>276</v>
      </c>
      <c r="AH14" s="136" t="s">
        <v>276</v>
      </c>
      <c r="AI14" s="117" t="e">
        <v>#VALUE!</v>
      </c>
      <c r="AJ14" s="118">
        <v>0</v>
      </c>
      <c r="AL14" s="140" t="s">
        <v>48</v>
      </c>
      <c r="AM14" s="123">
        <v>0</v>
      </c>
      <c r="AN14" s="141" t="e">
        <v>#VALUE!</v>
      </c>
      <c r="AO14" s="124">
        <v>359.65999999999997</v>
      </c>
    </row>
    <row r="15" spans="1:41" ht="22.5" customHeight="1">
      <c r="A15" s="15">
        <v>14</v>
      </c>
      <c r="B15" s="28"/>
      <c r="C15" s="17" t="s">
        <v>104</v>
      </c>
      <c r="D15" s="18"/>
      <c r="E15" s="16"/>
      <c r="F15" s="18"/>
      <c r="G15" s="16"/>
      <c r="H15" s="16" t="str">
        <f ca="1">IFERROR(__xludf.DUMMYFUNCTION("IFERROR(GOOGLEFINANCE(""NSE:""&amp;B15,""price""),"""")"),"")</f>
        <v/>
      </c>
      <c r="I15" s="15"/>
      <c r="J15" s="16">
        <f t="shared" si="0"/>
        <v>0</v>
      </c>
      <c r="K15" s="16">
        <f t="shared" si="1"/>
        <v>0</v>
      </c>
      <c r="L15" s="16" t="e">
        <f t="shared" ca="1" si="2"/>
        <v>#VALUE!</v>
      </c>
      <c r="M15" s="19">
        <f t="shared" ca="1" si="3"/>
        <v>0</v>
      </c>
      <c r="N15" s="16">
        <f ca="1">IFERROR(__xludf.DUMMYFUNCTION("IFERROR(IF(G15&gt;0,0,GOOGLEFINANCE(""NSE:""&amp;B15,""change"")),0)"),0)</f>
        <v>0</v>
      </c>
      <c r="O15" s="16">
        <f t="shared" ca="1" si="4"/>
        <v>0</v>
      </c>
      <c r="P15" s="16">
        <f t="shared" si="5"/>
        <v>0</v>
      </c>
      <c r="Q15" s="19">
        <f t="shared" si="6"/>
        <v>0</v>
      </c>
      <c r="R15" s="16"/>
      <c r="S15" s="16"/>
      <c r="T15" s="16"/>
      <c r="U15" s="16"/>
      <c r="V15" s="16"/>
      <c r="W15" s="16"/>
      <c r="X15" s="16"/>
      <c r="Y15" s="16"/>
      <c r="Z15" s="19"/>
      <c r="AA15" s="16"/>
      <c r="AG15" s="122" t="s">
        <v>48</v>
      </c>
      <c r="AH15" s="142"/>
      <c r="AI15" s="123" t="e">
        <v>#VALUE!</v>
      </c>
      <c r="AJ15" s="124">
        <v>0</v>
      </c>
    </row>
    <row r="16" spans="1:41" ht="22.5" customHeight="1">
      <c r="A16" s="15">
        <v>15</v>
      </c>
      <c r="B16" s="31"/>
      <c r="C16" s="17"/>
      <c r="D16" s="18"/>
      <c r="E16" s="16"/>
      <c r="F16" s="18"/>
      <c r="G16" s="16"/>
      <c r="H16" s="16" t="str">
        <f ca="1">IFERROR(__xludf.DUMMYFUNCTION("IFERROR(GOOGLEFINANCE(""NSE:""&amp;B16,""price""),"""")"),"")</f>
        <v/>
      </c>
      <c r="I16" s="15"/>
      <c r="J16" s="16">
        <f t="shared" si="0"/>
        <v>0</v>
      </c>
      <c r="K16" s="16">
        <f t="shared" si="1"/>
        <v>0</v>
      </c>
      <c r="L16" s="16" t="e">
        <f t="shared" ca="1" si="2"/>
        <v>#VALUE!</v>
      </c>
      <c r="M16" s="19">
        <f t="shared" ca="1" si="3"/>
        <v>0</v>
      </c>
      <c r="N16" s="16">
        <f ca="1">IFERROR(__xludf.DUMMYFUNCTION("IFERROR(IF(G16&gt;0,0,GOOGLEFINANCE(""NSE:""&amp;B16,""change"")),0)"),0)</f>
        <v>0</v>
      </c>
      <c r="O16" s="16">
        <f t="shared" ca="1" si="4"/>
        <v>0</v>
      </c>
      <c r="P16" s="16">
        <f t="shared" si="5"/>
        <v>0</v>
      </c>
      <c r="Q16" s="19">
        <f t="shared" si="6"/>
        <v>0</v>
      </c>
      <c r="R16" s="16"/>
      <c r="S16" s="16"/>
      <c r="T16" s="16"/>
      <c r="U16" s="16"/>
      <c r="V16" s="16"/>
      <c r="W16" s="16"/>
      <c r="X16" s="16"/>
      <c r="Y16" s="16"/>
      <c r="Z16" s="19"/>
      <c r="AA16" s="16"/>
    </row>
    <row r="17" spans="1:38" ht="22.5" customHeight="1">
      <c r="A17" s="15">
        <v>16</v>
      </c>
      <c r="B17" s="31"/>
      <c r="C17" s="17"/>
      <c r="D17" s="18"/>
      <c r="E17" s="16"/>
      <c r="F17" s="18"/>
      <c r="G17" s="16"/>
      <c r="H17" s="16" t="str">
        <f ca="1">IFERROR(__xludf.DUMMYFUNCTION("IFERROR(GOOGLEFINANCE(""NSE:""&amp;B17,""price""),"""")"),"")</f>
        <v/>
      </c>
      <c r="I17" s="15"/>
      <c r="J17" s="16">
        <f t="shared" si="0"/>
        <v>0</v>
      </c>
      <c r="K17" s="16">
        <f t="shared" si="1"/>
        <v>0</v>
      </c>
      <c r="L17" s="16" t="e">
        <f t="shared" ca="1" si="2"/>
        <v>#VALUE!</v>
      </c>
      <c r="M17" s="19">
        <f t="shared" ca="1" si="3"/>
        <v>0</v>
      </c>
      <c r="N17" s="16">
        <f ca="1">IFERROR(__xludf.DUMMYFUNCTION("IFERROR(IF(G17&gt;0,0,GOOGLEFINANCE(""NSE:""&amp;B17,""change"")),0)"),0)</f>
        <v>0</v>
      </c>
      <c r="O17" s="16">
        <f t="shared" ca="1" si="4"/>
        <v>0</v>
      </c>
      <c r="P17" s="16">
        <f t="shared" si="5"/>
        <v>0</v>
      </c>
      <c r="Q17" s="19">
        <f t="shared" si="6"/>
        <v>0</v>
      </c>
      <c r="R17" s="16"/>
      <c r="S17" s="16"/>
      <c r="T17" s="16"/>
      <c r="U17" s="16"/>
      <c r="V17" s="16"/>
      <c r="W17" s="16"/>
      <c r="X17" s="16"/>
      <c r="Y17" s="16"/>
      <c r="Z17" s="19"/>
      <c r="AA17" s="16"/>
    </row>
    <row r="18" spans="1:38" ht="22.5" customHeight="1">
      <c r="A18" s="15">
        <v>17</v>
      </c>
      <c r="B18" s="30"/>
      <c r="C18" s="17"/>
      <c r="D18" s="18"/>
      <c r="E18" s="16"/>
      <c r="F18" s="18"/>
      <c r="G18" s="16"/>
      <c r="H18" s="16" t="str">
        <f ca="1">IFERROR(__xludf.DUMMYFUNCTION("IFERROR(GOOGLEFINANCE(""NSE:""&amp;B18,""price""),"""")"),"")</f>
        <v/>
      </c>
      <c r="I18" s="15"/>
      <c r="J18" s="16">
        <f t="shared" si="0"/>
        <v>0</v>
      </c>
      <c r="K18" s="16">
        <f t="shared" si="1"/>
        <v>0</v>
      </c>
      <c r="L18" s="16" t="e">
        <f t="shared" ca="1" si="2"/>
        <v>#VALUE!</v>
      </c>
      <c r="M18" s="19">
        <f t="shared" ca="1" si="3"/>
        <v>0</v>
      </c>
      <c r="N18" s="16">
        <f ca="1">IFERROR(__xludf.DUMMYFUNCTION("IFERROR(IF(G18&gt;0,0,GOOGLEFINANCE(""NSE:""&amp;B18,""change"")),0)"),0)</f>
        <v>0</v>
      </c>
      <c r="O18" s="16">
        <f t="shared" ca="1" si="4"/>
        <v>0</v>
      </c>
      <c r="P18" s="16">
        <f t="shared" si="5"/>
        <v>0</v>
      </c>
      <c r="Q18" s="19">
        <f t="shared" si="6"/>
        <v>0</v>
      </c>
      <c r="R18" s="16"/>
      <c r="S18" s="16"/>
      <c r="T18" s="16"/>
      <c r="U18" s="16"/>
      <c r="V18" s="16"/>
      <c r="W18" s="16"/>
      <c r="X18" s="16"/>
      <c r="Y18" s="16"/>
      <c r="Z18" s="19"/>
      <c r="AA18" s="16"/>
    </row>
    <row r="19" spans="1:38" ht="22.5" customHeight="1">
      <c r="A19" s="15">
        <v>18</v>
      </c>
      <c r="B19" s="31"/>
      <c r="C19" s="17"/>
      <c r="D19" s="18"/>
      <c r="E19" s="16"/>
      <c r="F19" s="18"/>
      <c r="G19" s="16"/>
      <c r="H19" s="16" t="str">
        <f ca="1">IFERROR(__xludf.DUMMYFUNCTION("IFERROR(GOOGLEFINANCE(""NSE:""&amp;B19,""price""),"""")"),"")</f>
        <v/>
      </c>
      <c r="I19" s="15"/>
      <c r="J19" s="16">
        <f t="shared" si="0"/>
        <v>0</v>
      </c>
      <c r="K19" s="16">
        <f t="shared" si="1"/>
        <v>0</v>
      </c>
      <c r="L19" s="16" t="e">
        <f t="shared" ca="1" si="2"/>
        <v>#VALUE!</v>
      </c>
      <c r="M19" s="19">
        <f t="shared" ca="1" si="3"/>
        <v>0</v>
      </c>
      <c r="N19" s="16">
        <f ca="1">IFERROR(__xludf.DUMMYFUNCTION("IFERROR(IF(G19&gt;0,0,GOOGLEFINANCE(""NSE:""&amp;B19,""change"")),0)"),0)</f>
        <v>0</v>
      </c>
      <c r="O19" s="16">
        <f t="shared" ca="1" si="4"/>
        <v>0</v>
      </c>
      <c r="P19" s="16">
        <f t="shared" si="5"/>
        <v>0</v>
      </c>
      <c r="Q19" s="19">
        <f t="shared" si="6"/>
        <v>0</v>
      </c>
      <c r="R19" s="16"/>
      <c r="S19" s="16"/>
      <c r="T19" s="16"/>
      <c r="U19" s="16"/>
      <c r="V19" s="16"/>
      <c r="W19" s="16"/>
      <c r="X19" s="16"/>
      <c r="Y19" s="16"/>
      <c r="Z19" s="19"/>
      <c r="AA19" s="16"/>
    </row>
    <row r="20" spans="1:38" ht="22.5" customHeight="1">
      <c r="A20" s="15">
        <v>19</v>
      </c>
      <c r="B20" s="16"/>
      <c r="C20" s="17"/>
      <c r="D20" s="18"/>
      <c r="E20" s="16"/>
      <c r="F20" s="18"/>
      <c r="G20" s="16"/>
      <c r="H20" s="16" t="str">
        <f ca="1">IFERROR(__xludf.DUMMYFUNCTION("IFERROR(GOOGLEFINANCE(""NSE:""&amp;B20,""price""),"""")"),"")</f>
        <v/>
      </c>
      <c r="I20" s="15"/>
      <c r="J20" s="16">
        <f t="shared" si="0"/>
        <v>0</v>
      </c>
      <c r="K20" s="16">
        <f t="shared" si="1"/>
        <v>0</v>
      </c>
      <c r="L20" s="16" t="e">
        <f t="shared" ca="1" si="2"/>
        <v>#VALUE!</v>
      </c>
      <c r="M20" s="19">
        <f t="shared" ca="1" si="3"/>
        <v>0</v>
      </c>
      <c r="N20" s="16">
        <f ca="1">IFERROR(__xludf.DUMMYFUNCTION("IFERROR(IF(G20&gt;0,0,GOOGLEFINANCE(""NSE:""&amp;B20,""change"")),0)"),0)</f>
        <v>0</v>
      </c>
      <c r="O20" s="16">
        <f t="shared" ca="1" si="4"/>
        <v>0</v>
      </c>
      <c r="P20" s="16">
        <f t="shared" si="5"/>
        <v>0</v>
      </c>
      <c r="Q20" s="19">
        <f t="shared" si="6"/>
        <v>0</v>
      </c>
      <c r="R20" s="16"/>
      <c r="S20" s="16"/>
      <c r="T20" s="16"/>
      <c r="U20" s="16"/>
      <c r="V20" s="16"/>
      <c r="W20" s="16"/>
      <c r="X20" s="16"/>
      <c r="Y20" s="16"/>
      <c r="Z20" s="19"/>
      <c r="AA20" s="16"/>
    </row>
    <row r="21" spans="1:38" ht="22.5" customHeight="1">
      <c r="A21" s="15">
        <v>20</v>
      </c>
      <c r="B21" s="16"/>
      <c r="C21" s="15"/>
      <c r="D21" s="18"/>
      <c r="E21" s="16"/>
      <c r="F21" s="18"/>
      <c r="G21" s="16"/>
      <c r="H21" s="16" t="str">
        <f ca="1">IFERROR(__xludf.DUMMYFUNCTION("IFERROR(GOOGLEFINANCE(""NSE:""&amp;B21,""price""),"""")"),"")</f>
        <v/>
      </c>
      <c r="I21" s="15"/>
      <c r="J21" s="16">
        <f t="shared" si="0"/>
        <v>0</v>
      </c>
      <c r="K21" s="16">
        <f t="shared" si="1"/>
        <v>0</v>
      </c>
      <c r="L21" s="16" t="e">
        <f t="shared" ca="1" si="2"/>
        <v>#VALUE!</v>
      </c>
      <c r="M21" s="19">
        <f t="shared" ca="1" si="3"/>
        <v>0</v>
      </c>
      <c r="N21" s="16">
        <f ca="1">IFERROR(__xludf.DUMMYFUNCTION("IFERROR(IF(G21&gt;0,0,GOOGLEFINANCE(""NSE:""&amp;B21,""change"")),0)"),0)</f>
        <v>0</v>
      </c>
      <c r="O21" s="16">
        <f t="shared" ca="1" si="4"/>
        <v>0</v>
      </c>
      <c r="P21" s="16">
        <f t="shared" si="5"/>
        <v>0</v>
      </c>
      <c r="Q21" s="19">
        <f t="shared" si="6"/>
        <v>0</v>
      </c>
      <c r="R21" s="16"/>
      <c r="S21" s="16"/>
      <c r="T21" s="16"/>
      <c r="U21" s="16"/>
      <c r="V21" s="16"/>
      <c r="W21" s="16"/>
      <c r="X21" s="16"/>
      <c r="Y21" s="16"/>
      <c r="Z21" s="19"/>
      <c r="AA21" s="16"/>
    </row>
    <row r="22" spans="1:38" ht="22.5" customHeight="1">
      <c r="A22" s="15">
        <v>21</v>
      </c>
      <c r="B22" s="16"/>
      <c r="C22" s="17"/>
      <c r="D22" s="18"/>
      <c r="E22" s="16"/>
      <c r="F22" s="18"/>
      <c r="G22" s="16"/>
      <c r="H22" s="16" t="str">
        <f ca="1">IFERROR(__xludf.DUMMYFUNCTION("IFERROR(GOOGLEFINANCE(""NSE:""&amp;B22,""price""),"""")"),"")</f>
        <v/>
      </c>
      <c r="I22" s="15"/>
      <c r="J22" s="16">
        <f t="shared" si="0"/>
        <v>0</v>
      </c>
      <c r="K22" s="16">
        <f t="shared" si="1"/>
        <v>0</v>
      </c>
      <c r="L22" s="16" t="e">
        <f t="shared" ca="1" si="2"/>
        <v>#VALUE!</v>
      </c>
      <c r="M22" s="19">
        <f t="shared" ca="1" si="3"/>
        <v>0</v>
      </c>
      <c r="N22" s="16">
        <f ca="1">IFERROR(__xludf.DUMMYFUNCTION("IFERROR(IF(G22&gt;0,0,GOOGLEFINANCE(""NSE:""&amp;B22,""change"")),0)"),0)</f>
        <v>0</v>
      </c>
      <c r="O22" s="16">
        <f t="shared" ca="1" si="4"/>
        <v>0</v>
      </c>
      <c r="P22" s="16">
        <f t="shared" si="5"/>
        <v>0</v>
      </c>
      <c r="Q22" s="19">
        <f t="shared" si="6"/>
        <v>0</v>
      </c>
      <c r="R22" s="16"/>
      <c r="S22" s="16"/>
      <c r="T22" s="16"/>
      <c r="U22" s="16"/>
      <c r="V22" s="16"/>
      <c r="W22" s="16"/>
      <c r="X22" s="16"/>
      <c r="Y22" s="16"/>
      <c r="Z22" s="19"/>
      <c r="AA22" s="16"/>
    </row>
    <row r="23" spans="1:38" ht="22.5" customHeight="1">
      <c r="A23" s="15">
        <v>22</v>
      </c>
      <c r="B23" s="16"/>
      <c r="C23" s="17"/>
      <c r="D23" s="18"/>
      <c r="E23" s="16"/>
      <c r="F23" s="18"/>
      <c r="G23" s="16"/>
      <c r="H23" s="16" t="str">
        <f ca="1">IFERROR(__xludf.DUMMYFUNCTION("IFERROR(GOOGLEFINANCE(""NSE:""&amp;B23,""price""),"""")"),"")</f>
        <v/>
      </c>
      <c r="I23" s="15"/>
      <c r="J23" s="16">
        <f t="shared" si="0"/>
        <v>0</v>
      </c>
      <c r="K23" s="16">
        <f t="shared" si="1"/>
        <v>0</v>
      </c>
      <c r="L23" s="16" t="e">
        <f t="shared" ca="1" si="2"/>
        <v>#VALUE!</v>
      </c>
      <c r="M23" s="19">
        <f t="shared" ca="1" si="3"/>
        <v>0</v>
      </c>
      <c r="N23" s="16">
        <f ca="1">IFERROR(__xludf.DUMMYFUNCTION("IFERROR(IF(G23&gt;0,0,GOOGLEFINANCE(""NSE:""&amp;B23,""change"")),0)"),0)</f>
        <v>0</v>
      </c>
      <c r="O23" s="16">
        <f t="shared" ca="1" si="4"/>
        <v>0</v>
      </c>
      <c r="P23" s="16">
        <f t="shared" si="5"/>
        <v>0</v>
      </c>
      <c r="Q23" s="19">
        <f t="shared" si="6"/>
        <v>0</v>
      </c>
      <c r="R23" s="16"/>
      <c r="S23" s="16"/>
      <c r="T23" s="16"/>
      <c r="U23" s="16"/>
      <c r="V23" s="16"/>
      <c r="W23" s="16"/>
      <c r="X23" s="16"/>
      <c r="Y23" s="16"/>
      <c r="Z23" s="19"/>
      <c r="AA23" s="16"/>
    </row>
    <row r="24" spans="1:38" ht="22.5" customHeight="1">
      <c r="A24" s="15">
        <v>23</v>
      </c>
      <c r="B24" s="16"/>
      <c r="C24" s="15"/>
      <c r="D24" s="18"/>
      <c r="E24" s="16"/>
      <c r="F24" s="18"/>
      <c r="G24" s="16"/>
      <c r="H24" s="16" t="str">
        <f ca="1">IFERROR(__xludf.DUMMYFUNCTION("IFERROR(GOOGLEFINANCE(""NSE:""&amp;B24,""price""),"""")"),"")</f>
        <v/>
      </c>
      <c r="I24" s="15"/>
      <c r="J24" s="16">
        <f t="shared" si="0"/>
        <v>0</v>
      </c>
      <c r="K24" s="16">
        <f t="shared" si="1"/>
        <v>0</v>
      </c>
      <c r="L24" s="16" t="e">
        <f t="shared" ca="1" si="2"/>
        <v>#VALUE!</v>
      </c>
      <c r="M24" s="19">
        <f t="shared" ca="1" si="3"/>
        <v>0</v>
      </c>
      <c r="N24" s="16">
        <f ca="1">IFERROR(__xludf.DUMMYFUNCTION("IFERROR(IF(G24&gt;0,0,GOOGLEFINANCE(""NSE:""&amp;B24,""change"")),0)"),0)</f>
        <v>0</v>
      </c>
      <c r="O24" s="16">
        <f t="shared" ca="1" si="4"/>
        <v>0</v>
      </c>
      <c r="P24" s="16">
        <f t="shared" si="5"/>
        <v>0</v>
      </c>
      <c r="Q24" s="19">
        <f t="shared" si="6"/>
        <v>0</v>
      </c>
      <c r="R24" s="16"/>
      <c r="S24" s="16"/>
      <c r="T24" s="16"/>
      <c r="U24" s="16"/>
      <c r="V24" s="16"/>
      <c r="W24" s="16"/>
      <c r="X24" s="16"/>
      <c r="Y24" s="16"/>
      <c r="Z24" s="19"/>
      <c r="AA24" s="16"/>
    </row>
    <row r="25" spans="1:38" ht="22.5" customHeight="1">
      <c r="A25" s="15">
        <v>24</v>
      </c>
      <c r="B25" s="16"/>
      <c r="C25" s="17"/>
      <c r="D25" s="18"/>
      <c r="E25" s="16"/>
      <c r="F25" s="18"/>
      <c r="G25" s="16"/>
      <c r="H25" s="16" t="str">
        <f ca="1">IFERROR(__xludf.DUMMYFUNCTION("IFERROR(GOOGLEFINANCE(""NSE:""&amp;B25,""price""),"""")"),"")</f>
        <v/>
      </c>
      <c r="I25" s="15"/>
      <c r="J25" s="16">
        <f t="shared" si="0"/>
        <v>0</v>
      </c>
      <c r="K25" s="16">
        <f t="shared" si="1"/>
        <v>0</v>
      </c>
      <c r="L25" s="16" t="e">
        <f t="shared" ca="1" si="2"/>
        <v>#VALUE!</v>
      </c>
      <c r="M25" s="19">
        <f t="shared" ca="1" si="3"/>
        <v>0</v>
      </c>
      <c r="N25" s="16">
        <f ca="1">IFERROR(__xludf.DUMMYFUNCTION("IFERROR(IF(G25&gt;0,0,GOOGLEFINANCE(""NSE:""&amp;B25,""change"")),0)"),0)</f>
        <v>0</v>
      </c>
      <c r="O25" s="16">
        <f t="shared" ca="1" si="4"/>
        <v>0</v>
      </c>
      <c r="P25" s="16">
        <f t="shared" si="5"/>
        <v>0</v>
      </c>
      <c r="Q25" s="19">
        <f t="shared" si="6"/>
        <v>0</v>
      </c>
      <c r="R25" s="16"/>
      <c r="S25" s="16"/>
      <c r="T25" s="16"/>
      <c r="U25" s="16"/>
      <c r="V25" s="16"/>
      <c r="W25" s="16"/>
      <c r="X25" s="16"/>
      <c r="Y25" s="16"/>
      <c r="Z25" s="19"/>
      <c r="AA25" s="16"/>
      <c r="AL25" s="7"/>
    </row>
    <row r="26" spans="1:38" ht="22.5" customHeight="1">
      <c r="A26" s="15">
        <v>25</v>
      </c>
      <c r="B26" s="16"/>
      <c r="C26" s="17"/>
      <c r="D26" s="18"/>
      <c r="E26" s="16"/>
      <c r="F26" s="18"/>
      <c r="G26" s="16"/>
      <c r="H26" s="16" t="str">
        <f ca="1">IFERROR(__xludf.DUMMYFUNCTION("IFERROR(GOOGLEFINANCE(""NSE:""&amp;B26,""price""),"""")"),"")</f>
        <v/>
      </c>
      <c r="I26" s="15"/>
      <c r="J26" s="16">
        <f t="shared" si="0"/>
        <v>0</v>
      </c>
      <c r="K26" s="16">
        <f t="shared" si="1"/>
        <v>0</v>
      </c>
      <c r="L26" s="16" t="e">
        <f t="shared" ca="1" si="2"/>
        <v>#VALUE!</v>
      </c>
      <c r="M26" s="19">
        <f t="shared" ca="1" si="3"/>
        <v>0</v>
      </c>
      <c r="N26" s="16">
        <f ca="1">IFERROR(__xludf.DUMMYFUNCTION("IFERROR(IF(G26&gt;0,0,GOOGLEFINANCE(""NSE:""&amp;B26,""change"")),0)"),0)</f>
        <v>0</v>
      </c>
      <c r="O26" s="16">
        <f t="shared" ca="1" si="4"/>
        <v>0</v>
      </c>
      <c r="P26" s="16">
        <f t="shared" si="5"/>
        <v>0</v>
      </c>
      <c r="Q26" s="19">
        <f t="shared" si="6"/>
        <v>0</v>
      </c>
      <c r="R26" s="16"/>
      <c r="S26" s="16"/>
      <c r="T26" s="16"/>
      <c r="U26" s="16"/>
      <c r="V26" s="16"/>
      <c r="W26" s="16"/>
      <c r="X26" s="16"/>
      <c r="Y26" s="16"/>
      <c r="Z26" s="19"/>
      <c r="AA26" s="16"/>
    </row>
    <row r="27" spans="1:38" ht="22.5" customHeight="1">
      <c r="A27" s="15">
        <v>26</v>
      </c>
      <c r="B27" s="16"/>
      <c r="C27" s="17"/>
      <c r="D27" s="18"/>
      <c r="E27" s="16"/>
      <c r="F27" s="18"/>
      <c r="G27" s="16"/>
      <c r="H27" s="16" t="str">
        <f ca="1">IFERROR(__xludf.DUMMYFUNCTION("IFERROR(GOOGLEFINANCE(""NSE:""&amp;B27,""price""),"""")"),"")</f>
        <v/>
      </c>
      <c r="I27" s="15"/>
      <c r="J27" s="16">
        <f t="shared" si="0"/>
        <v>0</v>
      </c>
      <c r="K27" s="16">
        <f t="shared" si="1"/>
        <v>0</v>
      </c>
      <c r="L27" s="16" t="e">
        <f t="shared" ca="1" si="2"/>
        <v>#VALUE!</v>
      </c>
      <c r="M27" s="19">
        <f t="shared" ca="1" si="3"/>
        <v>0</v>
      </c>
      <c r="N27" s="16">
        <f ca="1">IFERROR(__xludf.DUMMYFUNCTION("IFERROR(IF(G27&gt;0,0,GOOGLEFINANCE(""NSE:""&amp;B27,""change"")),0)"),0)</f>
        <v>0</v>
      </c>
      <c r="O27" s="16">
        <f t="shared" ca="1" si="4"/>
        <v>0</v>
      </c>
      <c r="P27" s="16">
        <f t="shared" si="5"/>
        <v>0</v>
      </c>
      <c r="Q27" s="19">
        <f t="shared" si="6"/>
        <v>0</v>
      </c>
      <c r="R27" s="16"/>
      <c r="S27" s="16"/>
      <c r="T27" s="16"/>
      <c r="U27" s="16"/>
      <c r="V27" s="16"/>
      <c r="W27" s="16"/>
      <c r="X27" s="16"/>
      <c r="Y27" s="16"/>
      <c r="Z27" s="19"/>
      <c r="AA27" s="16"/>
    </row>
    <row r="28" spans="1:38" ht="22.5" customHeight="1">
      <c r="A28" s="15">
        <v>27</v>
      </c>
      <c r="B28" s="16"/>
      <c r="C28" s="17"/>
      <c r="D28" s="18"/>
      <c r="E28" s="16"/>
      <c r="F28" s="18"/>
      <c r="G28" s="16"/>
      <c r="H28" s="16" t="str">
        <f ca="1">IFERROR(__xludf.DUMMYFUNCTION("IFERROR(GOOGLEFINANCE(""NSE:""&amp;B28,""price""),"""")"),"")</f>
        <v/>
      </c>
      <c r="I28" s="15"/>
      <c r="J28" s="16">
        <f t="shared" si="0"/>
        <v>0</v>
      </c>
      <c r="K28" s="16">
        <f t="shared" si="1"/>
        <v>0</v>
      </c>
      <c r="L28" s="16" t="e">
        <f t="shared" ca="1" si="2"/>
        <v>#VALUE!</v>
      </c>
      <c r="M28" s="19">
        <f t="shared" ca="1" si="3"/>
        <v>0</v>
      </c>
      <c r="N28" s="16">
        <f ca="1">IFERROR(__xludf.DUMMYFUNCTION("IFERROR(IF(G28&gt;0,0,GOOGLEFINANCE(""NSE:""&amp;B28,""change"")),0)"),0)</f>
        <v>0</v>
      </c>
      <c r="O28" s="16">
        <f t="shared" ca="1" si="4"/>
        <v>0</v>
      </c>
      <c r="P28" s="16">
        <f t="shared" si="5"/>
        <v>0</v>
      </c>
      <c r="Q28" s="19">
        <f t="shared" si="6"/>
        <v>0</v>
      </c>
      <c r="R28" s="16"/>
      <c r="S28" s="16"/>
      <c r="T28" s="16"/>
      <c r="U28" s="16"/>
      <c r="V28" s="16"/>
      <c r="W28" s="16"/>
      <c r="X28" s="16"/>
      <c r="Y28" s="16"/>
      <c r="Z28" s="19"/>
      <c r="AA28" s="16"/>
    </row>
    <row r="29" spans="1:38" ht="22.5" customHeight="1">
      <c r="A29" s="15">
        <v>28</v>
      </c>
      <c r="B29" s="16"/>
      <c r="C29" s="17"/>
      <c r="D29" s="18"/>
      <c r="E29" s="16"/>
      <c r="F29" s="18"/>
      <c r="G29" s="16"/>
      <c r="H29" s="16" t="str">
        <f ca="1">IFERROR(__xludf.DUMMYFUNCTION("IFERROR(GOOGLEFINANCE(""NSE:""&amp;B29,""price""),"""")"),"")</f>
        <v/>
      </c>
      <c r="I29" s="15"/>
      <c r="J29" s="16">
        <f t="shared" si="0"/>
        <v>0</v>
      </c>
      <c r="K29" s="16">
        <f t="shared" si="1"/>
        <v>0</v>
      </c>
      <c r="L29" s="16" t="e">
        <f t="shared" ca="1" si="2"/>
        <v>#VALUE!</v>
      </c>
      <c r="M29" s="19">
        <f t="shared" ca="1" si="3"/>
        <v>0</v>
      </c>
      <c r="N29" s="16">
        <f ca="1">IFERROR(__xludf.DUMMYFUNCTION("IFERROR(IF(G29&gt;0,0,GOOGLEFINANCE(""NSE:""&amp;B29,""change"")),0)"),0)</f>
        <v>0</v>
      </c>
      <c r="O29" s="16">
        <f t="shared" ca="1" si="4"/>
        <v>0</v>
      </c>
      <c r="P29" s="16">
        <f t="shared" si="5"/>
        <v>0</v>
      </c>
      <c r="Q29" s="19">
        <f t="shared" si="6"/>
        <v>0</v>
      </c>
      <c r="R29" s="16"/>
      <c r="S29" s="16"/>
      <c r="T29" s="16"/>
      <c r="U29" s="16"/>
      <c r="V29" s="16"/>
      <c r="W29" s="16"/>
      <c r="X29" s="16"/>
      <c r="Y29" s="16"/>
      <c r="Z29" s="19"/>
      <c r="AA29" s="16"/>
    </row>
    <row r="30" spans="1:38" ht="22.5" customHeight="1">
      <c r="A30" s="15">
        <v>29</v>
      </c>
      <c r="B30" s="16"/>
      <c r="C30" s="17"/>
      <c r="D30" s="18"/>
      <c r="E30" s="16"/>
      <c r="F30" s="18"/>
      <c r="G30" s="16"/>
      <c r="H30" s="16" t="str">
        <f ca="1">IFERROR(__xludf.DUMMYFUNCTION("IFERROR(GOOGLEFINANCE(""NSE:""&amp;B30,""price""),"""")"),"")</f>
        <v/>
      </c>
      <c r="I30" s="15"/>
      <c r="J30" s="16">
        <f t="shared" si="0"/>
        <v>0</v>
      </c>
      <c r="K30" s="16">
        <f t="shared" si="1"/>
        <v>0</v>
      </c>
      <c r="L30" s="16" t="e">
        <f t="shared" ca="1" si="2"/>
        <v>#VALUE!</v>
      </c>
      <c r="M30" s="19">
        <f t="shared" ca="1" si="3"/>
        <v>0</v>
      </c>
      <c r="N30" s="16">
        <f ca="1">IFERROR(__xludf.DUMMYFUNCTION("IFERROR(IF(G30&gt;0,0,GOOGLEFINANCE(""NSE:""&amp;B30,""change"")),0)"),0)</f>
        <v>0</v>
      </c>
      <c r="O30" s="16">
        <f t="shared" ca="1" si="4"/>
        <v>0</v>
      </c>
      <c r="P30" s="16">
        <f t="shared" si="5"/>
        <v>0</v>
      </c>
      <c r="Q30" s="19">
        <f t="shared" si="6"/>
        <v>0</v>
      </c>
      <c r="R30" s="16"/>
      <c r="S30" s="16"/>
      <c r="T30" s="16"/>
      <c r="U30" s="16"/>
      <c r="V30" s="16"/>
      <c r="W30" s="16"/>
      <c r="X30" s="16"/>
      <c r="Y30" s="16"/>
      <c r="Z30" s="19"/>
      <c r="AA30" s="16"/>
    </row>
    <row r="31" spans="1:38" ht="22.5" customHeight="1">
      <c r="A31" s="15">
        <v>30</v>
      </c>
      <c r="B31" s="16"/>
      <c r="C31" s="17"/>
      <c r="D31" s="18"/>
      <c r="E31" s="16"/>
      <c r="F31" s="18"/>
      <c r="G31" s="16"/>
      <c r="H31" s="16" t="str">
        <f ca="1">IFERROR(__xludf.DUMMYFUNCTION("IFERROR(GOOGLEFINANCE(""NSE:""&amp;B31,""price""),"""")"),"")</f>
        <v/>
      </c>
      <c r="I31" s="15"/>
      <c r="J31" s="16">
        <f t="shared" si="0"/>
        <v>0</v>
      </c>
      <c r="K31" s="16">
        <f t="shared" si="1"/>
        <v>0</v>
      </c>
      <c r="L31" s="16" t="e">
        <f t="shared" ca="1" si="2"/>
        <v>#VALUE!</v>
      </c>
      <c r="M31" s="19">
        <f t="shared" ca="1" si="3"/>
        <v>0</v>
      </c>
      <c r="N31" s="16">
        <f ca="1">IFERROR(__xludf.DUMMYFUNCTION("IFERROR(IF(G31&gt;0,0,GOOGLEFINANCE(""NSE:""&amp;B31,""change"")),0)"),0)</f>
        <v>0</v>
      </c>
      <c r="O31" s="16">
        <f t="shared" ca="1" si="4"/>
        <v>0</v>
      </c>
      <c r="P31" s="16">
        <f t="shared" si="5"/>
        <v>0</v>
      </c>
      <c r="Q31" s="19">
        <f t="shared" si="6"/>
        <v>0</v>
      </c>
      <c r="R31" s="16"/>
      <c r="S31" s="16"/>
      <c r="T31" s="16"/>
      <c r="U31" s="16"/>
      <c r="V31" s="16"/>
      <c r="W31" s="16"/>
      <c r="X31" s="16"/>
      <c r="Y31" s="16"/>
      <c r="Z31" s="19"/>
      <c r="AA31" s="16"/>
    </row>
    <row r="32" spans="1:38" ht="22.5" customHeight="1">
      <c r="A32" s="15">
        <v>31</v>
      </c>
      <c r="B32" s="16"/>
      <c r="C32" s="17"/>
      <c r="D32" s="18"/>
      <c r="E32" s="16"/>
      <c r="F32" s="18"/>
      <c r="G32" s="16"/>
      <c r="H32" s="16" t="str">
        <f ca="1">IFERROR(__xludf.DUMMYFUNCTION("IFERROR(GOOGLEFINANCE(""NSE:""&amp;B32,""price""),"""")"),"")</f>
        <v/>
      </c>
      <c r="I32" s="15"/>
      <c r="J32" s="16">
        <f t="shared" si="0"/>
        <v>0</v>
      </c>
      <c r="K32" s="16">
        <f t="shared" si="1"/>
        <v>0</v>
      </c>
      <c r="L32" s="16" t="e">
        <f t="shared" ca="1" si="2"/>
        <v>#VALUE!</v>
      </c>
      <c r="M32" s="19">
        <f t="shared" ca="1" si="3"/>
        <v>0</v>
      </c>
      <c r="N32" s="16">
        <f ca="1">IFERROR(__xludf.DUMMYFUNCTION("IFERROR(IF(G32&gt;0,0,GOOGLEFINANCE(""NSE:""&amp;B32,""change"")),0)"),0)</f>
        <v>0</v>
      </c>
      <c r="O32" s="16">
        <f t="shared" ca="1" si="4"/>
        <v>0</v>
      </c>
      <c r="P32" s="16">
        <f t="shared" si="5"/>
        <v>0</v>
      </c>
      <c r="Q32" s="19">
        <f t="shared" si="6"/>
        <v>0</v>
      </c>
      <c r="R32" s="16"/>
      <c r="S32" s="16"/>
      <c r="T32" s="16"/>
      <c r="U32" s="16"/>
      <c r="V32" s="16"/>
      <c r="W32" s="16"/>
      <c r="X32" s="16"/>
      <c r="Y32" s="16"/>
      <c r="Z32" s="19"/>
      <c r="AA32" s="16"/>
    </row>
    <row r="33" spans="1:27" ht="22.5" customHeight="1">
      <c r="A33" s="15">
        <v>32</v>
      </c>
      <c r="B33" s="16"/>
      <c r="C33" s="17"/>
      <c r="D33" s="18"/>
      <c r="E33" s="16"/>
      <c r="F33" s="18"/>
      <c r="G33" s="16"/>
      <c r="H33" s="16" t="str">
        <f ca="1">IFERROR(__xludf.DUMMYFUNCTION("IFERROR(GOOGLEFINANCE(""NSE:""&amp;B33,""price""),"""")"),"")</f>
        <v/>
      </c>
      <c r="I33" s="15"/>
      <c r="J33" s="16">
        <f t="shared" si="0"/>
        <v>0</v>
      </c>
      <c r="K33" s="16">
        <f t="shared" si="1"/>
        <v>0</v>
      </c>
      <c r="L33" s="16" t="e">
        <f t="shared" ca="1" si="2"/>
        <v>#VALUE!</v>
      </c>
      <c r="M33" s="19">
        <f t="shared" ca="1" si="3"/>
        <v>0</v>
      </c>
      <c r="N33" s="16">
        <f ca="1">IFERROR(__xludf.DUMMYFUNCTION("IFERROR(IF(G33&gt;0,0,GOOGLEFINANCE(""NSE:""&amp;B33,""change"")),0)"),0)</f>
        <v>0</v>
      </c>
      <c r="O33" s="16">
        <f t="shared" ca="1" si="4"/>
        <v>0</v>
      </c>
      <c r="P33" s="16">
        <f t="shared" si="5"/>
        <v>0</v>
      </c>
      <c r="Q33" s="19">
        <f t="shared" si="6"/>
        <v>0</v>
      </c>
    </row>
    <row r="34" spans="1:27" ht="22.5" customHeight="1">
      <c r="A34" s="15">
        <v>33</v>
      </c>
      <c r="B34" s="16"/>
      <c r="C34" s="17"/>
      <c r="D34" s="18"/>
      <c r="E34" s="16"/>
      <c r="F34" s="18"/>
      <c r="G34" s="16"/>
      <c r="H34" s="16" t="str">
        <f ca="1">IFERROR(__xludf.DUMMYFUNCTION("IFERROR(GOOGLEFINANCE(""NSE:""&amp;B34,""price""),"""")"),"")</f>
        <v/>
      </c>
      <c r="I34" s="15"/>
      <c r="J34" s="16">
        <f t="shared" si="0"/>
        <v>0</v>
      </c>
      <c r="K34" s="16">
        <f t="shared" si="1"/>
        <v>0</v>
      </c>
      <c r="L34" s="16" t="e">
        <f t="shared" ca="1" si="2"/>
        <v>#VALUE!</v>
      </c>
      <c r="M34" s="19">
        <f t="shared" ca="1" si="3"/>
        <v>0</v>
      </c>
      <c r="N34" s="16">
        <f ca="1">IFERROR(__xludf.DUMMYFUNCTION("IFERROR(IF(G34&gt;0,0,GOOGLEFINANCE(""NSE:""&amp;B34,""change"")),0)"),0)</f>
        <v>0</v>
      </c>
      <c r="O34" s="16">
        <f t="shared" ca="1" si="4"/>
        <v>0</v>
      </c>
      <c r="P34" s="16">
        <f t="shared" si="5"/>
        <v>0</v>
      </c>
      <c r="Q34" s="19">
        <f t="shared" si="6"/>
        <v>0</v>
      </c>
      <c r="R34" s="16"/>
      <c r="S34" s="16"/>
      <c r="T34" s="16"/>
      <c r="U34" s="16"/>
      <c r="V34" s="16"/>
      <c r="W34" s="16"/>
      <c r="X34" s="16"/>
      <c r="Y34" s="16"/>
      <c r="Z34" s="19"/>
      <c r="AA34" s="16"/>
    </row>
    <row r="35" spans="1:27" ht="22.5" customHeight="1">
      <c r="A35" s="15">
        <v>34</v>
      </c>
      <c r="B35" s="16"/>
      <c r="C35" s="17"/>
      <c r="D35" s="18"/>
      <c r="E35" s="16"/>
      <c r="F35" s="18"/>
      <c r="G35" s="16"/>
      <c r="H35" s="16" t="str">
        <f ca="1">IFERROR(__xludf.DUMMYFUNCTION("IFERROR(GOOGLEFINANCE(""NSE:""&amp;B35,""price""),"""")"),"")</f>
        <v/>
      </c>
      <c r="I35" s="15"/>
      <c r="J35" s="16">
        <f t="shared" si="0"/>
        <v>0</v>
      </c>
      <c r="K35" s="16">
        <f t="shared" si="1"/>
        <v>0</v>
      </c>
      <c r="L35" s="16" t="e">
        <f t="shared" ca="1" si="2"/>
        <v>#VALUE!</v>
      </c>
      <c r="M35" s="19">
        <f t="shared" ca="1" si="3"/>
        <v>0</v>
      </c>
      <c r="N35" s="16">
        <f ca="1">IFERROR(__xludf.DUMMYFUNCTION("IFERROR(IF(G35&gt;0,0,GOOGLEFINANCE(""NSE:""&amp;B35,""change"")),0)"),0)</f>
        <v>0</v>
      </c>
      <c r="O35" s="16">
        <f t="shared" ca="1" si="4"/>
        <v>0</v>
      </c>
      <c r="P35" s="16">
        <f t="shared" si="5"/>
        <v>0</v>
      </c>
      <c r="Q35" s="19">
        <f t="shared" si="6"/>
        <v>0</v>
      </c>
      <c r="R35" s="16"/>
      <c r="S35" s="16"/>
      <c r="T35" s="16"/>
      <c r="U35" s="16"/>
      <c r="V35" s="16"/>
      <c r="W35" s="16"/>
      <c r="X35" s="16"/>
      <c r="Y35" s="16"/>
      <c r="Z35" s="19"/>
      <c r="AA35" s="16"/>
    </row>
    <row r="36" spans="1:27" ht="22.5" customHeight="1">
      <c r="A36" s="15">
        <v>35</v>
      </c>
      <c r="B36" s="16"/>
      <c r="C36" s="17"/>
      <c r="D36" s="18"/>
      <c r="E36" s="16"/>
      <c r="F36" s="18"/>
      <c r="G36" s="16"/>
      <c r="H36" s="16" t="str">
        <f ca="1">IFERROR(__xludf.DUMMYFUNCTION("IFERROR(GOOGLEFINANCE(""NSE:""&amp;B36,""price""),"""")"),"")</f>
        <v/>
      </c>
      <c r="I36" s="15"/>
      <c r="J36" s="16">
        <f t="shared" si="0"/>
        <v>0</v>
      </c>
      <c r="K36" s="16">
        <f t="shared" si="1"/>
        <v>0</v>
      </c>
      <c r="L36" s="16" t="e">
        <f t="shared" ca="1" si="2"/>
        <v>#VALUE!</v>
      </c>
      <c r="M36" s="19">
        <f t="shared" ca="1" si="3"/>
        <v>0</v>
      </c>
      <c r="N36" s="16">
        <f ca="1">IFERROR(__xludf.DUMMYFUNCTION("IFERROR(IF(G36&gt;0,0,GOOGLEFINANCE(""NSE:""&amp;B36,""change"")),0)"),0)</f>
        <v>0</v>
      </c>
      <c r="O36" s="16">
        <f t="shared" ca="1" si="4"/>
        <v>0</v>
      </c>
      <c r="P36" s="16">
        <f t="shared" si="5"/>
        <v>0</v>
      </c>
      <c r="Q36" s="19">
        <f t="shared" si="6"/>
        <v>0</v>
      </c>
      <c r="R36" s="16"/>
      <c r="S36" s="16"/>
      <c r="T36" s="16"/>
      <c r="U36" s="16"/>
      <c r="V36" s="16"/>
      <c r="W36" s="16"/>
      <c r="X36" s="16"/>
      <c r="Y36" s="16"/>
      <c r="Z36" s="19"/>
      <c r="AA36" s="16"/>
    </row>
    <row r="37" spans="1:27" ht="22.5" customHeight="1">
      <c r="A37" s="15">
        <v>36</v>
      </c>
      <c r="B37" s="16"/>
      <c r="C37" s="17"/>
      <c r="D37" s="18"/>
      <c r="E37" s="16"/>
      <c r="F37" s="18"/>
      <c r="G37" s="16"/>
      <c r="H37" s="16" t="str">
        <f ca="1">IFERROR(__xludf.DUMMYFUNCTION("IFERROR(GOOGLEFINANCE(""NSE:""&amp;B37,""price""),"""")"),"")</f>
        <v/>
      </c>
      <c r="I37" s="15"/>
      <c r="J37" s="16">
        <f t="shared" si="0"/>
        <v>0</v>
      </c>
      <c r="K37" s="16">
        <f t="shared" si="1"/>
        <v>0</v>
      </c>
      <c r="L37" s="16" t="e">
        <f t="shared" ca="1" si="2"/>
        <v>#VALUE!</v>
      </c>
      <c r="M37" s="19">
        <f t="shared" ca="1" si="3"/>
        <v>0</v>
      </c>
      <c r="N37" s="16">
        <f ca="1">IFERROR(__xludf.DUMMYFUNCTION("IFERROR(IF(G37&gt;0,0,GOOGLEFINANCE(""NSE:""&amp;B37,""change"")),0)"),0)</f>
        <v>0</v>
      </c>
      <c r="O37" s="16">
        <f t="shared" ca="1" si="4"/>
        <v>0</v>
      </c>
      <c r="P37" s="16">
        <f t="shared" si="5"/>
        <v>0</v>
      </c>
      <c r="Q37" s="19">
        <f t="shared" si="6"/>
        <v>0</v>
      </c>
      <c r="R37" s="16"/>
      <c r="S37" s="16"/>
      <c r="T37" s="16"/>
      <c r="U37" s="16"/>
      <c r="V37" s="16"/>
      <c r="W37" s="16"/>
      <c r="X37" s="16"/>
      <c r="Y37" s="16"/>
      <c r="Z37" s="19"/>
      <c r="AA37" s="16"/>
    </row>
    <row r="38" spans="1:27" ht="22.5" customHeight="1">
      <c r="A38" s="15">
        <v>37</v>
      </c>
      <c r="B38" s="16"/>
      <c r="C38" s="17"/>
      <c r="D38" s="18"/>
      <c r="E38" s="16"/>
      <c r="F38" s="18"/>
      <c r="G38" s="16"/>
      <c r="H38" s="16" t="str">
        <f ca="1">IFERROR(__xludf.DUMMYFUNCTION("IFERROR(GOOGLEFINANCE(""NSE:""&amp;B38,""price""),"""")"),"")</f>
        <v/>
      </c>
      <c r="I38" s="15"/>
      <c r="J38" s="16">
        <f t="shared" si="0"/>
        <v>0</v>
      </c>
      <c r="K38" s="16">
        <f t="shared" si="1"/>
        <v>0</v>
      </c>
      <c r="L38" s="16" t="e">
        <f t="shared" ca="1" si="2"/>
        <v>#VALUE!</v>
      </c>
      <c r="M38" s="19">
        <f t="shared" ca="1" si="3"/>
        <v>0</v>
      </c>
      <c r="N38" s="16">
        <f ca="1">IFERROR(__xludf.DUMMYFUNCTION("IFERROR(IF(G38&gt;0,0,GOOGLEFINANCE(""NSE:""&amp;B38,""change"")),0)"),0)</f>
        <v>0</v>
      </c>
      <c r="O38" s="16">
        <f t="shared" ca="1" si="4"/>
        <v>0</v>
      </c>
      <c r="P38" s="16">
        <f t="shared" si="5"/>
        <v>0</v>
      </c>
      <c r="Q38" s="19">
        <f t="shared" si="6"/>
        <v>0</v>
      </c>
      <c r="R38" s="16"/>
      <c r="S38" s="16"/>
      <c r="T38" s="16"/>
      <c r="U38" s="16"/>
      <c r="V38" s="16"/>
      <c r="W38" s="16"/>
      <c r="X38" s="16"/>
      <c r="Y38" s="16"/>
      <c r="Z38" s="19"/>
      <c r="AA38" s="16"/>
    </row>
    <row r="39" spans="1:27" ht="22.5" customHeight="1">
      <c r="A39" s="15">
        <v>38</v>
      </c>
      <c r="B39" s="16"/>
      <c r="C39" s="17"/>
      <c r="D39" s="18"/>
      <c r="E39" s="16"/>
      <c r="F39" s="18"/>
      <c r="G39" s="16"/>
      <c r="H39" s="16" t="str">
        <f ca="1">IFERROR(__xludf.DUMMYFUNCTION("IFERROR(GOOGLEFINANCE(""NSE:""&amp;B39,""price""),"""")"),"")</f>
        <v/>
      </c>
      <c r="I39" s="15"/>
      <c r="J39" s="16">
        <f t="shared" si="0"/>
        <v>0</v>
      </c>
      <c r="K39" s="16">
        <f t="shared" si="1"/>
        <v>0</v>
      </c>
      <c r="L39" s="16" t="e">
        <f t="shared" ca="1" si="2"/>
        <v>#VALUE!</v>
      </c>
      <c r="M39" s="19">
        <f t="shared" ca="1" si="3"/>
        <v>0</v>
      </c>
      <c r="N39" s="16">
        <f ca="1">IFERROR(__xludf.DUMMYFUNCTION("IFERROR(IF(G39&gt;0,0,GOOGLEFINANCE(""NSE:""&amp;B39,""change"")),0)"),0)</f>
        <v>0</v>
      </c>
      <c r="O39" s="16">
        <f t="shared" ca="1" si="4"/>
        <v>0</v>
      </c>
      <c r="P39" s="16">
        <f t="shared" si="5"/>
        <v>0</v>
      </c>
      <c r="Q39" s="19">
        <f t="shared" si="6"/>
        <v>0</v>
      </c>
      <c r="R39" s="16"/>
      <c r="S39" s="16"/>
      <c r="T39" s="16"/>
      <c r="U39" s="16"/>
      <c r="V39" s="16"/>
      <c r="W39" s="16"/>
      <c r="X39" s="16"/>
      <c r="Y39" s="16"/>
      <c r="Z39" s="19"/>
      <c r="AA39" s="16"/>
    </row>
    <row r="40" spans="1:27" ht="22.5" customHeight="1">
      <c r="A40" s="15">
        <v>39</v>
      </c>
      <c r="B40" s="16"/>
      <c r="C40" s="17"/>
      <c r="D40" s="18"/>
      <c r="E40" s="16"/>
      <c r="F40" s="18"/>
      <c r="G40" s="16"/>
      <c r="H40" s="16" t="str">
        <f ca="1">IFERROR(__xludf.DUMMYFUNCTION("IFERROR(GOOGLEFINANCE(""NSE:""&amp;B40,""price""),"""")"),"")</f>
        <v/>
      </c>
      <c r="I40" s="15"/>
      <c r="J40" s="16">
        <f t="shared" si="0"/>
        <v>0</v>
      </c>
      <c r="K40" s="16">
        <f t="shared" si="1"/>
        <v>0</v>
      </c>
      <c r="L40" s="16" t="e">
        <f t="shared" ca="1" si="2"/>
        <v>#VALUE!</v>
      </c>
      <c r="M40" s="19">
        <f t="shared" ca="1" si="3"/>
        <v>0</v>
      </c>
      <c r="N40" s="16">
        <f ca="1">IFERROR(__xludf.DUMMYFUNCTION("IFERROR(IF(G40&gt;0,0,GOOGLEFINANCE(""NSE:""&amp;B40,""change"")),0)"),0)</f>
        <v>0</v>
      </c>
      <c r="O40" s="16">
        <f t="shared" ca="1" si="4"/>
        <v>0</v>
      </c>
      <c r="P40" s="16">
        <f t="shared" si="5"/>
        <v>0</v>
      </c>
      <c r="Q40" s="19">
        <f t="shared" si="6"/>
        <v>0</v>
      </c>
      <c r="R40" s="16"/>
      <c r="S40" s="16"/>
      <c r="T40" s="16"/>
      <c r="U40" s="16"/>
      <c r="V40" s="16"/>
      <c r="W40" s="16"/>
      <c r="X40" s="16"/>
      <c r="Y40" s="16"/>
      <c r="Z40" s="19"/>
      <c r="AA40" s="16"/>
    </row>
    <row r="41" spans="1:27" ht="22.5" customHeight="1">
      <c r="A41" s="15">
        <v>40</v>
      </c>
      <c r="B41" s="16"/>
      <c r="C41" s="17"/>
      <c r="D41" s="18"/>
      <c r="E41" s="16"/>
      <c r="F41" s="18"/>
      <c r="G41" s="16"/>
      <c r="H41" s="16" t="str">
        <f ca="1">IFERROR(__xludf.DUMMYFUNCTION("IFERROR(GOOGLEFINANCE(""NSE:""&amp;B41,""price""),"""")"),"")</f>
        <v/>
      </c>
      <c r="I41" s="15"/>
      <c r="J41" s="16">
        <f t="shared" si="0"/>
        <v>0</v>
      </c>
      <c r="K41" s="16">
        <f t="shared" si="1"/>
        <v>0</v>
      </c>
      <c r="L41" s="16" t="e">
        <f t="shared" ca="1" si="2"/>
        <v>#VALUE!</v>
      </c>
      <c r="M41" s="19">
        <f t="shared" ca="1" si="3"/>
        <v>0</v>
      </c>
      <c r="N41" s="16">
        <f ca="1">IFERROR(__xludf.DUMMYFUNCTION("IFERROR(IF(G41&gt;0,0,GOOGLEFINANCE(""NSE:""&amp;B41,""change"")),0)"),0)</f>
        <v>0</v>
      </c>
      <c r="O41" s="16">
        <f t="shared" ca="1" si="4"/>
        <v>0</v>
      </c>
      <c r="P41" s="16">
        <f t="shared" si="5"/>
        <v>0</v>
      </c>
      <c r="Q41" s="19">
        <f t="shared" si="6"/>
        <v>0</v>
      </c>
      <c r="R41" s="16"/>
      <c r="S41" s="16"/>
      <c r="T41" s="16"/>
      <c r="U41" s="16"/>
      <c r="V41" s="16"/>
      <c r="W41" s="16"/>
      <c r="X41" s="16"/>
      <c r="Y41" s="16"/>
      <c r="Z41" s="19"/>
      <c r="AA41" s="16"/>
    </row>
    <row r="42" spans="1:27" ht="22.5" customHeight="1">
      <c r="A42" s="15">
        <v>41</v>
      </c>
      <c r="B42" s="16"/>
      <c r="C42" s="17"/>
      <c r="D42" s="18"/>
      <c r="E42" s="16"/>
      <c r="F42" s="18"/>
      <c r="G42" s="16"/>
      <c r="H42" s="16" t="str">
        <f ca="1">IFERROR(__xludf.DUMMYFUNCTION("IFERROR(GOOGLEFINANCE(""NSE:""&amp;B42,""price""),"""")"),"")</f>
        <v/>
      </c>
      <c r="I42" s="15"/>
      <c r="J42" s="16">
        <f t="shared" si="0"/>
        <v>0</v>
      </c>
      <c r="K42" s="16">
        <f t="shared" si="1"/>
        <v>0</v>
      </c>
      <c r="L42" s="16" t="e">
        <f t="shared" ca="1" si="2"/>
        <v>#VALUE!</v>
      </c>
      <c r="M42" s="19">
        <f t="shared" ca="1" si="3"/>
        <v>0</v>
      </c>
      <c r="N42" s="16">
        <f ca="1">IFERROR(__xludf.DUMMYFUNCTION("IFERROR(IF(G42&gt;0,0,GOOGLEFINANCE(""NSE:""&amp;B42,""change"")),0)"),0)</f>
        <v>0</v>
      </c>
      <c r="O42" s="16">
        <f t="shared" ca="1" si="4"/>
        <v>0</v>
      </c>
      <c r="P42" s="16">
        <f t="shared" si="5"/>
        <v>0</v>
      </c>
      <c r="Q42" s="19">
        <f t="shared" si="6"/>
        <v>0</v>
      </c>
      <c r="R42" s="16"/>
      <c r="S42" s="16"/>
      <c r="T42" s="16"/>
      <c r="U42" s="16"/>
      <c r="V42" s="16"/>
      <c r="W42" s="16"/>
      <c r="X42" s="16"/>
      <c r="Y42" s="16"/>
      <c r="Z42" s="19"/>
      <c r="AA42" s="16"/>
    </row>
    <row r="43" spans="1:27" ht="22.5" customHeight="1">
      <c r="A43" s="15">
        <v>42</v>
      </c>
      <c r="B43" s="16"/>
      <c r="C43" s="17"/>
      <c r="D43" s="18"/>
      <c r="E43" s="16"/>
      <c r="F43" s="15"/>
      <c r="G43" s="16"/>
      <c r="H43" s="16" t="str">
        <f ca="1">IFERROR(__xludf.DUMMYFUNCTION("IFERROR(GOOGLEFINANCE(""NSE:""&amp;B43,""price""),"""")"),"")</f>
        <v/>
      </c>
      <c r="I43" s="15"/>
      <c r="J43" s="16">
        <f t="shared" si="0"/>
        <v>0</v>
      </c>
      <c r="K43" s="16">
        <f t="shared" si="1"/>
        <v>0</v>
      </c>
      <c r="L43" s="16" t="e">
        <f t="shared" ca="1" si="2"/>
        <v>#VALUE!</v>
      </c>
      <c r="M43" s="19">
        <f t="shared" ca="1" si="3"/>
        <v>0</v>
      </c>
      <c r="N43" s="16">
        <f ca="1">IFERROR(__xludf.DUMMYFUNCTION("IFERROR(IF(G43&gt;0,0,GOOGLEFINANCE(""NSE:""&amp;B43,""change"")),0)"),0)</f>
        <v>0</v>
      </c>
      <c r="O43" s="16">
        <f t="shared" ca="1" si="4"/>
        <v>0</v>
      </c>
      <c r="P43" s="16">
        <f t="shared" si="5"/>
        <v>0</v>
      </c>
      <c r="Q43" s="19">
        <f t="shared" si="6"/>
        <v>0</v>
      </c>
      <c r="R43" s="16"/>
      <c r="S43" s="16"/>
      <c r="T43" s="16"/>
      <c r="U43" s="16"/>
      <c r="V43" s="16"/>
      <c r="W43" s="16"/>
      <c r="X43" s="16"/>
      <c r="Y43" s="16"/>
      <c r="Z43" s="19"/>
      <c r="AA43" s="16"/>
    </row>
    <row r="44" spans="1:27" ht="22.5" customHeight="1">
      <c r="A44" s="15">
        <v>43</v>
      </c>
      <c r="B44" s="16"/>
      <c r="C44" s="17"/>
      <c r="D44" s="18"/>
      <c r="E44" s="16"/>
      <c r="F44" s="18"/>
      <c r="G44" s="16"/>
      <c r="H44" s="16" t="str">
        <f ca="1">IFERROR(__xludf.DUMMYFUNCTION("IFERROR(GOOGLEFINANCE(""NSE:""&amp;B44,""price""),"""")"),"")</f>
        <v/>
      </c>
      <c r="I44" s="15"/>
      <c r="J44" s="16">
        <f t="shared" si="0"/>
        <v>0</v>
      </c>
      <c r="K44" s="16">
        <f t="shared" si="1"/>
        <v>0</v>
      </c>
      <c r="L44" s="16" t="e">
        <f t="shared" ca="1" si="2"/>
        <v>#VALUE!</v>
      </c>
      <c r="M44" s="19">
        <f t="shared" ca="1" si="3"/>
        <v>0</v>
      </c>
      <c r="N44" s="16">
        <f ca="1">IFERROR(__xludf.DUMMYFUNCTION("IFERROR(IF(G44&gt;0,0,GOOGLEFINANCE(""NSE:""&amp;B44,""change"")),0)"),0)</f>
        <v>0</v>
      </c>
      <c r="O44" s="16">
        <f t="shared" ca="1" si="4"/>
        <v>0</v>
      </c>
      <c r="P44" s="16">
        <f t="shared" si="5"/>
        <v>0</v>
      </c>
      <c r="Q44" s="19">
        <f t="shared" si="6"/>
        <v>0</v>
      </c>
      <c r="R44" s="16"/>
      <c r="S44" s="16"/>
      <c r="T44" s="16"/>
      <c r="U44" s="16"/>
      <c r="V44" s="16"/>
      <c r="W44" s="16"/>
      <c r="X44" s="16"/>
      <c r="Y44" s="16"/>
      <c r="Z44" s="19"/>
      <c r="AA44" s="16"/>
    </row>
    <row r="45" spans="1:27" ht="22.5" customHeight="1">
      <c r="A45" s="15">
        <v>44</v>
      </c>
      <c r="B45" s="16"/>
      <c r="C45" s="17"/>
      <c r="D45" s="18"/>
      <c r="E45" s="16"/>
      <c r="F45" s="18"/>
      <c r="G45" s="16"/>
      <c r="H45" s="16" t="str">
        <f ca="1">IFERROR(__xludf.DUMMYFUNCTION("IFERROR(GOOGLEFINANCE(""NSE:""&amp;B45,""price""),"""")"),"")</f>
        <v/>
      </c>
      <c r="I45" s="15"/>
      <c r="J45" s="16">
        <f t="shared" si="0"/>
        <v>0</v>
      </c>
      <c r="K45" s="16">
        <f t="shared" si="1"/>
        <v>0</v>
      </c>
      <c r="L45" s="16" t="e">
        <f t="shared" ca="1" si="2"/>
        <v>#VALUE!</v>
      </c>
      <c r="M45" s="19">
        <f t="shared" ca="1" si="3"/>
        <v>0</v>
      </c>
      <c r="N45" s="16">
        <f ca="1">IFERROR(__xludf.DUMMYFUNCTION("IFERROR(IF(G45&gt;0,0,GOOGLEFINANCE(""NSE:""&amp;B45,""change"")),0)"),0)</f>
        <v>0</v>
      </c>
      <c r="O45" s="16">
        <f t="shared" ca="1" si="4"/>
        <v>0</v>
      </c>
      <c r="P45" s="16">
        <f t="shared" si="5"/>
        <v>0</v>
      </c>
      <c r="Q45" s="19">
        <f t="shared" si="6"/>
        <v>0</v>
      </c>
      <c r="R45" s="16"/>
      <c r="S45" s="16"/>
      <c r="T45" s="16"/>
      <c r="U45" s="16"/>
      <c r="V45" s="16"/>
      <c r="W45" s="16"/>
      <c r="X45" s="16"/>
      <c r="Y45" s="16"/>
      <c r="Z45" s="19"/>
      <c r="AA45" s="16"/>
    </row>
    <row r="46" spans="1:27" ht="22.5" customHeight="1">
      <c r="A46" s="15">
        <v>45</v>
      </c>
      <c r="B46" s="16"/>
      <c r="C46" s="17"/>
      <c r="D46" s="18"/>
      <c r="E46" s="16"/>
      <c r="F46" s="18"/>
      <c r="G46" s="16"/>
      <c r="H46" s="16" t="str">
        <f ca="1">IFERROR(__xludf.DUMMYFUNCTION("IFERROR(GOOGLEFINANCE(""NSE:""&amp;B46,""price""),"""")"),"")</f>
        <v/>
      </c>
      <c r="I46" s="15"/>
      <c r="J46" s="16">
        <f t="shared" si="0"/>
        <v>0</v>
      </c>
      <c r="K46" s="16">
        <f t="shared" si="1"/>
        <v>0</v>
      </c>
      <c r="L46" s="16" t="e">
        <f t="shared" ca="1" si="2"/>
        <v>#VALUE!</v>
      </c>
      <c r="M46" s="19">
        <f t="shared" ca="1" si="3"/>
        <v>0</v>
      </c>
      <c r="N46" s="16">
        <f ca="1">IFERROR(__xludf.DUMMYFUNCTION("IFERROR(IF(G46&gt;0,0,GOOGLEFINANCE(""NSE:""&amp;B46,""change"")),0)"),0)</f>
        <v>0</v>
      </c>
      <c r="O46" s="16">
        <f t="shared" ca="1" si="4"/>
        <v>0</v>
      </c>
      <c r="P46" s="16">
        <f t="shared" si="5"/>
        <v>0</v>
      </c>
      <c r="Q46" s="19">
        <f t="shared" si="6"/>
        <v>0</v>
      </c>
      <c r="R46" s="16"/>
      <c r="S46" s="16"/>
      <c r="T46" s="16"/>
      <c r="U46" s="16"/>
      <c r="V46" s="16"/>
      <c r="W46" s="16"/>
      <c r="X46" s="16"/>
      <c r="Y46" s="16"/>
      <c r="Z46" s="19"/>
      <c r="AA46" s="16"/>
    </row>
    <row r="47" spans="1:27" ht="22.5" customHeight="1">
      <c r="A47" s="15">
        <v>46</v>
      </c>
      <c r="B47" s="16"/>
      <c r="C47" s="17"/>
      <c r="D47" s="18"/>
      <c r="E47" s="16"/>
      <c r="F47" s="18"/>
      <c r="G47" s="16"/>
      <c r="H47" s="16" t="str">
        <f ca="1">IFERROR(__xludf.DUMMYFUNCTION("IFERROR(GOOGLEFINANCE(""NSE:""&amp;B47,""price""),"""")"),"")</f>
        <v/>
      </c>
      <c r="I47" s="15"/>
      <c r="J47" s="16">
        <f t="shared" si="0"/>
        <v>0</v>
      </c>
      <c r="K47" s="16">
        <f t="shared" si="1"/>
        <v>0</v>
      </c>
      <c r="L47" s="16" t="e">
        <f t="shared" ca="1" si="2"/>
        <v>#VALUE!</v>
      </c>
      <c r="M47" s="19">
        <f t="shared" ca="1" si="3"/>
        <v>0</v>
      </c>
      <c r="N47" s="16">
        <f ca="1">IFERROR(__xludf.DUMMYFUNCTION("IFERROR(IF(G47&gt;0,0,GOOGLEFINANCE(""NSE:""&amp;B47,""change"")),0)"),0)</f>
        <v>0</v>
      </c>
      <c r="O47" s="16">
        <f t="shared" ca="1" si="4"/>
        <v>0</v>
      </c>
      <c r="P47" s="16">
        <f t="shared" si="5"/>
        <v>0</v>
      </c>
      <c r="Q47" s="19">
        <f t="shared" si="6"/>
        <v>0</v>
      </c>
      <c r="R47" s="16"/>
      <c r="S47" s="16"/>
      <c r="T47" s="16"/>
      <c r="U47" s="16"/>
      <c r="V47" s="16"/>
      <c r="W47" s="16"/>
      <c r="X47" s="16"/>
      <c r="Y47" s="16"/>
      <c r="Z47" s="19"/>
      <c r="AA47" s="16"/>
    </row>
    <row r="48" spans="1:27" ht="22.5" customHeight="1">
      <c r="A48" s="15">
        <v>47</v>
      </c>
      <c r="B48" s="16"/>
      <c r="C48" s="17"/>
      <c r="D48" s="18"/>
      <c r="E48" s="16"/>
      <c r="F48" s="18"/>
      <c r="G48" s="16"/>
      <c r="H48" s="16" t="str">
        <f ca="1">IFERROR(__xludf.DUMMYFUNCTION("IFERROR(GOOGLEFINANCE(""NSE:""&amp;B48,""price""),"""")"),"")</f>
        <v/>
      </c>
      <c r="I48" s="15"/>
      <c r="J48" s="16">
        <f t="shared" si="0"/>
        <v>0</v>
      </c>
      <c r="K48" s="16">
        <f t="shared" si="1"/>
        <v>0</v>
      </c>
      <c r="L48" s="16" t="e">
        <f t="shared" ca="1" si="2"/>
        <v>#VALUE!</v>
      </c>
      <c r="M48" s="19">
        <f t="shared" ca="1" si="3"/>
        <v>0</v>
      </c>
      <c r="N48" s="16">
        <f ca="1">IFERROR(__xludf.DUMMYFUNCTION("IFERROR(IF(G48&gt;0,0,GOOGLEFINANCE(""NSE:""&amp;B48,""change"")),0)"),0)</f>
        <v>0</v>
      </c>
      <c r="O48" s="16">
        <f t="shared" ca="1" si="4"/>
        <v>0</v>
      </c>
      <c r="P48" s="16">
        <f t="shared" si="5"/>
        <v>0</v>
      </c>
      <c r="Q48" s="19">
        <f t="shared" si="6"/>
        <v>0</v>
      </c>
      <c r="R48" s="16"/>
      <c r="S48" s="16"/>
      <c r="T48" s="16"/>
      <c r="U48" s="16"/>
      <c r="V48" s="16"/>
      <c r="W48" s="16"/>
      <c r="X48" s="16"/>
      <c r="Y48" s="16"/>
      <c r="Z48" s="19"/>
      <c r="AA48" s="16"/>
    </row>
    <row r="49" spans="1:27" ht="22.5" customHeight="1">
      <c r="A49" s="15">
        <v>48</v>
      </c>
      <c r="B49" s="16"/>
      <c r="C49" s="17"/>
      <c r="D49" s="18"/>
      <c r="E49" s="16"/>
      <c r="F49" s="18"/>
      <c r="G49" s="16"/>
      <c r="H49" s="16" t="str">
        <f ca="1">IFERROR(__xludf.DUMMYFUNCTION("IFERROR(GOOGLEFINANCE(""NSE:""&amp;B49,""price""),"""")"),"")</f>
        <v/>
      </c>
      <c r="I49" s="15"/>
      <c r="J49" s="16">
        <f t="shared" si="0"/>
        <v>0</v>
      </c>
      <c r="K49" s="16">
        <f t="shared" si="1"/>
        <v>0</v>
      </c>
      <c r="L49" s="16" t="e">
        <f t="shared" ca="1" si="2"/>
        <v>#VALUE!</v>
      </c>
      <c r="M49" s="19">
        <f t="shared" ca="1" si="3"/>
        <v>0</v>
      </c>
      <c r="N49" s="16">
        <f ca="1">IFERROR(__xludf.DUMMYFUNCTION("IFERROR(IF(G49&gt;0,0,GOOGLEFINANCE(""NSE:""&amp;B49,""change"")),0)"),0)</f>
        <v>0</v>
      </c>
      <c r="O49" s="16">
        <f t="shared" ca="1" si="4"/>
        <v>0</v>
      </c>
      <c r="P49" s="16">
        <f t="shared" si="5"/>
        <v>0</v>
      </c>
      <c r="Q49" s="19">
        <f t="shared" si="6"/>
        <v>0</v>
      </c>
      <c r="R49" s="16"/>
      <c r="S49" s="16"/>
      <c r="T49" s="16"/>
      <c r="U49" s="16"/>
      <c r="V49" s="16"/>
      <c r="W49" s="16"/>
      <c r="X49" s="16"/>
      <c r="Y49" s="16"/>
      <c r="Z49" s="19"/>
      <c r="AA49" s="16"/>
    </row>
    <row r="50" spans="1:27" ht="22.5" customHeight="1">
      <c r="A50" s="15">
        <v>49</v>
      </c>
      <c r="B50" s="16"/>
      <c r="C50" s="17"/>
      <c r="D50" s="18"/>
      <c r="E50" s="16"/>
      <c r="F50" s="15"/>
      <c r="G50" s="16"/>
      <c r="H50" s="16" t="str">
        <f ca="1">IFERROR(__xludf.DUMMYFUNCTION("IFERROR(GOOGLEFINANCE(""NSE:""&amp;B50,""price""),"""")"),"")</f>
        <v/>
      </c>
      <c r="I50" s="15"/>
      <c r="J50" s="16">
        <f t="shared" si="0"/>
        <v>0</v>
      </c>
      <c r="K50" s="16">
        <f t="shared" si="1"/>
        <v>0</v>
      </c>
      <c r="L50" s="16" t="e">
        <f t="shared" ca="1" si="2"/>
        <v>#VALUE!</v>
      </c>
      <c r="M50" s="19">
        <f t="shared" ca="1" si="3"/>
        <v>0</v>
      </c>
      <c r="N50" s="16">
        <f ca="1">IFERROR(__xludf.DUMMYFUNCTION("IFERROR(IF(G50&gt;0,0,GOOGLEFINANCE(""NSE:""&amp;B50,""change"")),0)"),0)</f>
        <v>0</v>
      </c>
      <c r="O50" s="16">
        <f t="shared" ca="1" si="4"/>
        <v>0</v>
      </c>
      <c r="P50" s="16">
        <f t="shared" si="5"/>
        <v>0</v>
      </c>
      <c r="Q50" s="19">
        <f t="shared" si="6"/>
        <v>0</v>
      </c>
      <c r="R50" s="16"/>
      <c r="S50" s="16"/>
      <c r="T50" s="16"/>
      <c r="U50" s="16"/>
      <c r="V50" s="16"/>
      <c r="W50" s="16"/>
      <c r="X50" s="16"/>
      <c r="Y50" s="16"/>
      <c r="Z50" s="19"/>
      <c r="AA50" s="16"/>
    </row>
    <row r="51" spans="1:27" ht="22.5" customHeight="1">
      <c r="A51" s="15">
        <v>50</v>
      </c>
      <c r="B51" s="32"/>
      <c r="C51" s="33"/>
      <c r="D51" s="34"/>
      <c r="E51" s="32"/>
      <c r="F51" s="34"/>
      <c r="G51" s="32"/>
      <c r="H51" s="16" t="str">
        <f ca="1">IFERROR(__xludf.DUMMYFUNCTION("IFERROR(GOOGLEFINANCE(""NSE:""&amp;B51,""price""),"""")"),"")</f>
        <v/>
      </c>
      <c r="I51" s="15"/>
      <c r="J51" s="16">
        <f t="shared" si="0"/>
        <v>0</v>
      </c>
      <c r="K51" s="16">
        <f t="shared" si="1"/>
        <v>0</v>
      </c>
      <c r="L51" s="16" t="e">
        <f t="shared" ca="1" si="2"/>
        <v>#VALUE!</v>
      </c>
      <c r="M51" s="19">
        <f t="shared" ca="1" si="3"/>
        <v>0</v>
      </c>
      <c r="N51" s="16">
        <f ca="1">IFERROR(__xludf.DUMMYFUNCTION("IFERROR(IF(G51&gt;0,0,GOOGLEFINANCE(""NSE:""&amp;B51,""change"")),0)"),0)</f>
        <v>0</v>
      </c>
      <c r="O51" s="16">
        <f t="shared" ca="1" si="4"/>
        <v>0</v>
      </c>
      <c r="P51" s="16">
        <f t="shared" si="5"/>
        <v>0</v>
      </c>
      <c r="Q51" s="19">
        <f t="shared" si="6"/>
        <v>0</v>
      </c>
      <c r="R51" s="16"/>
      <c r="S51" s="16"/>
      <c r="T51" s="16"/>
      <c r="U51" s="16"/>
      <c r="V51" s="16"/>
      <c r="W51" s="16"/>
      <c r="X51" s="16"/>
      <c r="Y51" s="16"/>
      <c r="Z51" s="19"/>
      <c r="AA51" s="16"/>
    </row>
    <row r="52" spans="1:27" ht="22.5" customHeight="1">
      <c r="A52" s="15">
        <v>51</v>
      </c>
      <c r="B52" s="16"/>
      <c r="C52" s="17"/>
      <c r="D52" s="18"/>
      <c r="E52" s="16"/>
      <c r="F52" s="18"/>
      <c r="G52" s="16"/>
      <c r="H52" s="16" t="str">
        <f ca="1">IFERROR(__xludf.DUMMYFUNCTION("IFERROR(GOOGLEFINANCE(""NSE:""&amp;B52,""price""),"""")"),"")</f>
        <v/>
      </c>
      <c r="I52" s="15"/>
      <c r="J52" s="16">
        <f t="shared" si="0"/>
        <v>0</v>
      </c>
      <c r="K52" s="16">
        <f t="shared" si="1"/>
        <v>0</v>
      </c>
      <c r="L52" s="16" t="e">
        <f t="shared" ca="1" si="2"/>
        <v>#VALUE!</v>
      </c>
      <c r="M52" s="19">
        <f t="shared" ca="1" si="3"/>
        <v>0</v>
      </c>
      <c r="N52" s="16">
        <f ca="1">IFERROR(__xludf.DUMMYFUNCTION("IFERROR(IF(G52&gt;0,0,GOOGLEFINANCE(""NSE:""&amp;B52,""change"")),0)"),0)</f>
        <v>0</v>
      </c>
      <c r="O52" s="16">
        <f t="shared" ca="1" si="4"/>
        <v>0</v>
      </c>
      <c r="P52" s="16">
        <f t="shared" si="5"/>
        <v>0</v>
      </c>
      <c r="Q52" s="19">
        <f t="shared" si="6"/>
        <v>0</v>
      </c>
      <c r="R52" s="16"/>
      <c r="S52" s="16"/>
      <c r="T52" s="16"/>
      <c r="U52" s="16"/>
      <c r="V52" s="16"/>
      <c r="W52" s="16"/>
      <c r="X52" s="16"/>
      <c r="Y52" s="16"/>
      <c r="Z52" s="19"/>
      <c r="AA52" s="16"/>
    </row>
    <row r="53" spans="1:27" ht="22.5" customHeight="1">
      <c r="A53" s="15">
        <v>52</v>
      </c>
      <c r="B53" s="32"/>
      <c r="C53" s="33"/>
      <c r="D53" s="34"/>
      <c r="E53" s="32"/>
      <c r="F53" s="34"/>
      <c r="G53" s="32"/>
      <c r="H53" s="16" t="str">
        <f ca="1">IFERROR(__xludf.DUMMYFUNCTION("IFERROR(GOOGLEFINANCE(""NSE:""&amp;B53,""price""),"""")"),"")</f>
        <v/>
      </c>
      <c r="I53" s="15"/>
      <c r="J53" s="16">
        <f t="shared" si="0"/>
        <v>0</v>
      </c>
      <c r="K53" s="16">
        <f t="shared" si="1"/>
        <v>0</v>
      </c>
      <c r="L53" s="16" t="e">
        <f t="shared" ca="1" si="2"/>
        <v>#VALUE!</v>
      </c>
      <c r="M53" s="19">
        <f t="shared" ca="1" si="3"/>
        <v>0</v>
      </c>
      <c r="N53" s="16">
        <f ca="1">IFERROR(__xludf.DUMMYFUNCTION("IFERROR(IF(G53&gt;0,0,GOOGLEFINANCE(""NSE:""&amp;B53,""change"")),0)"),0)</f>
        <v>0</v>
      </c>
      <c r="O53" s="16">
        <f t="shared" ca="1" si="4"/>
        <v>0</v>
      </c>
      <c r="P53" s="16">
        <f t="shared" si="5"/>
        <v>0</v>
      </c>
      <c r="Q53" s="19">
        <f t="shared" si="6"/>
        <v>0</v>
      </c>
      <c r="R53" s="32"/>
      <c r="S53" s="32"/>
      <c r="T53" s="32"/>
      <c r="U53" s="32"/>
      <c r="V53" s="32"/>
      <c r="W53" s="32"/>
      <c r="X53" s="32"/>
      <c r="Y53" s="32"/>
      <c r="Z53" s="35"/>
      <c r="AA53" s="32"/>
    </row>
  </sheetData>
  <conditionalFormatting sqref="L2:Q53 Y2:Z53 AM3:AO3 AI3:AJ3 AE4:AE6 AE10">
    <cfRule type="cellIs" dxfId="23" priority="1" operator="lessThan">
      <formula>0</formula>
    </cfRule>
    <cfRule type="cellIs" dxfId="22" priority="2" operator="greaterThan">
      <formula>0</formula>
    </cfRule>
  </conditionalFormatting>
  <dataValidations count="3">
    <dataValidation type="custom" allowBlank="1" showDropDown="1" sqref="D2:D53" xr:uid="{00000000-0002-0000-0300-000000000000}">
      <formula1>OR(NOT(ISERROR(DATEVALUE(D2))), AND(ISNUMBER(D2), LEFT(CELL("format", D2))="D"))</formula1>
    </dataValidation>
    <dataValidation type="custom" allowBlank="1" showDropDown="1" sqref="E2:E53 G2:H53 J2:Q53" xr:uid="{00000000-0002-0000-0300-000001000000}">
      <formula1>AND(ISNUMBER(E2),(NOT(OR(NOT(ISERROR(DATEVALUE(E2))), AND(ISNUMBER(E2), LEFT(CELL("format", E2))="D")))))</formula1>
    </dataValidation>
    <dataValidation type="list" allowBlank="1" sqref="C2:C53" xr:uid="{00000000-0002-0000-0300-000002000000}">
      <formula1>"DHAN,RAM,KAMAL,ESPRESSO,FYERS,Paytm,ANGELONE,Dashrathlal"</formula1>
    </dataValidation>
  </dataValidations>
  <pageMargins left="0.7" right="0.7" top="0.75" bottom="0.75" header="0.3" footer="0.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5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2" max="2" width="12.88671875" customWidth="1"/>
    <col min="3" max="3" width="10.33203125" customWidth="1"/>
    <col min="4" max="4" width="15.33203125" customWidth="1"/>
    <col min="5" max="5" width="11.44140625" customWidth="1"/>
    <col min="6" max="6" width="12" customWidth="1"/>
    <col min="7" max="7" width="11.33203125" customWidth="1"/>
    <col min="8" max="8" width="11.44140625" customWidth="1"/>
    <col min="9" max="9" width="5" customWidth="1"/>
    <col min="10" max="10" width="15" customWidth="1"/>
    <col min="11" max="11" width="19.6640625" customWidth="1"/>
    <col min="12" max="12" width="14.44140625" customWidth="1"/>
    <col min="13" max="14" width="14.33203125" customWidth="1"/>
    <col min="15" max="15" width="18.109375" customWidth="1"/>
    <col min="16" max="16" width="14.44140625" customWidth="1"/>
    <col min="19" max="19" width="10.44140625" customWidth="1"/>
    <col min="20" max="20" width="11.33203125" customWidth="1"/>
  </cols>
  <sheetData>
    <row r="1" spans="1:23" ht="22.5" customHeight="1">
      <c r="A1" s="11" t="s">
        <v>120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11" t="s">
        <v>79</v>
      </c>
      <c r="J1" s="11" t="s">
        <v>80</v>
      </c>
      <c r="K1" s="11" t="s">
        <v>6</v>
      </c>
      <c r="L1" s="11" t="s">
        <v>82</v>
      </c>
      <c r="M1" s="11" t="s">
        <v>83</v>
      </c>
      <c r="N1" s="11" t="s">
        <v>84</v>
      </c>
      <c r="O1" s="11" t="s">
        <v>5</v>
      </c>
      <c r="P1" s="11" t="s">
        <v>85</v>
      </c>
    </row>
    <row r="2" spans="1:23" ht="22.5" customHeight="1">
      <c r="A2" s="15">
        <v>1</v>
      </c>
      <c r="B2" s="16" t="s">
        <v>22</v>
      </c>
      <c r="C2" s="15" t="s">
        <v>2</v>
      </c>
      <c r="D2" s="18"/>
      <c r="E2" s="16">
        <v>179.625</v>
      </c>
      <c r="F2" s="18"/>
      <c r="G2" s="16">
        <v>0</v>
      </c>
      <c r="H2" s="16">
        <f ca="1">IFERROR(__xludf.DUMMYFUNCTION("GOOGLEFINANCE(""NSE:""&amp;B2,""price"")"),369.7)</f>
        <v>369.7</v>
      </c>
      <c r="I2" s="15">
        <v>60</v>
      </c>
      <c r="J2" s="16">
        <f t="shared" ref="J2:J53" si="0">E2*I2</f>
        <v>10777.5</v>
      </c>
      <c r="K2" s="16">
        <f t="shared" ref="K2:K53" ca="1" si="1">IF(G2&gt;0,0,(H2-E2)*I2)</f>
        <v>11404.5</v>
      </c>
      <c r="L2" s="19">
        <f t="shared" ref="L2:L53" ca="1" si="2">IFERROR(IF(G2&gt;0,0,(H2-E2)/E2),0)</f>
        <v>1.0581767571329157</v>
      </c>
      <c r="M2" s="16">
        <f ca="1">IFERROR(__xludf.DUMMYFUNCTION("IF(G2&gt;0,0, IFNA(GOOGLEFINANCE(""NSE:""&amp;B2,""change""),0))"),-0.2)</f>
        <v>-0.2</v>
      </c>
      <c r="N2" s="16">
        <f t="shared" ref="N2:N53" ca="1" si="3">M2*I2</f>
        <v>-12</v>
      </c>
      <c r="O2" s="16">
        <f t="shared" ref="O2:O53" si="4">IF(G2=0,0,(G2-E2)*I2)</f>
        <v>0</v>
      </c>
      <c r="P2" s="19">
        <f t="shared" ref="P2:P53" si="5">IF(G2&gt;0,(G2-E2)/E2,0)</f>
        <v>0</v>
      </c>
      <c r="R2" s="113"/>
      <c r="S2" s="114" t="s">
        <v>275</v>
      </c>
      <c r="T2" s="134"/>
      <c r="U2" s="134"/>
      <c r="V2" s="134"/>
      <c r="W2" s="115"/>
    </row>
    <row r="3" spans="1:23" ht="22.5" customHeight="1">
      <c r="A3" s="15">
        <v>2</v>
      </c>
      <c r="B3" s="16" t="s">
        <v>26</v>
      </c>
      <c r="C3" s="15" t="s">
        <v>2</v>
      </c>
      <c r="D3" s="18"/>
      <c r="E3" s="16">
        <v>19.75</v>
      </c>
      <c r="F3" s="18"/>
      <c r="G3" s="16">
        <v>0</v>
      </c>
      <c r="H3" s="16">
        <f ca="1">IFERROR(__xludf.DUMMYFUNCTION("GOOGLEFINANCE(""NSE:""&amp;B3,""price"")"),91.15)</f>
        <v>91.15</v>
      </c>
      <c r="I3" s="15">
        <v>1</v>
      </c>
      <c r="J3" s="16">
        <f t="shared" si="0"/>
        <v>19.75</v>
      </c>
      <c r="K3" s="16">
        <f t="shared" ca="1" si="1"/>
        <v>71.400000000000006</v>
      </c>
      <c r="L3" s="19">
        <f t="shared" ca="1" si="2"/>
        <v>3.6151898734177217</v>
      </c>
      <c r="M3" s="16">
        <f ca="1">IFERROR(__xludf.DUMMYFUNCTION("IF(G3&gt;0,0, IFNA(GOOGLEFINANCE(""NSE:""&amp;B3,""change""),0))"),1.19)</f>
        <v>1.19</v>
      </c>
      <c r="N3" s="16">
        <f t="shared" ca="1" si="3"/>
        <v>1.19</v>
      </c>
      <c r="O3" s="16">
        <f t="shared" si="4"/>
        <v>0</v>
      </c>
      <c r="P3" s="19">
        <f t="shared" si="5"/>
        <v>0</v>
      </c>
      <c r="R3" s="114" t="s">
        <v>4</v>
      </c>
      <c r="S3" s="113" t="s">
        <v>79</v>
      </c>
      <c r="T3" s="135" t="s">
        <v>5</v>
      </c>
      <c r="U3" s="135" t="s">
        <v>6</v>
      </c>
      <c r="V3" s="135" t="s">
        <v>7</v>
      </c>
      <c r="W3" s="116" t="s">
        <v>121</v>
      </c>
    </row>
    <row r="4" spans="1:23" ht="22.5" customHeight="1">
      <c r="A4" s="15">
        <v>3</v>
      </c>
      <c r="B4" s="16" t="s">
        <v>34</v>
      </c>
      <c r="C4" s="15" t="s">
        <v>2</v>
      </c>
      <c r="D4" s="18"/>
      <c r="E4" s="16">
        <v>1199.0899999999999</v>
      </c>
      <c r="F4" s="18"/>
      <c r="G4" s="16">
        <v>0</v>
      </c>
      <c r="H4" s="16">
        <f ca="1">IFERROR(__xludf.DUMMYFUNCTION("GOOGLEFINANCE(""NSE:""&amp;B4,""price"")"),1674.8)</f>
        <v>1674.8</v>
      </c>
      <c r="I4" s="15">
        <v>11</v>
      </c>
      <c r="J4" s="16">
        <f t="shared" si="0"/>
        <v>13189.99</v>
      </c>
      <c r="K4" s="16">
        <f t="shared" ca="1" si="1"/>
        <v>5232.8100000000004</v>
      </c>
      <c r="L4" s="19">
        <f t="shared" ca="1" si="2"/>
        <v>0.39672585043658115</v>
      </c>
      <c r="M4" s="16">
        <f ca="1">IFERROR(__xludf.DUMMYFUNCTION("IF(G4&gt;0,0, IFNA(GOOGLEFINANCE(""NSE:""&amp;B4,""change""),0))"),4.5)</f>
        <v>4.5</v>
      </c>
      <c r="N4" s="16">
        <f t="shared" ca="1" si="3"/>
        <v>49.5</v>
      </c>
      <c r="O4" s="16">
        <f t="shared" si="4"/>
        <v>0</v>
      </c>
      <c r="P4" s="19">
        <f t="shared" si="5"/>
        <v>0</v>
      </c>
      <c r="R4" s="136" t="s">
        <v>14</v>
      </c>
      <c r="S4" s="117">
        <v>4</v>
      </c>
      <c r="T4" s="137">
        <v>0</v>
      </c>
      <c r="U4" s="137">
        <v>1232</v>
      </c>
      <c r="V4" s="137">
        <v>1.6</v>
      </c>
      <c r="W4" s="118">
        <v>4</v>
      </c>
    </row>
    <row r="5" spans="1:23" ht="22.5" customHeight="1">
      <c r="A5" s="15">
        <v>4</v>
      </c>
      <c r="B5" s="25" t="s">
        <v>23</v>
      </c>
      <c r="C5" s="15" t="s">
        <v>2</v>
      </c>
      <c r="D5" s="18"/>
      <c r="E5" s="16">
        <v>702.17</v>
      </c>
      <c r="F5" s="18"/>
      <c r="G5" s="16">
        <v>0</v>
      </c>
      <c r="H5" s="16">
        <f ca="1">IFERROR(__xludf.DUMMYFUNCTION("GOOGLEFINANCE(""NSE:""&amp;B5,""price"")"),997)</f>
        <v>997</v>
      </c>
      <c r="I5" s="15">
        <v>6</v>
      </c>
      <c r="J5" s="16">
        <f t="shared" si="0"/>
        <v>4213.0199999999995</v>
      </c>
      <c r="K5" s="16">
        <f t="shared" ca="1" si="1"/>
        <v>1768.9800000000002</v>
      </c>
      <c r="L5" s="19">
        <f t="shared" ca="1" si="2"/>
        <v>0.41988407365737651</v>
      </c>
      <c r="M5" s="16">
        <f ca="1">IFERROR(__xludf.DUMMYFUNCTION("IF(G5&gt;0,0, IFNA(GOOGLEFINANCE(""NSE:""&amp;B5,""change""),0))"),9.3)</f>
        <v>9.3000000000000007</v>
      </c>
      <c r="N5" s="16">
        <f t="shared" ca="1" si="3"/>
        <v>55.800000000000004</v>
      </c>
      <c r="O5" s="16">
        <f t="shared" si="4"/>
        <v>0</v>
      </c>
      <c r="P5" s="19">
        <f t="shared" si="5"/>
        <v>0</v>
      </c>
      <c r="R5" s="138" t="s">
        <v>18</v>
      </c>
      <c r="S5" s="120">
        <v>214</v>
      </c>
      <c r="T5" s="139">
        <v>12476.119999999999</v>
      </c>
      <c r="U5" s="139">
        <v>0</v>
      </c>
      <c r="V5" s="139">
        <v>0</v>
      </c>
      <c r="W5" s="121">
        <v>214</v>
      </c>
    </row>
    <row r="6" spans="1:23" ht="22.5" customHeight="1">
      <c r="A6" s="15">
        <v>5</v>
      </c>
      <c r="B6" s="25" t="s">
        <v>41</v>
      </c>
      <c r="C6" s="15" t="s">
        <v>2</v>
      </c>
      <c r="D6" s="18"/>
      <c r="E6" s="16">
        <v>663.14</v>
      </c>
      <c r="F6" s="18"/>
      <c r="G6" s="16">
        <v>0</v>
      </c>
      <c r="H6" s="16">
        <f ca="1">IFERROR(__xludf.DUMMYFUNCTION("GOOGLEFINANCE(""NSE:""&amp;B6,""price"")"),1362.4)</f>
        <v>1362.4</v>
      </c>
      <c r="I6" s="15">
        <v>22</v>
      </c>
      <c r="J6" s="16">
        <f t="shared" si="0"/>
        <v>14589.08</v>
      </c>
      <c r="K6" s="16">
        <f t="shared" ca="1" si="1"/>
        <v>15383.720000000003</v>
      </c>
      <c r="L6" s="19">
        <f t="shared" ca="1" si="2"/>
        <v>1.0544681364417772</v>
      </c>
      <c r="M6" s="16">
        <f ca="1">IFERROR(__xludf.DUMMYFUNCTION("IF(G6&gt;0,0, IFNA(GOOGLEFINANCE(""NSE:""&amp;B6,""change""),0))"),-6.1)</f>
        <v>-6.1</v>
      </c>
      <c r="N6" s="16">
        <f t="shared" ca="1" si="3"/>
        <v>-134.19999999999999</v>
      </c>
      <c r="O6" s="16">
        <f t="shared" si="4"/>
        <v>0</v>
      </c>
      <c r="P6" s="19">
        <f t="shared" si="5"/>
        <v>0</v>
      </c>
      <c r="R6" s="138" t="s">
        <v>22</v>
      </c>
      <c r="S6" s="120">
        <v>120</v>
      </c>
      <c r="T6" s="139">
        <v>0</v>
      </c>
      <c r="U6" s="139">
        <v>22809</v>
      </c>
      <c r="V6" s="139">
        <v>-24</v>
      </c>
      <c r="W6" s="121">
        <v>120</v>
      </c>
    </row>
    <row r="7" spans="1:23" ht="22.5" customHeight="1">
      <c r="A7" s="15">
        <v>6</v>
      </c>
      <c r="B7" s="16" t="s">
        <v>35</v>
      </c>
      <c r="C7" s="15" t="s">
        <v>2</v>
      </c>
      <c r="D7" s="18"/>
      <c r="E7" s="16">
        <v>753.45</v>
      </c>
      <c r="F7" s="18"/>
      <c r="G7" s="16">
        <v>0</v>
      </c>
      <c r="H7" s="16">
        <f ca="1">IFERROR(__xludf.DUMMYFUNCTION("GOOGLEFINANCE(""NSE:""&amp;B7,""price"")"),680.5)</f>
        <v>680.5</v>
      </c>
      <c r="I7" s="15">
        <v>15</v>
      </c>
      <c r="J7" s="16">
        <f t="shared" si="0"/>
        <v>11301.75</v>
      </c>
      <c r="K7" s="16">
        <f t="shared" ca="1" si="1"/>
        <v>-1094.2500000000007</v>
      </c>
      <c r="L7" s="19">
        <f t="shared" ca="1" si="2"/>
        <v>-9.6821288738469763E-2</v>
      </c>
      <c r="M7" s="16">
        <f ca="1">IFERROR(__xludf.DUMMYFUNCTION("IF(G7&gt;0,0, IFNA(GOOGLEFINANCE(""NSE:""&amp;B7,""change""),0))"),-1.15)</f>
        <v>-1.1499999999999999</v>
      </c>
      <c r="N7" s="16">
        <f t="shared" ca="1" si="3"/>
        <v>-17.25</v>
      </c>
      <c r="O7" s="16">
        <f t="shared" si="4"/>
        <v>0</v>
      </c>
      <c r="P7" s="19">
        <f t="shared" si="5"/>
        <v>0</v>
      </c>
      <c r="R7" s="138" t="s">
        <v>26</v>
      </c>
      <c r="S7" s="120">
        <v>116</v>
      </c>
      <c r="T7" s="139">
        <v>0</v>
      </c>
      <c r="U7" s="139">
        <v>545.09000000000106</v>
      </c>
      <c r="V7" s="139">
        <v>138.04</v>
      </c>
      <c r="W7" s="121">
        <v>116</v>
      </c>
    </row>
    <row r="8" spans="1:23" ht="22.5" customHeight="1">
      <c r="A8" s="15">
        <v>7</v>
      </c>
      <c r="B8" s="16" t="s">
        <v>52</v>
      </c>
      <c r="C8" s="15" t="s">
        <v>2</v>
      </c>
      <c r="D8" s="18"/>
      <c r="E8" s="16">
        <v>50</v>
      </c>
      <c r="F8" s="18"/>
      <c r="G8" s="16">
        <v>0</v>
      </c>
      <c r="H8" s="16">
        <f ca="1">IFERROR(__xludf.DUMMYFUNCTION("GOOGLEFINANCE(""NSE:""&amp;B8,""price"")"),168.98)</f>
        <v>168.98</v>
      </c>
      <c r="I8" s="15">
        <v>288</v>
      </c>
      <c r="J8" s="16">
        <f t="shared" si="0"/>
        <v>14400</v>
      </c>
      <c r="K8" s="16">
        <f t="shared" ca="1" si="1"/>
        <v>34266.239999999998</v>
      </c>
      <c r="L8" s="19">
        <f t="shared" ca="1" si="2"/>
        <v>2.3795999999999999</v>
      </c>
      <c r="M8" s="16">
        <f ca="1">IFERROR(__xludf.DUMMYFUNCTION("IF(G8&gt;0,0, IFNA(GOOGLEFINANCE(""NSE:""&amp;B8,""change""),0))"),2.12)</f>
        <v>2.12</v>
      </c>
      <c r="N8" s="16">
        <f t="shared" ca="1" si="3"/>
        <v>610.56000000000006</v>
      </c>
      <c r="O8" s="16">
        <f t="shared" si="4"/>
        <v>0</v>
      </c>
      <c r="P8" s="19">
        <f t="shared" si="5"/>
        <v>0</v>
      </c>
      <c r="R8" s="138" t="s">
        <v>30</v>
      </c>
      <c r="S8" s="120">
        <v>1</v>
      </c>
      <c r="T8" s="139">
        <v>0</v>
      </c>
      <c r="U8" s="139">
        <v>-308.75</v>
      </c>
      <c r="V8" s="139">
        <v>23.7</v>
      </c>
      <c r="W8" s="121">
        <v>1</v>
      </c>
    </row>
    <row r="9" spans="1:23" ht="22.5" customHeight="1">
      <c r="A9" s="15">
        <v>8</v>
      </c>
      <c r="B9" s="16" t="s">
        <v>56</v>
      </c>
      <c r="C9" s="15" t="s">
        <v>2</v>
      </c>
      <c r="D9" s="18"/>
      <c r="E9" s="16">
        <v>977.1</v>
      </c>
      <c r="F9" s="18"/>
      <c r="G9" s="16">
        <v>0</v>
      </c>
      <c r="H9" s="16">
        <f ca="1">IFERROR(__xludf.DUMMYFUNCTION("GOOGLEFINANCE(""NSE:""&amp;B9,""price"")"),776.9)</f>
        <v>776.9</v>
      </c>
      <c r="I9" s="15">
        <v>15</v>
      </c>
      <c r="J9" s="16">
        <f t="shared" si="0"/>
        <v>14656.5</v>
      </c>
      <c r="K9" s="16">
        <f t="shared" ca="1" si="1"/>
        <v>-3003.0000000000009</v>
      </c>
      <c r="L9" s="19">
        <f t="shared" ca="1" si="2"/>
        <v>-0.20489202742810361</v>
      </c>
      <c r="M9" s="16">
        <f ca="1">IFERROR(__xludf.DUMMYFUNCTION("IF(G9&gt;0,0, IFNA(GOOGLEFINANCE(""NSE:""&amp;B9,""change""),0))"),8.4)</f>
        <v>8.4</v>
      </c>
      <c r="N9" s="16">
        <f t="shared" ca="1" si="3"/>
        <v>126</v>
      </c>
      <c r="O9" s="16">
        <f t="shared" si="4"/>
        <v>0</v>
      </c>
      <c r="P9" s="19">
        <f t="shared" si="5"/>
        <v>0</v>
      </c>
      <c r="R9" s="138" t="s">
        <v>34</v>
      </c>
      <c r="S9" s="120">
        <v>11</v>
      </c>
      <c r="T9" s="139">
        <v>0</v>
      </c>
      <c r="U9" s="139">
        <v>5232.8100000000004</v>
      </c>
      <c r="V9" s="139">
        <v>49.5</v>
      </c>
      <c r="W9" s="121">
        <v>11</v>
      </c>
    </row>
    <row r="10" spans="1:23" ht="22.5" customHeight="1">
      <c r="A10" s="15">
        <v>9</v>
      </c>
      <c r="B10" s="16" t="s">
        <v>23</v>
      </c>
      <c r="C10" s="15" t="s">
        <v>2</v>
      </c>
      <c r="D10" s="18">
        <v>45054</v>
      </c>
      <c r="E10" s="16">
        <v>823.82500000000005</v>
      </c>
      <c r="F10" s="18"/>
      <c r="G10" s="16">
        <v>0</v>
      </c>
      <c r="H10" s="16">
        <f ca="1">IFERROR(__xludf.DUMMYFUNCTION("GOOGLEFINANCE(""NSE:""&amp;B10,""price"")"),997)</f>
        <v>997</v>
      </c>
      <c r="I10" s="15">
        <v>3</v>
      </c>
      <c r="J10" s="16">
        <f t="shared" si="0"/>
        <v>2471.4750000000004</v>
      </c>
      <c r="K10" s="16">
        <f t="shared" ca="1" si="1"/>
        <v>519.52499999999986</v>
      </c>
      <c r="L10" s="19">
        <f t="shared" ca="1" si="2"/>
        <v>0.2102084787424513</v>
      </c>
      <c r="M10" s="16">
        <f ca="1">IFERROR(__xludf.DUMMYFUNCTION("IF(G10&gt;0,0, IFNA(GOOGLEFINANCE(""NSE:""&amp;B10,""change""),0))"),9.3)</f>
        <v>9.3000000000000007</v>
      </c>
      <c r="N10" s="16">
        <f t="shared" ca="1" si="3"/>
        <v>27.900000000000002</v>
      </c>
      <c r="O10" s="16">
        <f t="shared" si="4"/>
        <v>0</v>
      </c>
      <c r="P10" s="19">
        <f t="shared" si="5"/>
        <v>0</v>
      </c>
      <c r="R10" s="138" t="s">
        <v>23</v>
      </c>
      <c r="S10" s="120">
        <v>30</v>
      </c>
      <c r="T10" s="139">
        <v>0</v>
      </c>
      <c r="U10" s="139">
        <v>7752.39</v>
      </c>
      <c r="V10" s="139">
        <v>279</v>
      </c>
      <c r="W10" s="121">
        <v>30</v>
      </c>
    </row>
    <row r="11" spans="1:23" ht="22.5" customHeight="1">
      <c r="A11" s="15">
        <v>10</v>
      </c>
      <c r="B11" s="16" t="s">
        <v>55</v>
      </c>
      <c r="C11" s="15" t="s">
        <v>2</v>
      </c>
      <c r="D11" s="18">
        <v>45084</v>
      </c>
      <c r="E11" s="16">
        <v>133.5</v>
      </c>
      <c r="F11" s="18">
        <v>45170</v>
      </c>
      <c r="G11" s="16">
        <v>217.5</v>
      </c>
      <c r="H11" s="16">
        <f ca="1">IFERROR(__xludf.DUMMYFUNCTION("GOOGLEFINANCE(""NSE:""&amp;B11,""price"")"),360)</f>
        <v>360</v>
      </c>
      <c r="I11" s="15">
        <v>27</v>
      </c>
      <c r="J11" s="16">
        <f t="shared" si="0"/>
        <v>3604.5</v>
      </c>
      <c r="K11" s="16">
        <f t="shared" si="1"/>
        <v>0</v>
      </c>
      <c r="L11" s="19">
        <f t="shared" si="2"/>
        <v>0</v>
      </c>
      <c r="M11" s="16">
        <f ca="1">IFERROR(__xludf.DUMMYFUNCTION("IF(G11&gt;0,0, IFNA(GOOGLEFINANCE(""NSE:""&amp;B11,""change""),0))"),0)</f>
        <v>0</v>
      </c>
      <c r="N11" s="16">
        <f t="shared" ca="1" si="3"/>
        <v>0</v>
      </c>
      <c r="O11" s="16">
        <f t="shared" si="4"/>
        <v>2268</v>
      </c>
      <c r="P11" s="19">
        <f t="shared" si="5"/>
        <v>0.6292134831460674</v>
      </c>
      <c r="R11" s="138" t="s">
        <v>27</v>
      </c>
      <c r="S11" s="120">
        <v>50</v>
      </c>
      <c r="T11" s="139">
        <v>0</v>
      </c>
      <c r="U11" s="139">
        <v>-1.5000000000000568</v>
      </c>
      <c r="V11" s="139">
        <v>28.999999999999996</v>
      </c>
      <c r="W11" s="121">
        <v>50</v>
      </c>
    </row>
    <row r="12" spans="1:23" ht="22.5" customHeight="1">
      <c r="A12" s="15">
        <v>11</v>
      </c>
      <c r="B12" s="16" t="s">
        <v>55</v>
      </c>
      <c r="C12" s="15" t="s">
        <v>2</v>
      </c>
      <c r="D12" s="18">
        <v>45084</v>
      </c>
      <c r="E12" s="16">
        <v>133.5</v>
      </c>
      <c r="F12" s="18">
        <v>45877</v>
      </c>
      <c r="G12" s="16">
        <v>353.85</v>
      </c>
      <c r="H12" s="16">
        <f ca="1">IFERROR(__xludf.DUMMYFUNCTION("GOOGLEFINANCE(""NSE:""&amp;B12,""price"")"),360)</f>
        <v>360</v>
      </c>
      <c r="I12" s="15">
        <v>10</v>
      </c>
      <c r="J12" s="16">
        <f t="shared" si="0"/>
        <v>1335</v>
      </c>
      <c r="K12" s="16">
        <f t="shared" si="1"/>
        <v>0</v>
      </c>
      <c r="L12" s="19">
        <f t="shared" si="2"/>
        <v>0</v>
      </c>
      <c r="M12" s="16">
        <f ca="1">IFERROR(__xludf.DUMMYFUNCTION("IF(G12&gt;0,0, IFNA(GOOGLEFINANCE(""NSE:""&amp;B12,""change""),0))"),0)</f>
        <v>0</v>
      </c>
      <c r="N12" s="16">
        <f t="shared" ca="1" si="3"/>
        <v>0</v>
      </c>
      <c r="O12" s="16">
        <f t="shared" si="4"/>
        <v>2203.5</v>
      </c>
      <c r="P12" s="19">
        <f t="shared" si="5"/>
        <v>1.6505617977528091</v>
      </c>
      <c r="R12" s="138" t="s">
        <v>41</v>
      </c>
      <c r="S12" s="120">
        <v>22</v>
      </c>
      <c r="T12" s="139">
        <v>0</v>
      </c>
      <c r="U12" s="139">
        <v>15383.720000000003</v>
      </c>
      <c r="V12" s="139">
        <v>-134.19999999999999</v>
      </c>
      <c r="W12" s="121">
        <v>22</v>
      </c>
    </row>
    <row r="13" spans="1:23" ht="22.5" customHeight="1">
      <c r="A13" s="15">
        <v>12</v>
      </c>
      <c r="B13" s="16" t="s">
        <v>55</v>
      </c>
      <c r="C13" s="15" t="s">
        <v>2</v>
      </c>
      <c r="D13" s="18">
        <v>45112</v>
      </c>
      <c r="E13" s="16">
        <v>129.35</v>
      </c>
      <c r="F13" s="18">
        <v>45877</v>
      </c>
      <c r="G13" s="16">
        <v>353.85</v>
      </c>
      <c r="H13" s="16">
        <f ca="1">IFERROR(__xludf.DUMMYFUNCTION("GOOGLEFINANCE(""NSE:""&amp;B13,""price"")"),360)</f>
        <v>360</v>
      </c>
      <c r="I13" s="15">
        <v>38</v>
      </c>
      <c r="J13" s="16">
        <f t="shared" si="0"/>
        <v>4915.3</v>
      </c>
      <c r="K13" s="16">
        <f t="shared" si="1"/>
        <v>0</v>
      </c>
      <c r="L13" s="19">
        <f t="shared" si="2"/>
        <v>0</v>
      </c>
      <c r="M13" s="16">
        <f ca="1">IFERROR(__xludf.DUMMYFUNCTION("IF(G13&gt;0,0, IFNA(GOOGLEFINANCE(""NSE:""&amp;B13,""change""),0))"),0)</f>
        <v>0</v>
      </c>
      <c r="N13" s="16">
        <f t="shared" ca="1" si="3"/>
        <v>0</v>
      </c>
      <c r="O13" s="16">
        <f t="shared" si="4"/>
        <v>8531.0000000000018</v>
      </c>
      <c r="P13" s="19">
        <f t="shared" si="5"/>
        <v>1.735601082334751</v>
      </c>
      <c r="R13" s="138" t="s">
        <v>35</v>
      </c>
      <c r="S13" s="120">
        <v>25</v>
      </c>
      <c r="T13" s="139">
        <v>0</v>
      </c>
      <c r="U13" s="139">
        <v>-1831.9500000000012</v>
      </c>
      <c r="V13" s="139">
        <v>-28.749999999999996</v>
      </c>
      <c r="W13" s="121">
        <v>25</v>
      </c>
    </row>
    <row r="14" spans="1:23" ht="22.5" customHeight="1">
      <c r="A14" s="15">
        <v>13</v>
      </c>
      <c r="B14" s="28" t="s">
        <v>35</v>
      </c>
      <c r="C14" s="15" t="s">
        <v>2</v>
      </c>
      <c r="D14" s="18">
        <v>45149</v>
      </c>
      <c r="E14" s="16">
        <v>660.7</v>
      </c>
      <c r="F14" s="18"/>
      <c r="G14" s="16">
        <v>0</v>
      </c>
      <c r="H14" s="16">
        <f ca="1">IFERROR(__xludf.DUMMYFUNCTION("GOOGLEFINANCE(""NSE:""&amp;B14,""price"")"),680.5)</f>
        <v>680.5</v>
      </c>
      <c r="I14" s="15">
        <v>7</v>
      </c>
      <c r="J14" s="16">
        <f t="shared" si="0"/>
        <v>4624.9000000000005</v>
      </c>
      <c r="K14" s="16">
        <f t="shared" ca="1" si="1"/>
        <v>138.59999999999968</v>
      </c>
      <c r="L14" s="19">
        <f t="shared" ca="1" si="2"/>
        <v>2.9968215528984338E-2</v>
      </c>
      <c r="M14" s="16">
        <f ca="1">IFERROR(__xludf.DUMMYFUNCTION("IF(G14&gt;0,0, IFNA(GOOGLEFINANCE(""NSE:""&amp;B14,""change""),0))"),-1.15)</f>
        <v>-1.1499999999999999</v>
      </c>
      <c r="N14" s="16">
        <f t="shared" ca="1" si="3"/>
        <v>-8.0499999999999989</v>
      </c>
      <c r="O14" s="16">
        <f t="shared" si="4"/>
        <v>0</v>
      </c>
      <c r="P14" s="19">
        <f t="shared" si="5"/>
        <v>0</v>
      </c>
      <c r="R14" s="138" t="s">
        <v>47</v>
      </c>
      <c r="S14" s="120">
        <v>11</v>
      </c>
      <c r="T14" s="139">
        <v>0</v>
      </c>
      <c r="U14" s="139">
        <v>-276.64999999999975</v>
      </c>
      <c r="V14" s="139">
        <v>67.650000000000006</v>
      </c>
      <c r="W14" s="121">
        <v>11</v>
      </c>
    </row>
    <row r="15" spans="1:23" ht="22.5" customHeight="1">
      <c r="A15" s="15">
        <v>14</v>
      </c>
      <c r="B15" s="16" t="s">
        <v>26</v>
      </c>
      <c r="C15" s="15" t="s">
        <v>2</v>
      </c>
      <c r="D15" s="18">
        <v>45149</v>
      </c>
      <c r="E15" s="16">
        <v>47.48</v>
      </c>
      <c r="F15" s="18"/>
      <c r="G15" s="16">
        <v>0</v>
      </c>
      <c r="H15" s="16">
        <f ca="1">IFERROR(__xludf.DUMMYFUNCTION("GOOGLEFINANCE(""NSE:""&amp;B15,""price"")"),91.15)</f>
        <v>91.15</v>
      </c>
      <c r="I15" s="15">
        <v>7</v>
      </c>
      <c r="J15" s="16">
        <f t="shared" si="0"/>
        <v>332.35999999999996</v>
      </c>
      <c r="K15" s="16">
        <f t="shared" ca="1" si="1"/>
        <v>305.69000000000005</v>
      </c>
      <c r="L15" s="19">
        <f t="shared" ca="1" si="2"/>
        <v>0.91975568660488649</v>
      </c>
      <c r="M15" s="16">
        <f ca="1">IFERROR(__xludf.DUMMYFUNCTION("IF(G15&gt;0,0, IFNA(GOOGLEFINANCE(""NSE:""&amp;B15,""change""),0))"),1.19)</f>
        <v>1.19</v>
      </c>
      <c r="N15" s="16">
        <f t="shared" ca="1" si="3"/>
        <v>8.33</v>
      </c>
      <c r="O15" s="16">
        <f t="shared" si="4"/>
        <v>0</v>
      </c>
      <c r="P15" s="19">
        <f t="shared" si="5"/>
        <v>0</v>
      </c>
      <c r="R15" s="138" t="s">
        <v>36</v>
      </c>
      <c r="S15" s="120">
        <v>22</v>
      </c>
      <c r="T15" s="139">
        <v>0</v>
      </c>
      <c r="U15" s="139">
        <v>814</v>
      </c>
      <c r="V15" s="139">
        <v>-5.5</v>
      </c>
      <c r="W15" s="121">
        <v>22</v>
      </c>
    </row>
    <row r="16" spans="1:23" ht="22.5" customHeight="1">
      <c r="A16" s="15">
        <v>15</v>
      </c>
      <c r="B16" s="15" t="s">
        <v>36</v>
      </c>
      <c r="C16" s="31" t="s">
        <v>2</v>
      </c>
      <c r="D16" s="18">
        <v>45173</v>
      </c>
      <c r="E16" s="16">
        <v>261.5</v>
      </c>
      <c r="F16" s="18"/>
      <c r="G16" s="16">
        <v>0</v>
      </c>
      <c r="H16" s="16">
        <f ca="1">IFERROR(__xludf.DUMMYFUNCTION("GOOGLEFINANCE(""NSE:""&amp;B16,""price"")"),298.5)</f>
        <v>298.5</v>
      </c>
      <c r="I16" s="15">
        <v>22</v>
      </c>
      <c r="J16" s="16">
        <f t="shared" si="0"/>
        <v>5753</v>
      </c>
      <c r="K16" s="16">
        <f t="shared" ca="1" si="1"/>
        <v>814</v>
      </c>
      <c r="L16" s="19">
        <f t="shared" ca="1" si="2"/>
        <v>0.14149139579349904</v>
      </c>
      <c r="M16" s="16">
        <f ca="1">IFERROR(__xludf.DUMMYFUNCTION("IF(G16&gt;0,0, IFNA(GOOGLEFINANCE(""NSE:""&amp;B16,""change""),0))"),-0.25)</f>
        <v>-0.25</v>
      </c>
      <c r="N16" s="16">
        <f t="shared" ca="1" si="3"/>
        <v>-5.5</v>
      </c>
      <c r="O16" s="16">
        <f t="shared" si="4"/>
        <v>0</v>
      </c>
      <c r="P16" s="19">
        <f t="shared" si="5"/>
        <v>0</v>
      </c>
      <c r="R16" s="138" t="s">
        <v>52</v>
      </c>
      <c r="S16" s="120">
        <v>288</v>
      </c>
      <c r="T16" s="139">
        <v>0</v>
      </c>
      <c r="U16" s="139">
        <v>34266.239999999998</v>
      </c>
      <c r="V16" s="139">
        <v>610.56000000000006</v>
      </c>
      <c r="W16" s="121">
        <v>288</v>
      </c>
    </row>
    <row r="17" spans="1:23" ht="22.5" customHeight="1">
      <c r="A17" s="15">
        <v>16</v>
      </c>
      <c r="B17" s="16" t="s">
        <v>45</v>
      </c>
      <c r="C17" s="31" t="s">
        <v>2</v>
      </c>
      <c r="D17" s="18">
        <v>45205</v>
      </c>
      <c r="E17" s="16">
        <v>459.40162500000002</v>
      </c>
      <c r="F17" s="18"/>
      <c r="G17" s="16">
        <v>0</v>
      </c>
      <c r="H17" s="16">
        <f ca="1">IFERROR(__xludf.DUMMYFUNCTION("GOOGLEFINANCE(""NSE:""&amp;B17,""price"")"),362.6)</f>
        <v>362.6</v>
      </c>
      <c r="I17" s="15">
        <v>7</v>
      </c>
      <c r="J17" s="16">
        <f t="shared" si="0"/>
        <v>3215.8113750000002</v>
      </c>
      <c r="K17" s="16">
        <f t="shared" ca="1" si="1"/>
        <v>-677.61137499999995</v>
      </c>
      <c r="L17" s="19">
        <f t="shared" ca="1" si="2"/>
        <v>-0.21071241313088521</v>
      </c>
      <c r="M17" s="16">
        <f ca="1">IFERROR(__xludf.DUMMYFUNCTION("IF(G17&gt;0,0, IFNA(GOOGLEFINANCE(""NSE:""&amp;B17,""change""),0))"),3.45)</f>
        <v>3.45</v>
      </c>
      <c r="N17" s="16">
        <f t="shared" ca="1" si="3"/>
        <v>24.150000000000002</v>
      </c>
      <c r="O17" s="16">
        <f t="shared" si="4"/>
        <v>0</v>
      </c>
      <c r="P17" s="19">
        <f t="shared" si="5"/>
        <v>0</v>
      </c>
      <c r="R17" s="138" t="s">
        <v>54</v>
      </c>
      <c r="S17" s="120">
        <v>50</v>
      </c>
      <c r="T17" s="139">
        <v>0</v>
      </c>
      <c r="U17" s="139">
        <v>153.49999999999966</v>
      </c>
      <c r="V17" s="139">
        <v>-42</v>
      </c>
      <c r="W17" s="121">
        <v>50</v>
      </c>
    </row>
    <row r="18" spans="1:23" ht="22.5" customHeight="1">
      <c r="A18" s="15">
        <v>17</v>
      </c>
      <c r="B18" s="16" t="s">
        <v>45</v>
      </c>
      <c r="C18" s="15" t="s">
        <v>2</v>
      </c>
      <c r="D18" s="18">
        <v>45242</v>
      </c>
      <c r="E18" s="16">
        <v>450.18261000000001</v>
      </c>
      <c r="F18" s="18"/>
      <c r="G18" s="16">
        <v>0</v>
      </c>
      <c r="H18" s="16">
        <f ca="1">IFERROR(__xludf.DUMMYFUNCTION("GOOGLEFINANCE(""NSE:""&amp;B18,""price"")"),362.6)</f>
        <v>362.6</v>
      </c>
      <c r="I18" s="15">
        <v>7</v>
      </c>
      <c r="J18" s="16">
        <f t="shared" si="0"/>
        <v>3151.2782700000002</v>
      </c>
      <c r="K18" s="16">
        <f t="shared" ca="1" si="1"/>
        <v>-613.07826999999997</v>
      </c>
      <c r="L18" s="19">
        <f t="shared" ca="1" si="2"/>
        <v>-0.19454907420790862</v>
      </c>
      <c r="M18" s="16">
        <f ca="1">IFERROR(__xludf.DUMMYFUNCTION("IF(G18&gt;0,0, IFNA(GOOGLEFINANCE(""NSE:""&amp;B18,""change""),0))"),3.45)</f>
        <v>3.45</v>
      </c>
      <c r="N18" s="16">
        <f t="shared" ca="1" si="3"/>
        <v>24.150000000000002</v>
      </c>
      <c r="O18" s="16">
        <f t="shared" si="4"/>
        <v>0</v>
      </c>
      <c r="P18" s="19">
        <f t="shared" si="5"/>
        <v>0</v>
      </c>
      <c r="R18" s="138" t="s">
        <v>55</v>
      </c>
      <c r="S18" s="120">
        <v>75</v>
      </c>
      <c r="T18" s="139">
        <v>13002.500000000002</v>
      </c>
      <c r="U18" s="139">
        <v>0</v>
      </c>
      <c r="V18" s="139">
        <v>0</v>
      </c>
      <c r="W18" s="121">
        <v>75</v>
      </c>
    </row>
    <row r="19" spans="1:23" ht="22.5" customHeight="1">
      <c r="A19" s="15">
        <v>18</v>
      </c>
      <c r="B19" s="15" t="s">
        <v>23</v>
      </c>
      <c r="C19" s="15" t="s">
        <v>2</v>
      </c>
      <c r="D19" s="18">
        <v>45327</v>
      </c>
      <c r="E19" s="16">
        <v>721.5</v>
      </c>
      <c r="F19" s="18"/>
      <c r="G19" s="16">
        <v>0</v>
      </c>
      <c r="H19" s="16">
        <f ca="1">IFERROR(__xludf.DUMMYFUNCTION("GOOGLEFINANCE(""NSE:""&amp;B19,""price"")"),997)</f>
        <v>997</v>
      </c>
      <c r="I19" s="15">
        <v>3</v>
      </c>
      <c r="J19" s="16">
        <f t="shared" si="0"/>
        <v>2164.5</v>
      </c>
      <c r="K19" s="16">
        <f t="shared" ca="1" si="1"/>
        <v>826.5</v>
      </c>
      <c r="L19" s="19">
        <f t="shared" ca="1" si="2"/>
        <v>0.38184338184338185</v>
      </c>
      <c r="M19" s="16">
        <f ca="1">IFERROR(__xludf.DUMMYFUNCTION("IF(G19&gt;0,0, IFNA(GOOGLEFINANCE(""NSE:""&amp;B19,""change""),0))"),9.3)</f>
        <v>9.3000000000000007</v>
      </c>
      <c r="N19" s="16">
        <f t="shared" ca="1" si="3"/>
        <v>27.900000000000002</v>
      </c>
      <c r="O19" s="16">
        <f t="shared" si="4"/>
        <v>0</v>
      </c>
      <c r="P19" s="19">
        <f t="shared" si="5"/>
        <v>0</v>
      </c>
      <c r="R19" s="138" t="s">
        <v>39</v>
      </c>
      <c r="S19" s="120">
        <v>3</v>
      </c>
      <c r="T19" s="139">
        <v>0</v>
      </c>
      <c r="U19" s="139">
        <v>300</v>
      </c>
      <c r="V19" s="139">
        <v>-19.200000000000003</v>
      </c>
      <c r="W19" s="121">
        <v>3</v>
      </c>
    </row>
    <row r="20" spans="1:23" ht="22.5" customHeight="1">
      <c r="A20" s="15">
        <v>19</v>
      </c>
      <c r="B20" s="15" t="s">
        <v>23</v>
      </c>
      <c r="C20" s="15" t="s">
        <v>2</v>
      </c>
      <c r="D20" s="18">
        <v>45385</v>
      </c>
      <c r="E20" s="16">
        <v>743.27499999999998</v>
      </c>
      <c r="F20" s="18"/>
      <c r="G20" s="16">
        <v>0</v>
      </c>
      <c r="H20" s="16">
        <f ca="1">IFERROR(__xludf.DUMMYFUNCTION("GOOGLEFINANCE(""NSE:""&amp;B20,""price"")"),997)</f>
        <v>997</v>
      </c>
      <c r="I20" s="15">
        <v>3</v>
      </c>
      <c r="J20" s="16">
        <f t="shared" si="0"/>
        <v>2229.8249999999998</v>
      </c>
      <c r="K20" s="16">
        <f t="shared" ca="1" si="1"/>
        <v>761.17500000000007</v>
      </c>
      <c r="L20" s="19">
        <f t="shared" ca="1" si="2"/>
        <v>0.34136086912650099</v>
      </c>
      <c r="M20" s="16">
        <f ca="1">IFERROR(__xludf.DUMMYFUNCTION("IF(G20&gt;0,0, IFNA(GOOGLEFINANCE(""NSE:""&amp;B20,""change""),0))"),9.3)</f>
        <v>9.3000000000000007</v>
      </c>
      <c r="N20" s="16">
        <f t="shared" ca="1" si="3"/>
        <v>27.900000000000002</v>
      </c>
      <c r="O20" s="16">
        <f t="shared" si="4"/>
        <v>0</v>
      </c>
      <c r="P20" s="19">
        <f t="shared" si="5"/>
        <v>0</v>
      </c>
      <c r="R20" s="138" t="s">
        <v>56</v>
      </c>
      <c r="S20" s="120">
        <v>20</v>
      </c>
      <c r="T20" s="139">
        <v>0</v>
      </c>
      <c r="U20" s="139">
        <v>-3677.2500000000009</v>
      </c>
      <c r="V20" s="139">
        <v>168</v>
      </c>
      <c r="W20" s="121">
        <v>20</v>
      </c>
    </row>
    <row r="21" spans="1:23" ht="22.5" customHeight="1">
      <c r="A21" s="15">
        <v>20</v>
      </c>
      <c r="B21" s="15" t="s">
        <v>35</v>
      </c>
      <c r="C21" s="15" t="s">
        <v>2</v>
      </c>
      <c r="D21" s="18">
        <v>45385</v>
      </c>
      <c r="E21" s="16">
        <v>972.6</v>
      </c>
      <c r="F21" s="18"/>
      <c r="G21" s="16">
        <v>0</v>
      </c>
      <c r="H21" s="16">
        <f ca="1">IFERROR(__xludf.DUMMYFUNCTION("GOOGLEFINANCE(""NSE:""&amp;B21,""price"")"),680.5)</f>
        <v>680.5</v>
      </c>
      <c r="I21" s="15">
        <v>3</v>
      </c>
      <c r="J21" s="16">
        <f t="shared" si="0"/>
        <v>2917.8</v>
      </c>
      <c r="K21" s="16">
        <f t="shared" ca="1" si="1"/>
        <v>-876.30000000000007</v>
      </c>
      <c r="L21" s="19">
        <f t="shared" ca="1" si="2"/>
        <v>-0.30032901501130993</v>
      </c>
      <c r="M21" s="16">
        <f ca="1">IFERROR(__xludf.DUMMYFUNCTION("IF(G21&gt;0,0, IFNA(GOOGLEFINANCE(""NSE:""&amp;B21,""change""),0))"),-1.15)</f>
        <v>-1.1499999999999999</v>
      </c>
      <c r="N21" s="16">
        <f t="shared" ca="1" si="3"/>
        <v>-3.4499999999999997</v>
      </c>
      <c r="O21" s="16">
        <f t="shared" si="4"/>
        <v>0</v>
      </c>
      <c r="P21" s="19">
        <f t="shared" si="5"/>
        <v>0</v>
      </c>
      <c r="R21" s="138" t="s">
        <v>42</v>
      </c>
      <c r="S21" s="120">
        <v>14</v>
      </c>
      <c r="T21" s="139">
        <v>0</v>
      </c>
      <c r="U21" s="139">
        <v>3076.319645</v>
      </c>
      <c r="V21" s="139">
        <v>193.20000000000002</v>
      </c>
      <c r="W21" s="121">
        <v>14</v>
      </c>
    </row>
    <row r="22" spans="1:23" ht="22.5" customHeight="1">
      <c r="A22" s="15">
        <v>21</v>
      </c>
      <c r="B22" s="16" t="s">
        <v>26</v>
      </c>
      <c r="C22" s="15" t="s">
        <v>2</v>
      </c>
      <c r="D22" s="18">
        <v>45420</v>
      </c>
      <c r="E22" s="16">
        <v>86.1</v>
      </c>
      <c r="F22" s="18"/>
      <c r="G22" s="16">
        <v>0</v>
      </c>
      <c r="H22" s="16">
        <f ca="1">IFERROR(__xludf.DUMMYFUNCTION("GOOGLEFINANCE(""NSE:""&amp;B22,""price"")"),91.15)</f>
        <v>91.15</v>
      </c>
      <c r="I22" s="15">
        <v>57</v>
      </c>
      <c r="J22" s="16">
        <f t="shared" si="0"/>
        <v>4907.7</v>
      </c>
      <c r="K22" s="16">
        <f t="shared" ca="1" si="1"/>
        <v>287.85000000000065</v>
      </c>
      <c r="L22" s="19">
        <f t="shared" ca="1" si="2"/>
        <v>5.8652729384436837E-2</v>
      </c>
      <c r="M22" s="16">
        <f ca="1">IFERROR(__xludf.DUMMYFUNCTION("IF(G22&gt;0,0, IFNA(GOOGLEFINANCE(""NSE:""&amp;B22,""change""),0))"),1.19)</f>
        <v>1.19</v>
      </c>
      <c r="N22" s="16">
        <f t="shared" ca="1" si="3"/>
        <v>67.83</v>
      </c>
      <c r="O22" s="16">
        <f t="shared" si="4"/>
        <v>0</v>
      </c>
      <c r="P22" s="19">
        <f t="shared" si="5"/>
        <v>0</v>
      </c>
      <c r="R22" s="138" t="s">
        <v>45</v>
      </c>
      <c r="S22" s="120">
        <v>14</v>
      </c>
      <c r="T22" s="139">
        <v>0</v>
      </c>
      <c r="U22" s="139">
        <v>-1290.6896449999999</v>
      </c>
      <c r="V22" s="139">
        <v>48.300000000000004</v>
      </c>
      <c r="W22" s="121">
        <v>14</v>
      </c>
    </row>
    <row r="23" spans="1:23" ht="22.5" customHeight="1">
      <c r="A23" s="15">
        <v>22</v>
      </c>
      <c r="B23" s="16" t="s">
        <v>30</v>
      </c>
      <c r="C23" s="31" t="s">
        <v>2</v>
      </c>
      <c r="D23" s="18">
        <v>45450</v>
      </c>
      <c r="E23" s="16">
        <v>4718.55</v>
      </c>
      <c r="F23" s="18"/>
      <c r="G23" s="16">
        <v>0</v>
      </c>
      <c r="H23" s="16">
        <f ca="1">IFERROR(__xludf.DUMMYFUNCTION("GOOGLEFINANCE(""NSE:""&amp;B23,""price"")"),4409.8)</f>
        <v>4409.8</v>
      </c>
      <c r="I23" s="15">
        <v>1</v>
      </c>
      <c r="J23" s="16">
        <f t="shared" si="0"/>
        <v>4718.55</v>
      </c>
      <c r="K23" s="16">
        <f t="shared" ca="1" si="1"/>
        <v>-308.75</v>
      </c>
      <c r="L23" s="19">
        <f t="shared" ca="1" si="2"/>
        <v>-6.5433236905405257E-2</v>
      </c>
      <c r="M23" s="16">
        <f ca="1">IFERROR(__xludf.DUMMYFUNCTION("IF(G23&gt;0,0, IFNA(GOOGLEFINANCE(""NSE:""&amp;B23,""change""),0))"),23.7)</f>
        <v>23.7</v>
      </c>
      <c r="N23" s="16">
        <f t="shared" ca="1" si="3"/>
        <v>23.7</v>
      </c>
      <c r="O23" s="16">
        <f t="shared" si="4"/>
        <v>0</v>
      </c>
      <c r="P23" s="19">
        <f t="shared" si="5"/>
        <v>0</v>
      </c>
      <c r="R23" s="138" t="s">
        <v>57</v>
      </c>
      <c r="S23" s="120">
        <v>8</v>
      </c>
      <c r="T23" s="139">
        <v>0</v>
      </c>
      <c r="U23" s="139">
        <v>1325.6000000000004</v>
      </c>
      <c r="V23" s="139">
        <v>33.200000000000003</v>
      </c>
      <c r="W23" s="121">
        <v>8</v>
      </c>
    </row>
    <row r="24" spans="1:23" ht="22.5" customHeight="1">
      <c r="A24" s="15">
        <v>24</v>
      </c>
      <c r="B24" s="16" t="s">
        <v>22</v>
      </c>
      <c r="C24" s="15" t="s">
        <v>2</v>
      </c>
      <c r="D24" s="18"/>
      <c r="E24" s="16">
        <v>179.625</v>
      </c>
      <c r="F24" s="18"/>
      <c r="G24" s="16">
        <v>0</v>
      </c>
      <c r="H24" s="16">
        <f ca="1">IFERROR(__xludf.DUMMYFUNCTION("GOOGLEFINANCE(""NSE:""&amp;B24,""price"")"),369.7)</f>
        <v>369.7</v>
      </c>
      <c r="I24" s="15">
        <v>60</v>
      </c>
      <c r="J24" s="16">
        <f t="shared" si="0"/>
        <v>10777.5</v>
      </c>
      <c r="K24" s="16">
        <f t="shared" ca="1" si="1"/>
        <v>11404.5</v>
      </c>
      <c r="L24" s="19">
        <f t="shared" ca="1" si="2"/>
        <v>1.0581767571329157</v>
      </c>
      <c r="M24" s="16">
        <f ca="1">IFERROR(__xludf.DUMMYFUNCTION("IF(G24&gt;0,0, IFNA(GOOGLEFINANCE(""NSE:""&amp;B24,""change""),0))"),-0.2)</f>
        <v>-0.2</v>
      </c>
      <c r="N24" s="16">
        <f t="shared" ca="1" si="3"/>
        <v>-12</v>
      </c>
      <c r="O24" s="16">
        <f t="shared" si="4"/>
        <v>0</v>
      </c>
      <c r="P24" s="19">
        <f t="shared" si="5"/>
        <v>0</v>
      </c>
      <c r="R24" s="138" t="s">
        <v>276</v>
      </c>
      <c r="S24" s="120"/>
      <c r="T24" s="139">
        <v>0</v>
      </c>
      <c r="U24" s="139" t="e">
        <v>#VALUE!</v>
      </c>
      <c r="V24" s="139">
        <v>0</v>
      </c>
      <c r="W24" s="121"/>
    </row>
    <row r="25" spans="1:23" ht="22.5" customHeight="1">
      <c r="A25" s="15">
        <v>25</v>
      </c>
      <c r="B25" s="16" t="s">
        <v>57</v>
      </c>
      <c r="C25" s="15" t="s">
        <v>2</v>
      </c>
      <c r="D25" s="18">
        <v>45541</v>
      </c>
      <c r="E25" s="16">
        <v>615</v>
      </c>
      <c r="F25" s="18"/>
      <c r="G25" s="16">
        <v>0</v>
      </c>
      <c r="H25" s="16">
        <f ca="1">IFERROR(__xludf.DUMMYFUNCTION("GOOGLEFINANCE(""NSE:""&amp;B25,""price"")"),780.7)</f>
        <v>780.7</v>
      </c>
      <c r="I25" s="15">
        <v>8</v>
      </c>
      <c r="J25" s="16">
        <f t="shared" si="0"/>
        <v>4920</v>
      </c>
      <c r="K25" s="16">
        <f t="shared" ca="1" si="1"/>
        <v>1325.6000000000004</v>
      </c>
      <c r="L25" s="19">
        <f t="shared" ca="1" si="2"/>
        <v>0.26943089430894318</v>
      </c>
      <c r="M25" s="16">
        <f ca="1">IFERROR(__xludf.DUMMYFUNCTION("IF(G25&gt;0,0, IFNA(GOOGLEFINANCE(""NSE:""&amp;B25,""change""),0))"),4.15)</f>
        <v>4.1500000000000004</v>
      </c>
      <c r="N25" s="16">
        <f t="shared" ca="1" si="3"/>
        <v>33.200000000000003</v>
      </c>
      <c r="O25" s="16">
        <f t="shared" si="4"/>
        <v>0</v>
      </c>
      <c r="P25" s="19">
        <f t="shared" si="5"/>
        <v>0</v>
      </c>
      <c r="R25" s="140" t="s">
        <v>48</v>
      </c>
      <c r="S25" s="123">
        <v>1098</v>
      </c>
      <c r="T25" s="141">
        <v>25478.620000000003</v>
      </c>
      <c r="U25" s="141" t="e">
        <v>#VALUE!</v>
      </c>
      <c r="V25" s="141">
        <v>1388.1000000000001</v>
      </c>
      <c r="W25" s="124">
        <v>1098</v>
      </c>
    </row>
    <row r="26" spans="1:23" ht="22.5" customHeight="1">
      <c r="A26" s="15">
        <v>26</v>
      </c>
      <c r="B26" s="16" t="s">
        <v>18</v>
      </c>
      <c r="C26" s="31" t="s">
        <v>2</v>
      </c>
      <c r="D26" s="18">
        <v>45551</v>
      </c>
      <c r="E26" s="16">
        <v>70</v>
      </c>
      <c r="F26" s="36">
        <v>45982</v>
      </c>
      <c r="G26" s="16">
        <v>105.58</v>
      </c>
      <c r="H26" s="16">
        <f ca="1">IFERROR(__xludf.DUMMYFUNCTION("GOOGLEFINANCE(""NSE:""&amp;B26,""price"")"),95.75)</f>
        <v>95.75</v>
      </c>
      <c r="I26" s="15">
        <v>114</v>
      </c>
      <c r="J26" s="16">
        <f t="shared" si="0"/>
        <v>7980</v>
      </c>
      <c r="K26" s="16">
        <f t="shared" si="1"/>
        <v>0</v>
      </c>
      <c r="L26" s="19">
        <f t="shared" si="2"/>
        <v>0</v>
      </c>
      <c r="M26" s="16">
        <f ca="1">IFERROR(__xludf.DUMMYFUNCTION("IF(G26&gt;0,0, IFNA(GOOGLEFINANCE(""NSE:""&amp;B26,""change""),0))"),0)</f>
        <v>0</v>
      </c>
      <c r="N26" s="16">
        <f t="shared" ca="1" si="3"/>
        <v>0</v>
      </c>
      <c r="O26" s="16">
        <f t="shared" si="4"/>
        <v>4056.12</v>
      </c>
      <c r="P26" s="19">
        <f t="shared" si="5"/>
        <v>0.50828571428571423</v>
      </c>
      <c r="Q26" s="6" t="s">
        <v>122</v>
      </c>
    </row>
    <row r="27" spans="1:23" ht="22.5" customHeight="1">
      <c r="A27" s="15">
        <v>27</v>
      </c>
      <c r="B27" s="16" t="s">
        <v>18</v>
      </c>
      <c r="C27" s="31" t="s">
        <v>2</v>
      </c>
      <c r="D27" s="18">
        <v>45551</v>
      </c>
      <c r="E27" s="16">
        <v>70</v>
      </c>
      <c r="F27" s="18"/>
      <c r="G27" s="16">
        <v>154.19999999999999</v>
      </c>
      <c r="H27" s="16">
        <f ca="1">IFERROR(__xludf.DUMMYFUNCTION("GOOGLEFINANCE(""NSE:""&amp;B27,""price"")"),95.75)</f>
        <v>95.75</v>
      </c>
      <c r="I27" s="15">
        <v>100</v>
      </c>
      <c r="J27" s="16">
        <f t="shared" si="0"/>
        <v>7000</v>
      </c>
      <c r="K27" s="16">
        <f t="shared" si="1"/>
        <v>0</v>
      </c>
      <c r="L27" s="19">
        <f t="shared" si="2"/>
        <v>0</v>
      </c>
      <c r="M27" s="16">
        <f ca="1">IFERROR(__xludf.DUMMYFUNCTION("IF(G27&gt;0,0, IFNA(GOOGLEFINANCE(""NSE:""&amp;B27,""change""),0))"),0)</f>
        <v>0</v>
      </c>
      <c r="N27" s="16">
        <f t="shared" ca="1" si="3"/>
        <v>0</v>
      </c>
      <c r="O27" s="16">
        <f t="shared" si="4"/>
        <v>8419.9999999999982</v>
      </c>
      <c r="P27" s="19">
        <f t="shared" si="5"/>
        <v>1.2028571428571426</v>
      </c>
      <c r="Q27" s="6" t="s">
        <v>122</v>
      </c>
    </row>
    <row r="28" spans="1:23" ht="22.5" customHeight="1">
      <c r="A28" s="15">
        <v>28</v>
      </c>
      <c r="B28" s="16" t="s">
        <v>26</v>
      </c>
      <c r="C28" s="15" t="s">
        <v>2</v>
      </c>
      <c r="D28" s="18">
        <v>45597</v>
      </c>
      <c r="E28" s="16">
        <v>93.5</v>
      </c>
      <c r="F28" s="18"/>
      <c r="G28" s="16">
        <v>0</v>
      </c>
      <c r="H28" s="16">
        <f ca="1">IFERROR(__xludf.DUMMYFUNCTION("GOOGLEFINANCE(""NSE:""&amp;B28,""price"")"),91.15)</f>
        <v>91.15</v>
      </c>
      <c r="I28" s="15">
        <v>51</v>
      </c>
      <c r="J28" s="16">
        <f t="shared" si="0"/>
        <v>4768.5</v>
      </c>
      <c r="K28" s="16">
        <f t="shared" ca="1" si="1"/>
        <v>-119.84999999999971</v>
      </c>
      <c r="L28" s="19">
        <f t="shared" ca="1" si="2"/>
        <v>-2.5133689839572131E-2</v>
      </c>
      <c r="M28" s="16">
        <f ca="1">IFERROR(__xludf.DUMMYFUNCTION("IF(G28&gt;0,0, IFNA(GOOGLEFINANCE(""NSE:""&amp;B28,""change""),0))"),1.19)</f>
        <v>1.19</v>
      </c>
      <c r="N28" s="16">
        <f t="shared" ca="1" si="3"/>
        <v>60.69</v>
      </c>
      <c r="O28" s="16">
        <f t="shared" si="4"/>
        <v>0</v>
      </c>
      <c r="P28" s="19">
        <f t="shared" si="5"/>
        <v>0</v>
      </c>
      <c r="Q28" s="6" t="s">
        <v>123</v>
      </c>
    </row>
    <row r="29" spans="1:23" ht="22.5" customHeight="1">
      <c r="A29" s="15">
        <v>29</v>
      </c>
      <c r="B29" s="16" t="s">
        <v>47</v>
      </c>
      <c r="C29" s="31" t="s">
        <v>2</v>
      </c>
      <c r="D29" s="18">
        <v>45798</v>
      </c>
      <c r="E29" s="16">
        <v>434</v>
      </c>
      <c r="F29" s="18"/>
      <c r="G29" s="16">
        <v>0</v>
      </c>
      <c r="H29" s="16">
        <f ca="1">IFERROR(__xludf.DUMMYFUNCTION("GOOGLEFINANCE(""NSE:""&amp;B29,""price"")"),408.85)</f>
        <v>408.85</v>
      </c>
      <c r="I29" s="15">
        <v>11</v>
      </c>
      <c r="J29" s="16">
        <f t="shared" si="0"/>
        <v>4774</v>
      </c>
      <c r="K29" s="16">
        <f t="shared" ca="1" si="1"/>
        <v>-276.64999999999975</v>
      </c>
      <c r="L29" s="19">
        <f t="shared" ca="1" si="2"/>
        <v>-5.7949308755760313E-2</v>
      </c>
      <c r="M29" s="16">
        <f ca="1">IFERROR(__xludf.DUMMYFUNCTION("IF(G29&gt;0,0, IFNA(GOOGLEFINANCE(""NSE:""&amp;B29,""change""),0))"),6.15)</f>
        <v>6.15</v>
      </c>
      <c r="N29" s="16">
        <f t="shared" ca="1" si="3"/>
        <v>67.650000000000006</v>
      </c>
      <c r="O29" s="16">
        <f t="shared" si="4"/>
        <v>0</v>
      </c>
      <c r="P29" s="19">
        <f t="shared" si="5"/>
        <v>0</v>
      </c>
    </row>
    <row r="30" spans="1:23" ht="22.5" customHeight="1">
      <c r="A30" s="15">
        <v>30</v>
      </c>
      <c r="B30" s="16" t="s">
        <v>56</v>
      </c>
      <c r="C30" s="31" t="s">
        <v>2</v>
      </c>
      <c r="D30" s="18">
        <v>45812</v>
      </c>
      <c r="E30" s="16">
        <v>911.75</v>
      </c>
      <c r="F30" s="18"/>
      <c r="G30" s="16">
        <v>0</v>
      </c>
      <c r="H30" s="16">
        <f ca="1">IFERROR(__xludf.DUMMYFUNCTION("GOOGLEFINANCE(""NSE:""&amp;B30,""price"")"),776.9)</f>
        <v>776.9</v>
      </c>
      <c r="I30" s="15">
        <v>5</v>
      </c>
      <c r="J30" s="16">
        <f t="shared" si="0"/>
        <v>4558.75</v>
      </c>
      <c r="K30" s="16">
        <f t="shared" ca="1" si="1"/>
        <v>-674.25000000000011</v>
      </c>
      <c r="L30" s="19">
        <f t="shared" ca="1" si="2"/>
        <v>-0.14790238552234716</v>
      </c>
      <c r="M30" s="16">
        <f ca="1">IFERROR(__xludf.DUMMYFUNCTION("IF(G30&gt;0,0, IFNA(GOOGLEFINANCE(""NSE:""&amp;B30,""change""),0))"),8.4)</f>
        <v>8.4</v>
      </c>
      <c r="N30" s="16">
        <f t="shared" ca="1" si="3"/>
        <v>42</v>
      </c>
      <c r="O30" s="16">
        <f t="shared" si="4"/>
        <v>0</v>
      </c>
      <c r="P30" s="19">
        <f t="shared" si="5"/>
        <v>0</v>
      </c>
    </row>
    <row r="31" spans="1:23" ht="22.5" customHeight="1">
      <c r="A31" s="15">
        <v>31</v>
      </c>
      <c r="B31" s="16" t="s">
        <v>14</v>
      </c>
      <c r="C31" s="31" t="s">
        <v>2</v>
      </c>
      <c r="D31" s="18">
        <v>45877</v>
      </c>
      <c r="E31" s="16">
        <v>2500</v>
      </c>
      <c r="F31" s="18"/>
      <c r="G31" s="16">
        <v>0</v>
      </c>
      <c r="H31" s="16">
        <f ca="1">IFERROR(__xludf.DUMMYFUNCTION("IFNA(GOOGLEFINANCE(""NSE:""&amp;B31,""price""),)"),2808)</f>
        <v>2808</v>
      </c>
      <c r="I31" s="15">
        <v>4</v>
      </c>
      <c r="J31" s="16">
        <f t="shared" si="0"/>
        <v>10000</v>
      </c>
      <c r="K31" s="16">
        <f t="shared" ca="1" si="1"/>
        <v>1232</v>
      </c>
      <c r="L31" s="19">
        <f t="shared" ca="1" si="2"/>
        <v>0.1232</v>
      </c>
      <c r="M31" s="16">
        <f ca="1">IFERROR(__xludf.DUMMYFUNCTION("IF(G31&gt;0,0, IFNA(GOOGLEFINANCE(""NSE:""&amp;B31,""change""),0))"),0.4)</f>
        <v>0.4</v>
      </c>
      <c r="N31" s="16">
        <f t="shared" ca="1" si="3"/>
        <v>1.6</v>
      </c>
      <c r="O31" s="16">
        <f t="shared" si="4"/>
        <v>0</v>
      </c>
      <c r="P31" s="19">
        <f t="shared" si="5"/>
        <v>0</v>
      </c>
    </row>
    <row r="32" spans="1:23" ht="22.5" customHeight="1">
      <c r="A32" s="15">
        <v>32</v>
      </c>
      <c r="B32" s="25" t="s">
        <v>23</v>
      </c>
      <c r="C32" s="15" t="s">
        <v>2</v>
      </c>
      <c r="D32" s="18">
        <v>45895</v>
      </c>
      <c r="E32" s="16">
        <v>702.16499999999996</v>
      </c>
      <c r="F32" s="18"/>
      <c r="G32" s="16">
        <v>0</v>
      </c>
      <c r="H32" s="16">
        <f ca="1">IFERROR(__xludf.DUMMYFUNCTION("IFNA(GOOGLEFINANCE(""NSE:""&amp;B32,""price""),)"),997)</f>
        <v>997</v>
      </c>
      <c r="I32" s="15">
        <v>6</v>
      </c>
      <c r="J32" s="16">
        <f t="shared" si="0"/>
        <v>4212.99</v>
      </c>
      <c r="K32" s="16">
        <f t="shared" ca="1" si="1"/>
        <v>1769.0100000000002</v>
      </c>
      <c r="L32" s="19">
        <f t="shared" ca="1" si="2"/>
        <v>0.41989418441534404</v>
      </c>
      <c r="M32" s="16">
        <f ca="1">IFERROR(__xludf.DUMMYFUNCTION("IF(G32&gt;0,0, IFNA(GOOGLEFINANCE(""NSE:""&amp;B32,""change""),0))"),9.3)</f>
        <v>9.3000000000000007</v>
      </c>
      <c r="N32" s="16">
        <f t="shared" ca="1" si="3"/>
        <v>55.800000000000004</v>
      </c>
      <c r="O32" s="16">
        <f t="shared" si="4"/>
        <v>0</v>
      </c>
      <c r="P32" s="19">
        <f t="shared" si="5"/>
        <v>0</v>
      </c>
    </row>
    <row r="33" spans="1:17" ht="22.5" customHeight="1">
      <c r="A33" s="15">
        <v>33</v>
      </c>
      <c r="B33" s="16" t="s">
        <v>23</v>
      </c>
      <c r="C33" s="15" t="s">
        <v>2</v>
      </c>
      <c r="D33" s="18">
        <v>45895</v>
      </c>
      <c r="E33" s="16">
        <v>762.86666666666667</v>
      </c>
      <c r="F33" s="18"/>
      <c r="G33" s="16">
        <v>0</v>
      </c>
      <c r="H33" s="16">
        <f ca="1">IFERROR(__xludf.DUMMYFUNCTION("IFNA(GOOGLEFINANCE(""NSE:""&amp;B33,""price""),)"),997)</f>
        <v>997</v>
      </c>
      <c r="I33" s="15">
        <v>9</v>
      </c>
      <c r="J33" s="16">
        <f t="shared" si="0"/>
        <v>6865.8</v>
      </c>
      <c r="K33" s="16">
        <f t="shared" ca="1" si="1"/>
        <v>2107.1999999999998</v>
      </c>
      <c r="L33" s="19">
        <f t="shared" ca="1" si="2"/>
        <v>0.30691252293978849</v>
      </c>
      <c r="M33" s="16">
        <f ca="1">IFERROR(__xludf.DUMMYFUNCTION("IF(G33&gt;0,0, IFNA(GOOGLEFINANCE(""NSE:""&amp;B33,""change""),0))"),9.3)</f>
        <v>9.3000000000000007</v>
      </c>
      <c r="N33" s="16">
        <f t="shared" ca="1" si="3"/>
        <v>83.7</v>
      </c>
      <c r="O33" s="16">
        <f t="shared" si="4"/>
        <v>0</v>
      </c>
      <c r="P33" s="19">
        <f t="shared" si="5"/>
        <v>0</v>
      </c>
    </row>
    <row r="34" spans="1:17" ht="22.5" customHeight="1">
      <c r="A34" s="15">
        <v>34</v>
      </c>
      <c r="B34" s="16" t="s">
        <v>39</v>
      </c>
      <c r="C34" s="15" t="s">
        <v>2</v>
      </c>
      <c r="D34" s="18">
        <v>45951</v>
      </c>
      <c r="E34" s="16">
        <v>1469</v>
      </c>
      <c r="F34" s="18"/>
      <c r="G34" s="16">
        <v>0</v>
      </c>
      <c r="H34" s="16">
        <f ca="1">IFERROR(__xludf.DUMMYFUNCTION("IFNA(GOOGLEFINANCE(""NSE:""&amp;B34,""price""),)"),1569)</f>
        <v>1569</v>
      </c>
      <c r="I34" s="15">
        <v>3</v>
      </c>
      <c r="J34" s="16">
        <f t="shared" si="0"/>
        <v>4407</v>
      </c>
      <c r="K34" s="16">
        <f t="shared" ca="1" si="1"/>
        <v>300</v>
      </c>
      <c r="L34" s="19">
        <f t="shared" ca="1" si="2"/>
        <v>6.8073519400953034E-2</v>
      </c>
      <c r="M34" s="16">
        <f ca="1">IFERROR(__xludf.DUMMYFUNCTION("IF(G34&gt;0,0, IFNA(GOOGLEFINANCE(""NSE:""&amp;B34,""change""),0))"),-6.4)</f>
        <v>-6.4</v>
      </c>
      <c r="N34" s="16">
        <f t="shared" ca="1" si="3"/>
        <v>-19.200000000000003</v>
      </c>
      <c r="O34" s="16">
        <f t="shared" si="4"/>
        <v>0</v>
      </c>
      <c r="P34" s="19">
        <f t="shared" si="5"/>
        <v>0</v>
      </c>
      <c r="Q34" s="6" t="s">
        <v>124</v>
      </c>
    </row>
    <row r="35" spans="1:17" ht="22.5" customHeight="1">
      <c r="A35" s="15">
        <v>35</v>
      </c>
      <c r="B35" s="16" t="s">
        <v>42</v>
      </c>
      <c r="C35" s="15" t="s">
        <v>2</v>
      </c>
      <c r="D35" s="18"/>
      <c r="E35" s="16">
        <v>207.848375</v>
      </c>
      <c r="F35" s="18"/>
      <c r="G35" s="16">
        <v>0</v>
      </c>
      <c r="H35" s="16">
        <f ca="1">IFERROR(__xludf.DUMMYFUNCTION("IFNA(GOOGLEFINANCE(""NSE:""&amp;B35,""price""),)"),425.5)</f>
        <v>425.5</v>
      </c>
      <c r="I35" s="15">
        <v>7</v>
      </c>
      <c r="J35" s="16">
        <f t="shared" si="0"/>
        <v>1454.938625</v>
      </c>
      <c r="K35" s="16">
        <f t="shared" ca="1" si="1"/>
        <v>1523.561375</v>
      </c>
      <c r="L35" s="19">
        <f t="shared" ca="1" si="2"/>
        <v>1.047165391598563</v>
      </c>
      <c r="M35" s="16">
        <f ca="1">IFERROR(__xludf.DUMMYFUNCTION("IF(G35&gt;0,0, IFNA(GOOGLEFINANCE(""NSE:""&amp;B35,""change""),0))"),13.8)</f>
        <v>13.8</v>
      </c>
      <c r="N35" s="16">
        <f t="shared" ca="1" si="3"/>
        <v>96.600000000000009</v>
      </c>
      <c r="O35" s="16">
        <f t="shared" si="4"/>
        <v>0</v>
      </c>
      <c r="P35" s="19">
        <f t="shared" si="5"/>
        <v>0</v>
      </c>
    </row>
    <row r="36" spans="1:17" ht="22.5" customHeight="1">
      <c r="A36" s="15">
        <v>36</v>
      </c>
      <c r="B36" s="16" t="s">
        <v>42</v>
      </c>
      <c r="C36" s="15" t="s">
        <v>2</v>
      </c>
      <c r="D36" s="18"/>
      <c r="E36" s="16">
        <v>203.67739</v>
      </c>
      <c r="F36" s="18"/>
      <c r="G36" s="16">
        <v>0</v>
      </c>
      <c r="H36" s="16">
        <f ca="1">IFERROR(__xludf.DUMMYFUNCTION("IFNA(GOOGLEFINANCE(""NSE:""&amp;B36,""price""),)"),425.5)</f>
        <v>425.5</v>
      </c>
      <c r="I36" s="15">
        <v>7</v>
      </c>
      <c r="J36" s="16">
        <f t="shared" si="0"/>
        <v>1425.74173</v>
      </c>
      <c r="K36" s="16">
        <f t="shared" ca="1" si="1"/>
        <v>1552.75827</v>
      </c>
      <c r="L36" s="19">
        <f t="shared" ca="1" si="2"/>
        <v>1.089088042614843</v>
      </c>
      <c r="M36" s="16">
        <f ca="1">IFERROR(__xludf.DUMMYFUNCTION("IF(G36&gt;0,0, IFNA(GOOGLEFINANCE(""NSE:""&amp;B36,""change""),0))"),13.8)</f>
        <v>13.8</v>
      </c>
      <c r="N36" s="16">
        <f t="shared" ca="1" si="3"/>
        <v>96.600000000000009</v>
      </c>
      <c r="O36" s="16">
        <f t="shared" si="4"/>
        <v>0</v>
      </c>
      <c r="P36" s="19">
        <f t="shared" si="5"/>
        <v>0</v>
      </c>
    </row>
    <row r="37" spans="1:17" ht="22.5" customHeight="1">
      <c r="A37" s="15">
        <v>37</v>
      </c>
      <c r="B37" s="16" t="s">
        <v>27</v>
      </c>
      <c r="C37" s="31" t="s">
        <v>2</v>
      </c>
      <c r="D37" s="18">
        <v>45982</v>
      </c>
      <c r="E37" s="16">
        <v>116.75</v>
      </c>
      <c r="F37" s="18"/>
      <c r="G37" s="16">
        <v>0</v>
      </c>
      <c r="H37" s="16">
        <f ca="1">IFERROR(__xludf.DUMMYFUNCTION("IFNA(GOOGLEFINANCE(""NSE:""&amp;B37,""price""),)"),116.72)</f>
        <v>116.72</v>
      </c>
      <c r="I37" s="15">
        <v>50</v>
      </c>
      <c r="J37" s="16">
        <f t="shared" si="0"/>
        <v>5837.5</v>
      </c>
      <c r="K37" s="16">
        <f t="shared" ca="1" si="1"/>
        <v>-1.5000000000000568</v>
      </c>
      <c r="L37" s="19">
        <f t="shared" ca="1" si="2"/>
        <v>-2.5695931477517036E-4</v>
      </c>
      <c r="M37" s="16">
        <f ca="1">IFERROR(__xludf.DUMMYFUNCTION("IF(G37&gt;0,0, IFNA(GOOGLEFINANCE(""NSE:""&amp;B37,""change""),0))"),0.58)</f>
        <v>0.57999999999999996</v>
      </c>
      <c r="N37" s="16">
        <f t="shared" ca="1" si="3"/>
        <v>28.999999999999996</v>
      </c>
      <c r="O37" s="16">
        <f t="shared" si="4"/>
        <v>0</v>
      </c>
      <c r="P37" s="19">
        <f t="shared" si="5"/>
        <v>0</v>
      </c>
    </row>
    <row r="38" spans="1:17" ht="22.5" customHeight="1">
      <c r="A38" s="15">
        <v>38</v>
      </c>
      <c r="B38" s="16" t="s">
        <v>54</v>
      </c>
      <c r="C38" s="31" t="s">
        <v>2</v>
      </c>
      <c r="D38" s="18">
        <v>45989</v>
      </c>
      <c r="E38" s="16">
        <v>117.2</v>
      </c>
      <c r="F38" s="18"/>
      <c r="G38" s="16">
        <v>0</v>
      </c>
      <c r="H38" s="16">
        <f ca="1">IFERROR(__xludf.DUMMYFUNCTION("IFNA(GOOGLEFINANCE(""NSE:""&amp;B38,""price""),)"),120.27)</f>
        <v>120.27</v>
      </c>
      <c r="I38" s="15">
        <v>50</v>
      </c>
      <c r="J38" s="16">
        <f t="shared" si="0"/>
        <v>5860</v>
      </c>
      <c r="K38" s="16">
        <f t="shared" ca="1" si="1"/>
        <v>153.49999999999966</v>
      </c>
      <c r="L38" s="19">
        <f t="shared" ca="1" si="2"/>
        <v>2.6194539249146699E-2</v>
      </c>
      <c r="M38" s="16">
        <f ca="1">IFERROR(__xludf.DUMMYFUNCTION("IF(G38&gt;0,0, IFNA(GOOGLEFINANCE(""NSE:""&amp;B38,""change""),0))"),-0.84)</f>
        <v>-0.84</v>
      </c>
      <c r="N38" s="16">
        <f t="shared" ca="1" si="3"/>
        <v>-42</v>
      </c>
      <c r="O38" s="16">
        <f t="shared" si="4"/>
        <v>0</v>
      </c>
      <c r="P38" s="19">
        <f t="shared" si="5"/>
        <v>0</v>
      </c>
    </row>
    <row r="39" spans="1:17" ht="22.5" customHeight="1">
      <c r="A39" s="15">
        <v>39</v>
      </c>
      <c r="B39" s="16"/>
      <c r="C39" s="31"/>
      <c r="D39" s="18"/>
      <c r="E39" s="16"/>
      <c r="F39" s="18"/>
      <c r="G39" s="16"/>
      <c r="H39" s="16" t="str">
        <f ca="1">IFERROR(__xludf.DUMMYFUNCTION("IFNA(GOOGLEFINANCE(""NSE:""&amp;B39,""price""),)"),"")</f>
        <v/>
      </c>
      <c r="I39" s="15"/>
      <c r="J39" s="16">
        <f t="shared" si="0"/>
        <v>0</v>
      </c>
      <c r="K39" s="16" t="e">
        <f t="shared" ca="1" si="1"/>
        <v>#VALUE!</v>
      </c>
      <c r="L39" s="19">
        <f t="shared" ca="1" si="2"/>
        <v>0</v>
      </c>
      <c r="M39" s="16">
        <f ca="1">IFERROR(__xludf.DUMMYFUNCTION("IF(G39&gt;0,0, IFNA(GOOGLEFINANCE(""NSE:""&amp;B39,""change""),0))"),0)</f>
        <v>0</v>
      </c>
      <c r="N39" s="16">
        <f t="shared" ca="1" si="3"/>
        <v>0</v>
      </c>
      <c r="O39" s="16">
        <f t="shared" si="4"/>
        <v>0</v>
      </c>
      <c r="P39" s="19">
        <f t="shared" si="5"/>
        <v>0</v>
      </c>
    </row>
    <row r="40" spans="1:17" ht="22.5" customHeight="1">
      <c r="A40" s="15">
        <v>40</v>
      </c>
      <c r="B40" s="16"/>
      <c r="C40" s="31"/>
      <c r="D40" s="18"/>
      <c r="E40" s="16"/>
      <c r="F40" s="18"/>
      <c r="G40" s="16"/>
      <c r="H40" s="16" t="str">
        <f ca="1">IFERROR(__xludf.DUMMYFUNCTION("IFNA(GOOGLEFINANCE(""NSE:""&amp;B40,""price""),)"),"")</f>
        <v/>
      </c>
      <c r="I40" s="15"/>
      <c r="J40" s="16">
        <f t="shared" si="0"/>
        <v>0</v>
      </c>
      <c r="K40" s="16" t="e">
        <f t="shared" ca="1" si="1"/>
        <v>#VALUE!</v>
      </c>
      <c r="L40" s="19">
        <f t="shared" ca="1" si="2"/>
        <v>0</v>
      </c>
      <c r="M40" s="16">
        <f ca="1">IFERROR(__xludf.DUMMYFUNCTION("IF(G40&gt;0,0, IFNA(GOOGLEFINANCE(""NSE:""&amp;B40,""change""),0))"),0)</f>
        <v>0</v>
      </c>
      <c r="N40" s="16">
        <f t="shared" ca="1" si="3"/>
        <v>0</v>
      </c>
      <c r="O40" s="16">
        <f t="shared" si="4"/>
        <v>0</v>
      </c>
      <c r="P40" s="19">
        <f t="shared" si="5"/>
        <v>0</v>
      </c>
    </row>
    <row r="41" spans="1:17" ht="22.5" customHeight="1">
      <c r="A41" s="15">
        <v>41</v>
      </c>
      <c r="B41" s="16"/>
      <c r="C41" s="31"/>
      <c r="D41" s="18"/>
      <c r="E41" s="16"/>
      <c r="F41" s="18"/>
      <c r="G41" s="16"/>
      <c r="H41" s="16" t="str">
        <f ca="1">IFERROR(__xludf.DUMMYFUNCTION("IFNA(GOOGLEFINANCE(""NSE:""&amp;B41,""price""),)"),"")</f>
        <v/>
      </c>
      <c r="I41" s="15"/>
      <c r="J41" s="16">
        <f t="shared" si="0"/>
        <v>0</v>
      </c>
      <c r="K41" s="16" t="e">
        <f t="shared" ca="1" si="1"/>
        <v>#VALUE!</v>
      </c>
      <c r="L41" s="19">
        <f t="shared" ca="1" si="2"/>
        <v>0</v>
      </c>
      <c r="M41" s="16">
        <f ca="1">IFERROR(__xludf.DUMMYFUNCTION("IF(G41&gt;0,0, IFNA(GOOGLEFINANCE(""NSE:""&amp;B41,""change""),0))"),0)</f>
        <v>0</v>
      </c>
      <c r="N41" s="16">
        <f t="shared" ca="1" si="3"/>
        <v>0</v>
      </c>
      <c r="O41" s="16">
        <f t="shared" si="4"/>
        <v>0</v>
      </c>
      <c r="P41" s="19">
        <f t="shared" si="5"/>
        <v>0</v>
      </c>
    </row>
    <row r="42" spans="1:17" ht="22.5" customHeight="1">
      <c r="A42" s="15">
        <v>42</v>
      </c>
      <c r="B42" s="16"/>
      <c r="C42" s="31"/>
      <c r="D42" s="18"/>
      <c r="E42" s="16"/>
      <c r="F42" s="18"/>
      <c r="G42" s="16"/>
      <c r="H42" s="16" t="str">
        <f ca="1">IFERROR(__xludf.DUMMYFUNCTION("IFNA(GOOGLEFINANCE(""NSE:""&amp;B42,""price""),)"),"")</f>
        <v/>
      </c>
      <c r="I42" s="15"/>
      <c r="J42" s="16">
        <f t="shared" si="0"/>
        <v>0</v>
      </c>
      <c r="K42" s="16" t="e">
        <f t="shared" ca="1" si="1"/>
        <v>#VALUE!</v>
      </c>
      <c r="L42" s="19">
        <f t="shared" ca="1" si="2"/>
        <v>0</v>
      </c>
      <c r="M42" s="16">
        <f ca="1">IFERROR(__xludf.DUMMYFUNCTION("IF(G42&gt;0,0, IFNA(GOOGLEFINANCE(""NSE:""&amp;B42,""change""),0))"),0)</f>
        <v>0</v>
      </c>
      <c r="N42" s="16">
        <f t="shared" ca="1" si="3"/>
        <v>0</v>
      </c>
      <c r="O42" s="16">
        <f t="shared" si="4"/>
        <v>0</v>
      </c>
      <c r="P42" s="19">
        <f t="shared" si="5"/>
        <v>0</v>
      </c>
    </row>
    <row r="43" spans="1:17" ht="22.5" customHeight="1">
      <c r="A43" s="15">
        <v>43</v>
      </c>
      <c r="B43" s="16"/>
      <c r="C43" s="31"/>
      <c r="D43" s="18"/>
      <c r="E43" s="16"/>
      <c r="F43" s="15"/>
      <c r="G43" s="16"/>
      <c r="H43" s="16" t="str">
        <f ca="1">IFERROR(__xludf.DUMMYFUNCTION("IFNA(GOOGLEFINANCE(""NSE:""&amp;B43,""price""),)"),"")</f>
        <v/>
      </c>
      <c r="I43" s="15"/>
      <c r="J43" s="16">
        <f t="shared" si="0"/>
        <v>0</v>
      </c>
      <c r="K43" s="16" t="e">
        <f t="shared" ca="1" si="1"/>
        <v>#VALUE!</v>
      </c>
      <c r="L43" s="19">
        <f t="shared" ca="1" si="2"/>
        <v>0</v>
      </c>
      <c r="M43" s="16">
        <f ca="1">IFERROR(__xludf.DUMMYFUNCTION("IF(G43&gt;0,0, IFNA(GOOGLEFINANCE(""NSE:""&amp;B43,""change""),0))"),0)</f>
        <v>0</v>
      </c>
      <c r="N43" s="16">
        <f t="shared" ca="1" si="3"/>
        <v>0</v>
      </c>
      <c r="O43" s="16">
        <f t="shared" si="4"/>
        <v>0</v>
      </c>
      <c r="P43" s="19">
        <f t="shared" si="5"/>
        <v>0</v>
      </c>
    </row>
    <row r="44" spans="1:17" ht="22.5" customHeight="1">
      <c r="A44" s="15">
        <v>44</v>
      </c>
      <c r="B44" s="16"/>
      <c r="C44" s="31"/>
      <c r="D44" s="18"/>
      <c r="E44" s="16"/>
      <c r="F44" s="18"/>
      <c r="G44" s="16"/>
      <c r="H44" s="16" t="str">
        <f ca="1">IFERROR(__xludf.DUMMYFUNCTION("IFNA(GOOGLEFINANCE(""NSE:""&amp;B44,""price""),)"),"")</f>
        <v/>
      </c>
      <c r="I44" s="15"/>
      <c r="J44" s="16">
        <f t="shared" si="0"/>
        <v>0</v>
      </c>
      <c r="K44" s="16" t="e">
        <f t="shared" ca="1" si="1"/>
        <v>#VALUE!</v>
      </c>
      <c r="L44" s="19">
        <f t="shared" ca="1" si="2"/>
        <v>0</v>
      </c>
      <c r="M44" s="16">
        <f ca="1">IFERROR(__xludf.DUMMYFUNCTION("IF(G44&gt;0,0, IFNA(GOOGLEFINANCE(""NSE:""&amp;B44,""change""),0))"),0)</f>
        <v>0</v>
      </c>
      <c r="N44" s="16">
        <f t="shared" ca="1" si="3"/>
        <v>0</v>
      </c>
      <c r="O44" s="16">
        <f t="shared" si="4"/>
        <v>0</v>
      </c>
      <c r="P44" s="19">
        <f t="shared" si="5"/>
        <v>0</v>
      </c>
    </row>
    <row r="45" spans="1:17" ht="22.5" customHeight="1">
      <c r="A45" s="15">
        <v>45</v>
      </c>
      <c r="B45" s="16"/>
      <c r="C45" s="31"/>
      <c r="D45" s="18"/>
      <c r="E45" s="16"/>
      <c r="F45" s="18"/>
      <c r="G45" s="16"/>
      <c r="H45" s="16" t="str">
        <f ca="1">IFERROR(__xludf.DUMMYFUNCTION("IFNA(GOOGLEFINANCE(""NSE:""&amp;B45,""price""),)"),"")</f>
        <v/>
      </c>
      <c r="I45" s="15"/>
      <c r="J45" s="16">
        <f t="shared" si="0"/>
        <v>0</v>
      </c>
      <c r="K45" s="16" t="e">
        <f t="shared" ca="1" si="1"/>
        <v>#VALUE!</v>
      </c>
      <c r="L45" s="19">
        <f t="shared" ca="1" si="2"/>
        <v>0</v>
      </c>
      <c r="M45" s="16">
        <f ca="1">IFERROR(__xludf.DUMMYFUNCTION("IF(G45&gt;0,0, IFNA(GOOGLEFINANCE(""NSE:""&amp;B45,""change""),0))"),0)</f>
        <v>0</v>
      </c>
      <c r="N45" s="16">
        <f t="shared" ca="1" si="3"/>
        <v>0</v>
      </c>
      <c r="O45" s="16">
        <f t="shared" si="4"/>
        <v>0</v>
      </c>
      <c r="P45" s="19">
        <f t="shared" si="5"/>
        <v>0</v>
      </c>
    </row>
    <row r="46" spans="1:17" ht="22.5" customHeight="1">
      <c r="A46" s="15">
        <v>46</v>
      </c>
      <c r="B46" s="16"/>
      <c r="C46" s="31"/>
      <c r="D46" s="18"/>
      <c r="E46" s="16"/>
      <c r="F46" s="18"/>
      <c r="G46" s="16"/>
      <c r="H46" s="16" t="str">
        <f ca="1">IFERROR(__xludf.DUMMYFUNCTION("IFNA(GOOGLEFINANCE(""NSE:""&amp;B46,""price""),)"),"")</f>
        <v/>
      </c>
      <c r="I46" s="15"/>
      <c r="J46" s="16">
        <f t="shared" si="0"/>
        <v>0</v>
      </c>
      <c r="K46" s="16" t="e">
        <f t="shared" ca="1" si="1"/>
        <v>#VALUE!</v>
      </c>
      <c r="L46" s="19">
        <f t="shared" ca="1" si="2"/>
        <v>0</v>
      </c>
      <c r="M46" s="16">
        <f ca="1">IFERROR(__xludf.DUMMYFUNCTION("IF(G46&gt;0,0, IFNA(GOOGLEFINANCE(""NSE:""&amp;B46,""change""),0))"),0)</f>
        <v>0</v>
      </c>
      <c r="N46" s="16">
        <f t="shared" ca="1" si="3"/>
        <v>0</v>
      </c>
      <c r="O46" s="16">
        <f t="shared" si="4"/>
        <v>0</v>
      </c>
      <c r="P46" s="19">
        <f t="shared" si="5"/>
        <v>0</v>
      </c>
    </row>
    <row r="47" spans="1:17" ht="22.5" customHeight="1">
      <c r="A47" s="15">
        <v>47</v>
      </c>
      <c r="B47" s="16"/>
      <c r="C47" s="31"/>
      <c r="D47" s="18"/>
      <c r="E47" s="16"/>
      <c r="F47" s="18"/>
      <c r="G47" s="16"/>
      <c r="H47" s="16" t="str">
        <f ca="1">IFERROR(__xludf.DUMMYFUNCTION("IFNA(GOOGLEFINANCE(""NSE:""&amp;B47,""price""),)"),"")</f>
        <v/>
      </c>
      <c r="I47" s="15"/>
      <c r="J47" s="16">
        <f t="shared" si="0"/>
        <v>0</v>
      </c>
      <c r="K47" s="16" t="e">
        <f t="shared" ca="1" si="1"/>
        <v>#VALUE!</v>
      </c>
      <c r="L47" s="19">
        <f t="shared" ca="1" si="2"/>
        <v>0</v>
      </c>
      <c r="M47" s="16">
        <f ca="1">IFERROR(__xludf.DUMMYFUNCTION("IF(G47&gt;0,0, IFNA(GOOGLEFINANCE(""NSE:""&amp;B47,""change""),0))"),0)</f>
        <v>0</v>
      </c>
      <c r="N47" s="16">
        <f t="shared" ca="1" si="3"/>
        <v>0</v>
      </c>
      <c r="O47" s="16">
        <f t="shared" si="4"/>
        <v>0</v>
      </c>
      <c r="P47" s="19">
        <f t="shared" si="5"/>
        <v>0</v>
      </c>
    </row>
    <row r="48" spans="1:17" ht="22.5" customHeight="1">
      <c r="A48" s="15">
        <v>48</v>
      </c>
      <c r="B48" s="16"/>
      <c r="C48" s="31"/>
      <c r="D48" s="18"/>
      <c r="E48" s="16"/>
      <c r="F48" s="18"/>
      <c r="G48" s="16"/>
      <c r="H48" s="16" t="str">
        <f ca="1">IFERROR(__xludf.DUMMYFUNCTION("IFNA(GOOGLEFINANCE(""NSE:""&amp;B48,""price""),)"),"")</f>
        <v/>
      </c>
      <c r="I48" s="15"/>
      <c r="J48" s="16">
        <f t="shared" si="0"/>
        <v>0</v>
      </c>
      <c r="K48" s="16" t="e">
        <f t="shared" ca="1" si="1"/>
        <v>#VALUE!</v>
      </c>
      <c r="L48" s="19">
        <f t="shared" ca="1" si="2"/>
        <v>0</v>
      </c>
      <c r="M48" s="16">
        <f ca="1">IFERROR(__xludf.DUMMYFUNCTION("IF(G48&gt;0,0, IFNA(GOOGLEFINANCE(""NSE:""&amp;B48,""change""),0))"),0)</f>
        <v>0</v>
      </c>
      <c r="N48" s="16">
        <f t="shared" ca="1" si="3"/>
        <v>0</v>
      </c>
      <c r="O48" s="16">
        <f t="shared" si="4"/>
        <v>0</v>
      </c>
      <c r="P48" s="19">
        <f t="shared" si="5"/>
        <v>0</v>
      </c>
    </row>
    <row r="49" spans="1:16" ht="22.5" customHeight="1">
      <c r="A49" s="15">
        <v>49</v>
      </c>
      <c r="B49" s="16"/>
      <c r="C49" s="31"/>
      <c r="D49" s="18"/>
      <c r="E49" s="16"/>
      <c r="F49" s="18"/>
      <c r="G49" s="16"/>
      <c r="H49" s="16" t="str">
        <f ca="1">IFERROR(__xludf.DUMMYFUNCTION("IFNA(GOOGLEFINANCE(""NSE:""&amp;B49,""price""),)"),"")</f>
        <v/>
      </c>
      <c r="I49" s="15"/>
      <c r="J49" s="16">
        <f t="shared" si="0"/>
        <v>0</v>
      </c>
      <c r="K49" s="16" t="e">
        <f t="shared" ca="1" si="1"/>
        <v>#VALUE!</v>
      </c>
      <c r="L49" s="19">
        <f t="shared" ca="1" si="2"/>
        <v>0</v>
      </c>
      <c r="M49" s="16">
        <f ca="1">IFERROR(__xludf.DUMMYFUNCTION("IF(G49&gt;0,0, IFNA(GOOGLEFINANCE(""NSE:""&amp;B49,""change""),0))"),0)</f>
        <v>0</v>
      </c>
      <c r="N49" s="16">
        <f t="shared" ca="1" si="3"/>
        <v>0</v>
      </c>
      <c r="O49" s="16">
        <f t="shared" si="4"/>
        <v>0</v>
      </c>
      <c r="P49" s="19">
        <f t="shared" si="5"/>
        <v>0</v>
      </c>
    </row>
    <row r="50" spans="1:16" ht="22.5" customHeight="1">
      <c r="A50" s="15">
        <v>50</v>
      </c>
      <c r="B50" s="16"/>
      <c r="C50" s="31"/>
      <c r="D50" s="18"/>
      <c r="E50" s="16"/>
      <c r="F50" s="15"/>
      <c r="G50" s="16"/>
      <c r="H50" s="16" t="str">
        <f ca="1">IFERROR(__xludf.DUMMYFUNCTION("IFNA(GOOGLEFINANCE(""NSE:""&amp;B50,""price""),)"),"")</f>
        <v/>
      </c>
      <c r="I50" s="15"/>
      <c r="J50" s="16">
        <f t="shared" si="0"/>
        <v>0</v>
      </c>
      <c r="K50" s="16" t="e">
        <f t="shared" ca="1" si="1"/>
        <v>#VALUE!</v>
      </c>
      <c r="L50" s="19">
        <f t="shared" ca="1" si="2"/>
        <v>0</v>
      </c>
      <c r="M50" s="16">
        <f ca="1">IFERROR(__xludf.DUMMYFUNCTION("IF(G50&gt;0,0, IFNA(GOOGLEFINANCE(""NSE:""&amp;B50,""change""),0))"),0)</f>
        <v>0</v>
      </c>
      <c r="N50" s="16">
        <f t="shared" ca="1" si="3"/>
        <v>0</v>
      </c>
      <c r="O50" s="16">
        <f t="shared" si="4"/>
        <v>0</v>
      </c>
      <c r="P50" s="19">
        <f t="shared" si="5"/>
        <v>0</v>
      </c>
    </row>
    <row r="51" spans="1:16" ht="22.5" customHeight="1">
      <c r="A51" s="15">
        <v>51</v>
      </c>
      <c r="B51" s="32"/>
      <c r="C51" s="37"/>
      <c r="D51" s="34"/>
      <c r="E51" s="32"/>
      <c r="F51" s="34"/>
      <c r="G51" s="32"/>
      <c r="H51" s="16" t="str">
        <f ca="1">IFERROR(__xludf.DUMMYFUNCTION("IFNA(GOOGLEFINANCE(""NSE:""&amp;B51,""price""),)"),"")</f>
        <v/>
      </c>
      <c r="I51" s="38"/>
      <c r="J51" s="16">
        <f t="shared" si="0"/>
        <v>0</v>
      </c>
      <c r="K51" s="16" t="e">
        <f t="shared" ca="1" si="1"/>
        <v>#VALUE!</v>
      </c>
      <c r="L51" s="19">
        <f t="shared" ca="1" si="2"/>
        <v>0</v>
      </c>
      <c r="M51" s="16">
        <f ca="1">IFERROR(__xludf.DUMMYFUNCTION("IF(G51&gt;0,0, IFNA(GOOGLEFINANCE(""NSE:""&amp;B51,""change""),0))"),0)</f>
        <v>0</v>
      </c>
      <c r="N51" s="16">
        <f t="shared" ca="1" si="3"/>
        <v>0</v>
      </c>
      <c r="O51" s="16">
        <f t="shared" si="4"/>
        <v>0</v>
      </c>
      <c r="P51" s="19">
        <f t="shared" si="5"/>
        <v>0</v>
      </c>
    </row>
    <row r="52" spans="1:16" ht="22.5" customHeight="1">
      <c r="A52" s="15">
        <v>52</v>
      </c>
      <c r="B52" s="16"/>
      <c r="C52" s="31"/>
      <c r="D52" s="18"/>
      <c r="E52" s="16"/>
      <c r="F52" s="18"/>
      <c r="G52" s="16"/>
      <c r="H52" s="16" t="str">
        <f ca="1">IFERROR(__xludf.DUMMYFUNCTION("IFNA(GOOGLEFINANCE(""NSE:""&amp;B52,""price""),)"),"")</f>
        <v/>
      </c>
      <c r="I52" s="15"/>
      <c r="J52" s="16">
        <f t="shared" si="0"/>
        <v>0</v>
      </c>
      <c r="K52" s="16" t="e">
        <f t="shared" ca="1" si="1"/>
        <v>#VALUE!</v>
      </c>
      <c r="L52" s="19">
        <f t="shared" ca="1" si="2"/>
        <v>0</v>
      </c>
      <c r="M52" s="16">
        <f ca="1">IFERROR(__xludf.DUMMYFUNCTION("IF(G52&gt;0,0, IFNA(GOOGLEFINANCE(""NSE:""&amp;B52,""change""),0))"),0)</f>
        <v>0</v>
      </c>
      <c r="N52" s="16">
        <f t="shared" ca="1" si="3"/>
        <v>0</v>
      </c>
      <c r="O52" s="16">
        <f t="shared" si="4"/>
        <v>0</v>
      </c>
      <c r="P52" s="19">
        <f t="shared" si="5"/>
        <v>0</v>
      </c>
    </row>
    <row r="53" spans="1:16" ht="22.5" customHeight="1">
      <c r="A53" s="15">
        <v>53</v>
      </c>
      <c r="B53" s="32"/>
      <c r="C53" s="37"/>
      <c r="D53" s="34"/>
      <c r="E53" s="32"/>
      <c r="F53" s="34"/>
      <c r="G53" s="32"/>
      <c r="H53" s="16" t="str">
        <f ca="1">IFERROR(__xludf.DUMMYFUNCTION("IFNA(GOOGLEFINANCE(""NSE:""&amp;B53,""price""),)"),"")</f>
        <v/>
      </c>
      <c r="I53" s="38"/>
      <c r="J53" s="16">
        <f t="shared" si="0"/>
        <v>0</v>
      </c>
      <c r="K53" s="16" t="e">
        <f t="shared" ca="1" si="1"/>
        <v>#VALUE!</v>
      </c>
      <c r="L53" s="19">
        <f t="shared" ca="1" si="2"/>
        <v>0</v>
      </c>
      <c r="M53" s="16">
        <f ca="1">IFERROR(__xludf.DUMMYFUNCTION("IF(G53&gt;0,0, IFNA(GOOGLEFINANCE(""NSE:""&amp;B53,""change""),0))"),0)</f>
        <v>0</v>
      </c>
      <c r="N53" s="16">
        <f t="shared" ca="1" si="3"/>
        <v>0</v>
      </c>
      <c r="O53" s="16">
        <f t="shared" si="4"/>
        <v>0</v>
      </c>
      <c r="P53" s="19">
        <f t="shared" si="5"/>
        <v>0</v>
      </c>
    </row>
    <row r="54" spans="1:16" ht="22.5" customHeight="1">
      <c r="A54" s="27"/>
      <c r="B54" s="27"/>
      <c r="C54" s="27"/>
      <c r="D54" s="27"/>
      <c r="E54" s="39">
        <f>SUM(Rashmi_Trades[Buy])</f>
        <v>23339.171666666669</v>
      </c>
      <c r="F54" s="27"/>
      <c r="G54" s="39">
        <f>SUM(Rashmi_Trades[Sell])</f>
        <v>1184.98</v>
      </c>
      <c r="H54" s="39">
        <f ca="1">SUM(Rashmi_Trades[LTP])</f>
        <v>27247.020000000004</v>
      </c>
      <c r="I54" s="27"/>
      <c r="J54" s="39">
        <f>SUM(Rashmi_Trades[Invested])</f>
        <v>214332.31</v>
      </c>
      <c r="K54" s="39" t="e">
        <f ca="1">SUM(Rashmi_Trades[Unrealised P/L])</f>
        <v>#VALUE!</v>
      </c>
      <c r="L54" s="27"/>
      <c r="M54" s="39">
        <f ca="1">SUM(Rashmi_Trades[Day_Change])</f>
        <v>136.02000000000001</v>
      </c>
      <c r="N54" s="39">
        <f ca="1">SUM(Rashmi_Trades[Change])</f>
        <v>1388.1</v>
      </c>
      <c r="O54" s="39">
        <f>SUM(Rashmi_Trades[Realised P/L])</f>
        <v>25478.620000000003</v>
      </c>
      <c r="P54" s="27"/>
    </row>
    <row r="59" spans="1:16" ht="13.2">
      <c r="I59" s="40"/>
    </row>
  </sheetData>
  <conditionalFormatting sqref="K2:P54">
    <cfRule type="cellIs" dxfId="21" priority="1" operator="lessThan">
      <formula>0</formula>
    </cfRule>
    <cfRule type="cellIs" dxfId="20" priority="2" operator="greaterThan">
      <formula>0</formula>
    </cfRule>
  </conditionalFormatting>
  <dataValidations count="2">
    <dataValidation type="custom" allowBlank="1" showDropDown="1" sqref="D2:D53" xr:uid="{00000000-0002-0000-0400-000000000000}">
      <formula1>OR(NOT(ISERROR(DATEVALUE(D2))), AND(ISNUMBER(D2), LEFT(CELL("format", D2))="D"))</formula1>
    </dataValidation>
    <dataValidation type="custom" allowBlank="1" showDropDown="1" sqref="E2:E53 G2:H53 J2:P53" xr:uid="{00000000-0002-0000-0400-000001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8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2" max="2" width="12.88671875" customWidth="1"/>
    <col min="3" max="3" width="10.33203125" customWidth="1"/>
    <col min="4" max="4" width="15.33203125" customWidth="1"/>
    <col min="5" max="5" width="11.44140625" customWidth="1"/>
    <col min="6" max="6" width="12" customWidth="1"/>
    <col min="7" max="7" width="11.33203125" customWidth="1"/>
    <col min="8" max="8" width="11.44140625" customWidth="1"/>
    <col min="9" max="9" width="7.88671875" customWidth="1"/>
    <col min="10" max="10" width="15" customWidth="1"/>
    <col min="11" max="11" width="19.6640625" customWidth="1"/>
    <col min="12" max="12" width="14.44140625" customWidth="1"/>
    <col min="13" max="14" width="14.33203125" customWidth="1"/>
    <col min="15" max="15" width="18.109375" customWidth="1"/>
    <col min="16" max="16" width="14.44140625" customWidth="1"/>
    <col min="19" max="19" width="10.44140625" customWidth="1"/>
    <col min="20" max="20" width="11.33203125" customWidth="1"/>
  </cols>
  <sheetData>
    <row r="1" spans="1:22" ht="22.5" customHeight="1">
      <c r="A1" s="11" t="s">
        <v>120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41" t="s">
        <v>79</v>
      </c>
      <c r="J1" s="11" t="s">
        <v>80</v>
      </c>
      <c r="K1" s="11" t="s">
        <v>6</v>
      </c>
      <c r="L1" s="11" t="s">
        <v>82</v>
      </c>
      <c r="M1" s="11" t="s">
        <v>83</v>
      </c>
      <c r="N1" s="11" t="s">
        <v>84</v>
      </c>
      <c r="O1" s="11" t="s">
        <v>5</v>
      </c>
      <c r="P1" s="11" t="s">
        <v>85</v>
      </c>
      <c r="U1" s="6" t="s">
        <v>125</v>
      </c>
    </row>
    <row r="2" spans="1:22" ht="22.5" customHeight="1">
      <c r="A2" s="15">
        <v>1</v>
      </c>
      <c r="B2" s="16" t="s">
        <v>12</v>
      </c>
      <c r="C2" s="15" t="s">
        <v>3</v>
      </c>
      <c r="D2" s="18"/>
      <c r="E2" s="16">
        <v>53.96</v>
      </c>
      <c r="F2" s="18"/>
      <c r="G2" s="16">
        <v>0</v>
      </c>
      <c r="H2" s="16">
        <f ca="1">IFERROR(__xludf.DUMMYFUNCTION("GOOGLEFINANCE(""NSE:""&amp;B2,""price"")"),48.97)</f>
        <v>48.97</v>
      </c>
      <c r="I2" s="15">
        <v>236</v>
      </c>
      <c r="J2" s="16">
        <f t="shared" ref="J2:J13" si="0">E2*I2</f>
        <v>12734.56</v>
      </c>
      <c r="K2" s="16">
        <f t="shared" ref="K2:K13" ca="1" si="1">IF(G2&gt;0,0,(H2-E2)*I2)</f>
        <v>-1177.6400000000006</v>
      </c>
      <c r="L2" s="19">
        <f t="shared" ref="L2:L13" ca="1" si="2">IFERROR(IF(G2&gt;0,0,(H2-E2)/E2),0)</f>
        <v>-9.2475908080059344E-2</v>
      </c>
      <c r="M2" s="16">
        <f ca="1">IFERROR(__xludf.DUMMYFUNCTION("GOOGLEFINANCE(""NSE:""&amp;B2,""change"")"),-0.01)</f>
        <v>-0.01</v>
      </c>
      <c r="N2" s="16">
        <f t="shared" ref="N2:N13" ca="1" si="3">M2*I2</f>
        <v>-2.36</v>
      </c>
      <c r="O2" s="16">
        <f t="shared" ref="O2:O13" si="4">IF(G2=0,0,(G2-E2)*I2)</f>
        <v>0</v>
      </c>
      <c r="P2" s="19">
        <f t="shared" ref="P2:P13" si="5">IF(G2&gt;0,(G2-E2)/E2,0)</f>
        <v>0</v>
      </c>
      <c r="R2" s="113"/>
      <c r="S2" s="114" t="s">
        <v>275</v>
      </c>
      <c r="T2" s="134"/>
      <c r="U2" s="134"/>
      <c r="V2" s="115"/>
    </row>
    <row r="3" spans="1:22" ht="22.5" customHeight="1">
      <c r="A3" s="15">
        <v>2</v>
      </c>
      <c r="B3" s="16" t="s">
        <v>23</v>
      </c>
      <c r="C3" s="15" t="s">
        <v>3</v>
      </c>
      <c r="D3" s="18"/>
      <c r="E3" s="16">
        <v>742.64</v>
      </c>
      <c r="F3" s="18"/>
      <c r="G3" s="16">
        <v>0</v>
      </c>
      <c r="H3" s="16">
        <f ca="1">IFERROR(__xludf.DUMMYFUNCTION("GOOGLEFINANCE(""NSE:""&amp;B3,""price"")"),997)</f>
        <v>997</v>
      </c>
      <c r="I3" s="15">
        <v>8</v>
      </c>
      <c r="J3" s="16">
        <f t="shared" si="0"/>
        <v>5941.12</v>
      </c>
      <c r="K3" s="16">
        <f t="shared" ca="1" si="1"/>
        <v>2034.88</v>
      </c>
      <c r="L3" s="19">
        <f t="shared" ca="1" si="2"/>
        <v>0.34250780997522356</v>
      </c>
      <c r="M3" s="16">
        <f ca="1">IFERROR(__xludf.DUMMYFUNCTION("GOOGLEFINANCE(""NSE:""&amp;B3,""change"")"),9.3)</f>
        <v>9.3000000000000007</v>
      </c>
      <c r="N3" s="16">
        <f t="shared" ca="1" si="3"/>
        <v>74.400000000000006</v>
      </c>
      <c r="O3" s="16">
        <f t="shared" si="4"/>
        <v>0</v>
      </c>
      <c r="P3" s="19">
        <f t="shared" si="5"/>
        <v>0</v>
      </c>
      <c r="R3" s="114" t="s">
        <v>4</v>
      </c>
      <c r="S3" s="113" t="s">
        <v>79</v>
      </c>
      <c r="T3" s="135" t="s">
        <v>5</v>
      </c>
      <c r="U3" s="135" t="s">
        <v>6</v>
      </c>
      <c r="V3" s="116" t="s">
        <v>7</v>
      </c>
    </row>
    <row r="4" spans="1:22" ht="22.5" customHeight="1">
      <c r="A4" s="15">
        <v>3</v>
      </c>
      <c r="B4" s="16" t="s">
        <v>27</v>
      </c>
      <c r="C4" s="15" t="s">
        <v>3</v>
      </c>
      <c r="D4" s="18"/>
      <c r="E4" s="16">
        <v>83.97</v>
      </c>
      <c r="F4" s="18"/>
      <c r="G4" s="16">
        <v>0</v>
      </c>
      <c r="H4" s="16">
        <f ca="1">IFERROR(__xludf.DUMMYFUNCTION("GOOGLEFINANCE(""NSE:""&amp;B4,""price"")"),116.72)</f>
        <v>116.72</v>
      </c>
      <c r="I4" s="15">
        <v>227</v>
      </c>
      <c r="J4" s="16">
        <f t="shared" si="0"/>
        <v>19061.189999999999</v>
      </c>
      <c r="K4" s="16">
        <f t="shared" ca="1" si="1"/>
        <v>7434.25</v>
      </c>
      <c r="L4" s="19">
        <f t="shared" ca="1" si="2"/>
        <v>0.39002024532571156</v>
      </c>
      <c r="M4" s="16">
        <f ca="1">IFERROR(__xludf.DUMMYFUNCTION("GOOGLEFINANCE(""NSE:""&amp;B4,""change"")"),0.58)</f>
        <v>0.57999999999999996</v>
      </c>
      <c r="N4" s="16">
        <f t="shared" ca="1" si="3"/>
        <v>131.66</v>
      </c>
      <c r="O4" s="16">
        <f t="shared" si="4"/>
        <v>0</v>
      </c>
      <c r="P4" s="19">
        <f t="shared" si="5"/>
        <v>0</v>
      </c>
      <c r="R4" s="136" t="s">
        <v>12</v>
      </c>
      <c r="S4" s="117">
        <v>236</v>
      </c>
      <c r="T4" s="137">
        <v>0</v>
      </c>
      <c r="U4" s="137">
        <v>-1177.6400000000006</v>
      </c>
      <c r="V4" s="118">
        <v>-2.36</v>
      </c>
    </row>
    <row r="5" spans="1:22" ht="22.5" customHeight="1">
      <c r="A5" s="15">
        <v>4</v>
      </c>
      <c r="B5" s="25" t="s">
        <v>31</v>
      </c>
      <c r="C5" s="15" t="s">
        <v>3</v>
      </c>
      <c r="D5" s="18"/>
      <c r="E5" s="16">
        <v>85.59</v>
      </c>
      <c r="F5" s="18"/>
      <c r="G5" s="16">
        <v>0</v>
      </c>
      <c r="H5" s="16">
        <f ca="1">IFERROR(__xludf.DUMMYFUNCTION("GOOGLEFINANCE(""NSE:""&amp;B5,""price"")"),84.9)</f>
        <v>84.9</v>
      </c>
      <c r="I5" s="15">
        <v>83</v>
      </c>
      <c r="J5" s="16">
        <f t="shared" si="0"/>
        <v>7103.97</v>
      </c>
      <c r="K5" s="16">
        <f t="shared" ca="1" si="1"/>
        <v>-57.269999999999811</v>
      </c>
      <c r="L5" s="19">
        <f t="shared" ca="1" si="2"/>
        <v>-8.0616894497020416E-3</v>
      </c>
      <c r="M5" s="16">
        <f ca="1">IFERROR(__xludf.DUMMYFUNCTION("GOOGLEFINANCE(""NSE:""&amp;B5,""change"")"),-0.45)</f>
        <v>-0.45</v>
      </c>
      <c r="N5" s="16">
        <f t="shared" ca="1" si="3"/>
        <v>-37.35</v>
      </c>
      <c r="O5" s="16">
        <f t="shared" si="4"/>
        <v>0</v>
      </c>
      <c r="P5" s="19">
        <f t="shared" si="5"/>
        <v>0</v>
      </c>
      <c r="R5" s="138" t="s">
        <v>15</v>
      </c>
      <c r="S5" s="120">
        <v>21</v>
      </c>
      <c r="T5" s="139">
        <v>0</v>
      </c>
      <c r="U5" s="139">
        <v>29.189999999999937</v>
      </c>
      <c r="V5" s="121">
        <v>7.1400000000000006</v>
      </c>
    </row>
    <row r="6" spans="1:22" ht="22.5" customHeight="1">
      <c r="A6" s="15">
        <v>5</v>
      </c>
      <c r="B6" s="25" t="s">
        <v>35</v>
      </c>
      <c r="C6" s="15" t="s">
        <v>3</v>
      </c>
      <c r="D6" s="18"/>
      <c r="E6" s="16">
        <v>972.6</v>
      </c>
      <c r="F6" s="18"/>
      <c r="G6" s="16">
        <v>0</v>
      </c>
      <c r="H6" s="16">
        <f ca="1">IFERROR(__xludf.DUMMYFUNCTION("GOOGLEFINANCE(""NSE:""&amp;B6,""price"")"),680.5)</f>
        <v>680.5</v>
      </c>
      <c r="I6" s="15">
        <v>5</v>
      </c>
      <c r="J6" s="16">
        <f t="shared" si="0"/>
        <v>4863</v>
      </c>
      <c r="K6" s="16">
        <f t="shared" ca="1" si="1"/>
        <v>-1460.5</v>
      </c>
      <c r="L6" s="19">
        <f t="shared" ca="1" si="2"/>
        <v>-0.30032901501130993</v>
      </c>
      <c r="M6" s="16">
        <f ca="1">IFERROR(__xludf.DUMMYFUNCTION("GOOGLEFINANCE(""NSE:""&amp;B6,""change"")"),-1.15)</f>
        <v>-1.1499999999999999</v>
      </c>
      <c r="N6" s="16">
        <f t="shared" ca="1" si="3"/>
        <v>-5.75</v>
      </c>
      <c r="O6" s="16">
        <f t="shared" si="4"/>
        <v>0</v>
      </c>
      <c r="P6" s="19">
        <f t="shared" si="5"/>
        <v>0</v>
      </c>
      <c r="R6" s="138" t="s">
        <v>19</v>
      </c>
      <c r="S6" s="120">
        <v>100</v>
      </c>
      <c r="T6" s="139">
        <v>0</v>
      </c>
      <c r="U6" s="139">
        <v>2700</v>
      </c>
      <c r="V6" s="121">
        <v>-99</v>
      </c>
    </row>
    <row r="7" spans="1:22" ht="22.5" customHeight="1">
      <c r="A7" s="15">
        <v>6</v>
      </c>
      <c r="B7" s="16" t="s">
        <v>45</v>
      </c>
      <c r="C7" s="15" t="s">
        <v>3</v>
      </c>
      <c r="D7" s="18"/>
      <c r="E7" s="16">
        <v>434.30579999999998</v>
      </c>
      <c r="F7" s="18"/>
      <c r="G7" s="16">
        <v>0</v>
      </c>
      <c r="H7" s="16">
        <f ca="1">IFERROR(__xludf.DUMMYFUNCTION("GOOGLEFINANCE(""NSE:""&amp;B7,""price"")"),362.6)</f>
        <v>362.6</v>
      </c>
      <c r="I7" s="15">
        <v>8</v>
      </c>
      <c r="J7" s="16">
        <f t="shared" si="0"/>
        <v>3474.4463999999998</v>
      </c>
      <c r="K7" s="16">
        <f t="shared" ca="1" si="1"/>
        <v>-573.64639999999963</v>
      </c>
      <c r="L7" s="19">
        <f t="shared" ca="1" si="2"/>
        <v>-0.16510440339502711</v>
      </c>
      <c r="M7" s="16">
        <f ca="1">IFERROR(__xludf.DUMMYFUNCTION("GOOGLEFINANCE(""NSE:""&amp;B7,""change"")"),3.45)</f>
        <v>3.45</v>
      </c>
      <c r="N7" s="16">
        <f t="shared" ca="1" si="3"/>
        <v>27.6</v>
      </c>
      <c r="O7" s="16">
        <f t="shared" si="4"/>
        <v>0</v>
      </c>
      <c r="P7" s="19">
        <f t="shared" si="5"/>
        <v>0</v>
      </c>
      <c r="R7" s="138" t="s">
        <v>23</v>
      </c>
      <c r="S7" s="120">
        <v>16</v>
      </c>
      <c r="T7" s="139">
        <v>0</v>
      </c>
      <c r="U7" s="139">
        <v>4069.76</v>
      </c>
      <c r="V7" s="121">
        <v>148.80000000000001</v>
      </c>
    </row>
    <row r="8" spans="1:22" ht="22.5" customHeight="1">
      <c r="A8" s="15">
        <v>7</v>
      </c>
      <c r="B8" s="16" t="s">
        <v>32</v>
      </c>
      <c r="C8" s="15" t="s">
        <v>3</v>
      </c>
      <c r="D8" s="18">
        <v>45813</v>
      </c>
      <c r="E8" s="16">
        <v>176.35</v>
      </c>
      <c r="F8" s="18"/>
      <c r="G8" s="16">
        <v>0</v>
      </c>
      <c r="H8" s="16">
        <f ca="1">IFERROR(__xludf.DUMMYFUNCTION("GOOGLEFINANCE(""NSE:""&amp;B8,""price"")"),139)</f>
        <v>139</v>
      </c>
      <c r="I8" s="15">
        <v>50</v>
      </c>
      <c r="J8" s="16">
        <f t="shared" si="0"/>
        <v>8817.5</v>
      </c>
      <c r="K8" s="16">
        <f t="shared" ca="1" si="1"/>
        <v>-1867.4999999999998</v>
      </c>
      <c r="L8" s="19">
        <f t="shared" ca="1" si="2"/>
        <v>-0.21179472639637084</v>
      </c>
      <c r="M8" s="16">
        <f ca="1">IFERROR(__xludf.DUMMYFUNCTION("GOOGLEFINANCE(""NSE:""&amp;B8,""change"")"),3.33)</f>
        <v>3.33</v>
      </c>
      <c r="N8" s="16">
        <f t="shared" ca="1" si="3"/>
        <v>166.5</v>
      </c>
      <c r="O8" s="16">
        <f t="shared" si="4"/>
        <v>0</v>
      </c>
      <c r="P8" s="19">
        <f t="shared" si="5"/>
        <v>0</v>
      </c>
      <c r="R8" s="138" t="s">
        <v>27</v>
      </c>
      <c r="S8" s="120">
        <v>227</v>
      </c>
      <c r="T8" s="139">
        <v>0</v>
      </c>
      <c r="U8" s="139">
        <v>7434.25</v>
      </c>
      <c r="V8" s="121">
        <v>131.66</v>
      </c>
    </row>
    <row r="9" spans="1:22" ht="22.5" customHeight="1">
      <c r="A9" s="15">
        <v>8</v>
      </c>
      <c r="B9" s="16" t="s">
        <v>23</v>
      </c>
      <c r="C9" s="15" t="s">
        <v>3</v>
      </c>
      <c r="D9" s="18"/>
      <c r="E9" s="16">
        <v>742.64</v>
      </c>
      <c r="F9" s="18"/>
      <c r="G9" s="16">
        <v>0</v>
      </c>
      <c r="H9" s="16">
        <f ca="1">IFERROR(__xludf.DUMMYFUNCTION("IFNA(GOOGLEFINANCE(""NSE:""&amp;B9,""price""),0)"),997)</f>
        <v>997</v>
      </c>
      <c r="I9" s="15">
        <v>8</v>
      </c>
      <c r="J9" s="16">
        <f t="shared" si="0"/>
        <v>5941.12</v>
      </c>
      <c r="K9" s="16">
        <f t="shared" ca="1" si="1"/>
        <v>2034.88</v>
      </c>
      <c r="L9" s="19">
        <f t="shared" ca="1" si="2"/>
        <v>0.34250780997522356</v>
      </c>
      <c r="M9" s="16">
        <f ca="1">IFERROR(__xludf.DUMMYFUNCTION("IFNA(GOOGLEFINANCE(""NSE:""&amp;B9,""change""),0)"),9.3)</f>
        <v>9.3000000000000007</v>
      </c>
      <c r="N9" s="16">
        <f t="shared" ca="1" si="3"/>
        <v>74.400000000000006</v>
      </c>
      <c r="O9" s="16">
        <f t="shared" si="4"/>
        <v>0</v>
      </c>
      <c r="P9" s="19">
        <f t="shared" si="5"/>
        <v>0</v>
      </c>
      <c r="R9" s="138" t="s">
        <v>31</v>
      </c>
      <c r="S9" s="120">
        <v>83</v>
      </c>
      <c r="T9" s="139">
        <v>0</v>
      </c>
      <c r="U9" s="139">
        <v>-57.269999999999811</v>
      </c>
      <c r="V9" s="121">
        <v>-37.35</v>
      </c>
    </row>
    <row r="10" spans="1:22" ht="22.5" customHeight="1">
      <c r="A10" s="15">
        <v>9</v>
      </c>
      <c r="B10" s="16" t="s">
        <v>19</v>
      </c>
      <c r="C10" s="15" t="s">
        <v>3</v>
      </c>
      <c r="D10" s="18">
        <v>46185</v>
      </c>
      <c r="E10" s="16">
        <v>165.6</v>
      </c>
      <c r="F10" s="18"/>
      <c r="G10" s="16">
        <v>0</v>
      </c>
      <c r="H10" s="16">
        <f ca="1">IFERROR(__xludf.DUMMYFUNCTION("IFNA(GOOGLEFINANCE(""NSE:""&amp;B10,""price""),0)"),192.6)</f>
        <v>192.6</v>
      </c>
      <c r="I10" s="15">
        <v>100</v>
      </c>
      <c r="J10" s="16">
        <f t="shared" si="0"/>
        <v>16560</v>
      </c>
      <c r="K10" s="16">
        <f t="shared" ca="1" si="1"/>
        <v>2700</v>
      </c>
      <c r="L10" s="19">
        <f t="shared" ca="1" si="2"/>
        <v>0.16304347826086957</v>
      </c>
      <c r="M10" s="16">
        <f ca="1">IFERROR(__xludf.DUMMYFUNCTION("IFNA(GOOGLEFINANCE(""NSE:""&amp;B10,""change""),0)"),-0.99)</f>
        <v>-0.99</v>
      </c>
      <c r="N10" s="16">
        <f t="shared" ca="1" si="3"/>
        <v>-99</v>
      </c>
      <c r="O10" s="16">
        <f t="shared" si="4"/>
        <v>0</v>
      </c>
      <c r="P10" s="19">
        <f t="shared" si="5"/>
        <v>0</v>
      </c>
      <c r="R10" s="138" t="s">
        <v>35</v>
      </c>
      <c r="S10" s="120">
        <v>5</v>
      </c>
      <c r="T10" s="139">
        <v>0</v>
      </c>
      <c r="U10" s="139">
        <v>-1460.5</v>
      </c>
      <c r="V10" s="121">
        <v>-5.75</v>
      </c>
    </row>
    <row r="11" spans="1:22" ht="22.5" customHeight="1">
      <c r="A11" s="15">
        <v>10</v>
      </c>
      <c r="B11" s="16" t="s">
        <v>39</v>
      </c>
      <c r="C11" s="15" t="s">
        <v>3</v>
      </c>
      <c r="D11" s="18">
        <v>45951</v>
      </c>
      <c r="E11" s="16">
        <v>1468</v>
      </c>
      <c r="F11" s="18"/>
      <c r="G11" s="16">
        <v>0</v>
      </c>
      <c r="H11" s="16">
        <f ca="1">IFERROR(__xludf.DUMMYFUNCTION("IFNA(GOOGLEFINANCE(""NSE:""&amp;B11,""price""),0)"),1569)</f>
        <v>1569</v>
      </c>
      <c r="I11" s="15">
        <v>3</v>
      </c>
      <c r="J11" s="16">
        <f t="shared" si="0"/>
        <v>4404</v>
      </c>
      <c r="K11" s="16">
        <f t="shared" ca="1" si="1"/>
        <v>303</v>
      </c>
      <c r="L11" s="19">
        <f t="shared" ca="1" si="2"/>
        <v>6.8801089918256134E-2</v>
      </c>
      <c r="M11" s="16">
        <f ca="1">IFERROR(__xludf.DUMMYFUNCTION("IFNA(GOOGLEFINANCE(""NSE:""&amp;B11,""change""),0)"),-6.4)</f>
        <v>-6.4</v>
      </c>
      <c r="N11" s="16">
        <f t="shared" ca="1" si="3"/>
        <v>-19.200000000000003</v>
      </c>
      <c r="O11" s="16">
        <f t="shared" si="4"/>
        <v>0</v>
      </c>
      <c r="P11" s="19">
        <f t="shared" si="5"/>
        <v>0</v>
      </c>
      <c r="R11" s="138" t="s">
        <v>32</v>
      </c>
      <c r="S11" s="120">
        <v>50</v>
      </c>
      <c r="T11" s="139">
        <v>0</v>
      </c>
      <c r="U11" s="139">
        <v>-1867.4999999999998</v>
      </c>
      <c r="V11" s="121">
        <v>166.5</v>
      </c>
    </row>
    <row r="12" spans="1:22" ht="22.5" customHeight="1">
      <c r="A12" s="15">
        <v>11</v>
      </c>
      <c r="B12" s="16" t="s">
        <v>15</v>
      </c>
      <c r="C12" s="15" t="s">
        <v>3</v>
      </c>
      <c r="D12" s="18">
        <v>45951</v>
      </c>
      <c r="E12" s="16">
        <v>20.100000000000001</v>
      </c>
      <c r="F12" s="18"/>
      <c r="G12" s="16">
        <v>0</v>
      </c>
      <c r="H12" s="16">
        <f ca="1">IFERROR(__xludf.DUMMYFUNCTION("IFNA(GOOGLEFINANCE(""NSE:""&amp;B12,""price""),0)"),21.49)</f>
        <v>21.49</v>
      </c>
      <c r="I12" s="15">
        <v>21</v>
      </c>
      <c r="J12" s="16">
        <f t="shared" si="0"/>
        <v>422.1</v>
      </c>
      <c r="K12" s="16">
        <f t="shared" ca="1" si="1"/>
        <v>29.189999999999937</v>
      </c>
      <c r="L12" s="19">
        <f t="shared" ca="1" si="2"/>
        <v>6.9154228855721242E-2</v>
      </c>
      <c r="M12" s="16">
        <f ca="1">IFERROR(__xludf.DUMMYFUNCTION("IFNA(GOOGLEFINANCE(""NSE:""&amp;B12,""change""),0)"),0.34)</f>
        <v>0.34</v>
      </c>
      <c r="N12" s="16">
        <f t="shared" ca="1" si="3"/>
        <v>7.1400000000000006</v>
      </c>
      <c r="O12" s="16">
        <f t="shared" si="4"/>
        <v>0</v>
      </c>
      <c r="P12" s="19">
        <f t="shared" si="5"/>
        <v>0</v>
      </c>
      <c r="R12" s="138" t="s">
        <v>39</v>
      </c>
      <c r="S12" s="120">
        <v>3</v>
      </c>
      <c r="T12" s="139">
        <v>0</v>
      </c>
      <c r="U12" s="139">
        <v>303</v>
      </c>
      <c r="V12" s="121">
        <v>-19.200000000000003</v>
      </c>
    </row>
    <row r="13" spans="1:22" ht="22.5" customHeight="1">
      <c r="A13" s="15">
        <v>12</v>
      </c>
      <c r="B13" s="16" t="s">
        <v>42</v>
      </c>
      <c r="C13" s="15" t="s">
        <v>3</v>
      </c>
      <c r="D13" s="18"/>
      <c r="E13" s="16">
        <v>196.49419999999998</v>
      </c>
      <c r="F13" s="18"/>
      <c r="G13" s="16"/>
      <c r="H13" s="16">
        <f ca="1">IFERROR(__xludf.DUMMYFUNCTION("IFNA(GOOGLEFINANCE(""NSE:""&amp;B13,""price""),0)"),425.5)</f>
        <v>425.5</v>
      </c>
      <c r="I13" s="15">
        <v>8</v>
      </c>
      <c r="J13" s="16">
        <f t="shared" si="0"/>
        <v>1571.9535999999998</v>
      </c>
      <c r="K13" s="16">
        <f t="shared" ca="1" si="1"/>
        <v>1832.0464000000002</v>
      </c>
      <c r="L13" s="19">
        <f t="shared" ca="1" si="2"/>
        <v>1.1654583188714986</v>
      </c>
      <c r="M13" s="16">
        <f ca="1">IFERROR(__xludf.DUMMYFUNCTION("IFNA(GOOGLEFINANCE(""NSE:""&amp;B13,""change""),0)"),13.8)</f>
        <v>13.8</v>
      </c>
      <c r="N13" s="16">
        <f t="shared" ca="1" si="3"/>
        <v>110.4</v>
      </c>
      <c r="O13" s="16">
        <f t="shared" si="4"/>
        <v>0</v>
      </c>
      <c r="P13" s="19">
        <f t="shared" si="5"/>
        <v>0</v>
      </c>
      <c r="R13" s="138" t="s">
        <v>45</v>
      </c>
      <c r="S13" s="120">
        <v>8</v>
      </c>
      <c r="T13" s="139">
        <v>0</v>
      </c>
      <c r="U13" s="139">
        <v>-573.64639999999963</v>
      </c>
      <c r="V13" s="121">
        <v>27.6</v>
      </c>
    </row>
    <row r="14" spans="1:22" ht="15.75" customHeight="1">
      <c r="R14" s="140" t="s">
        <v>48</v>
      </c>
      <c r="S14" s="123">
        <v>749</v>
      </c>
      <c r="T14" s="141">
        <v>0</v>
      </c>
      <c r="U14" s="141">
        <v>9399.6435999999994</v>
      </c>
      <c r="V14" s="124">
        <v>318.04000000000002</v>
      </c>
    </row>
    <row r="16" spans="1:22" ht="13.2">
      <c r="E16" s="7">
        <v>315.39999999999998</v>
      </c>
      <c r="F16" s="7">
        <f>E16*2</f>
        <v>630.79999999999995</v>
      </c>
    </row>
    <row r="17" spans="5:7" ht="13.2">
      <c r="E17" s="6" t="s">
        <v>45</v>
      </c>
      <c r="F17" s="7">
        <f>F16*G17</f>
        <v>434.30579999999998</v>
      </c>
      <c r="G17" s="40">
        <v>0.6885</v>
      </c>
    </row>
    <row r="18" spans="5:7" ht="13.2">
      <c r="E18" s="6" t="s">
        <v>42</v>
      </c>
      <c r="F18" s="7">
        <f>F16*G18</f>
        <v>196.49419999999998</v>
      </c>
      <c r="G18" s="40">
        <v>0.3115</v>
      </c>
    </row>
  </sheetData>
  <conditionalFormatting sqref="K2:P13">
    <cfRule type="cellIs" dxfId="19" priority="1" operator="lessThan">
      <formula>0</formula>
    </cfRule>
    <cfRule type="cellIs" dxfId="18" priority="2" operator="greaterThan">
      <formula>0</formula>
    </cfRule>
  </conditionalFormatting>
  <dataValidations count="2">
    <dataValidation type="custom" allowBlank="1" showDropDown="1" sqref="D2:D13" xr:uid="{00000000-0002-0000-0500-000000000000}">
      <formula1>OR(NOT(ISERROR(DATEVALUE(D2))), AND(ISNUMBER(D2), LEFT(CELL("format", D2))="D"))</formula1>
    </dataValidation>
    <dataValidation type="custom" allowBlank="1" showDropDown="1" sqref="E2:E13 G2:H13 J2:P13" xr:uid="{00000000-0002-0000-0500-000001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5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2" max="2" width="12.88671875" customWidth="1"/>
    <col min="3" max="3" width="10.33203125" customWidth="1"/>
    <col min="4" max="4" width="15.33203125" customWidth="1"/>
    <col min="5" max="5" width="11.44140625" customWidth="1"/>
    <col min="6" max="6" width="12" customWidth="1"/>
    <col min="7" max="7" width="11.33203125" customWidth="1"/>
    <col min="8" max="8" width="11.44140625" customWidth="1"/>
    <col min="9" max="9" width="7.88671875" customWidth="1"/>
    <col min="10" max="10" width="15" customWidth="1"/>
    <col min="11" max="11" width="19.6640625" customWidth="1"/>
    <col min="12" max="12" width="14.44140625" customWidth="1"/>
    <col min="13" max="14" width="14.33203125" customWidth="1"/>
    <col min="15" max="15" width="18.109375" customWidth="1"/>
    <col min="16" max="16" width="14.44140625" customWidth="1"/>
    <col min="19" max="19" width="10.44140625" customWidth="1"/>
    <col min="20" max="20" width="11.33203125" customWidth="1"/>
  </cols>
  <sheetData>
    <row r="1" spans="1:21" ht="22.5" customHeight="1">
      <c r="A1" s="11" t="s">
        <v>72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41" t="s">
        <v>79</v>
      </c>
      <c r="J1" s="11" t="s">
        <v>80</v>
      </c>
      <c r="K1" s="11" t="s">
        <v>6</v>
      </c>
      <c r="L1" s="11" t="s">
        <v>82</v>
      </c>
      <c r="M1" s="11" t="s">
        <v>83</v>
      </c>
      <c r="N1" s="11" t="s">
        <v>84</v>
      </c>
      <c r="O1" s="11" t="s">
        <v>5</v>
      </c>
      <c r="P1" s="11" t="s">
        <v>85</v>
      </c>
      <c r="Q1" s="11" t="s">
        <v>126</v>
      </c>
      <c r="R1" s="11" t="s">
        <v>127</v>
      </c>
      <c r="U1" s="6" t="s">
        <v>125</v>
      </c>
    </row>
    <row r="2" spans="1:21" ht="22.5" customHeight="1">
      <c r="A2" s="15">
        <v>1</v>
      </c>
      <c r="B2" s="16" t="s">
        <v>13</v>
      </c>
      <c r="C2" s="15" t="s">
        <v>97</v>
      </c>
      <c r="D2" s="18"/>
      <c r="E2" s="16">
        <v>3006.15</v>
      </c>
      <c r="F2" s="18"/>
      <c r="G2" s="16">
        <v>0</v>
      </c>
      <c r="H2" s="16">
        <f ca="1">IFERROR(__xludf.DUMMYFUNCTION("IFNA(GOOGLEFINANCE(""NSE:""&amp;B2,""price""),0)"),2543.2)</f>
        <v>2543.1999999999998</v>
      </c>
      <c r="I2" s="15">
        <v>3</v>
      </c>
      <c r="J2" s="16">
        <f t="shared" ref="J2:J50" si="0">E2*I2</f>
        <v>9018.4500000000007</v>
      </c>
      <c r="K2" s="16">
        <f t="shared" ref="K2:K50" ca="1" si="1">IF(G2&gt;0,0,(H2-E2)*I2)</f>
        <v>-1388.8500000000008</v>
      </c>
      <c r="L2" s="19">
        <f t="shared" ref="L2:L50" ca="1" si="2">IFERROR(IF(G2&gt;0,0,(H2-E2)/E2),0)</f>
        <v>-0.15400096468905419</v>
      </c>
      <c r="M2" s="16">
        <f ca="1">IFERROR(__xludf.DUMMYFUNCTION("IF(G2&gt;0,0, IFNA(GOOGLEFINANCE(""NSE:""&amp;B2,""change""),0))"),-38.4)</f>
        <v>-38.4</v>
      </c>
      <c r="N2" s="16">
        <f t="shared" ref="N2:N50" ca="1" si="3">M2*I2</f>
        <v>-115.19999999999999</v>
      </c>
      <c r="O2" s="16">
        <f t="shared" ref="O2:O50" si="4">IF(G2=0,0,(G2-E2)*I2)</f>
        <v>0</v>
      </c>
      <c r="P2" s="19">
        <f t="shared" ref="P2:P50" si="5">IF(G2&gt;0,(G2-E2)/E2,0)</f>
        <v>0</v>
      </c>
      <c r="Q2" s="27"/>
      <c r="R2" s="113"/>
      <c r="S2" s="114" t="s">
        <v>275</v>
      </c>
      <c r="T2" s="134"/>
      <c r="U2" s="115"/>
    </row>
    <row r="3" spans="1:21" ht="22.5" customHeight="1">
      <c r="A3" s="15">
        <v>2</v>
      </c>
      <c r="B3" s="16" t="s">
        <v>17</v>
      </c>
      <c r="C3" s="15" t="s">
        <v>97</v>
      </c>
      <c r="D3" s="18"/>
      <c r="E3" s="16">
        <v>123.5</v>
      </c>
      <c r="F3" s="18"/>
      <c r="G3" s="16">
        <v>0</v>
      </c>
      <c r="H3" s="16">
        <f ca="1">IFERROR(__xludf.DUMMYFUNCTION("IFNA(GOOGLEFINANCE(""NSE:""&amp;B3,""price""),0)"),178.1)</f>
        <v>178.1</v>
      </c>
      <c r="I3" s="15">
        <v>14</v>
      </c>
      <c r="J3" s="16">
        <f t="shared" si="0"/>
        <v>1729</v>
      </c>
      <c r="K3" s="16">
        <f t="shared" ca="1" si="1"/>
        <v>764.39999999999986</v>
      </c>
      <c r="L3" s="19">
        <f t="shared" ca="1" si="2"/>
        <v>0.44210526315789467</v>
      </c>
      <c r="M3" s="16">
        <f ca="1">IFERROR(__xludf.DUMMYFUNCTION("IF(G3&gt;0,0, IFNA(GOOGLEFINANCE(""NSE:""&amp;B3,""change""),0))"),1.05)</f>
        <v>1.05</v>
      </c>
      <c r="N3" s="16">
        <f t="shared" ca="1" si="3"/>
        <v>14.700000000000001</v>
      </c>
      <c r="O3" s="16">
        <f t="shared" si="4"/>
        <v>0</v>
      </c>
      <c r="P3" s="19">
        <f t="shared" si="5"/>
        <v>0</v>
      </c>
      <c r="Q3" s="15"/>
      <c r="R3" s="114" t="s">
        <v>4</v>
      </c>
      <c r="S3" s="113" t="s">
        <v>8</v>
      </c>
      <c r="T3" s="135" t="s">
        <v>9</v>
      </c>
      <c r="U3" s="116" t="s">
        <v>10</v>
      </c>
    </row>
    <row r="4" spans="1:21" ht="22.5" customHeight="1">
      <c r="A4" s="15">
        <v>3</v>
      </c>
      <c r="B4" s="25" t="s">
        <v>21</v>
      </c>
      <c r="C4" s="15" t="s">
        <v>97</v>
      </c>
      <c r="D4" s="18"/>
      <c r="E4" s="16">
        <v>1053.95</v>
      </c>
      <c r="F4" s="18"/>
      <c r="G4" s="16">
        <v>0</v>
      </c>
      <c r="H4" s="16">
        <f ca="1">IFERROR(__xludf.DUMMYFUNCTION("IFNA(GOOGLEFINANCE(""NSE:""&amp;B4,""price""),0)"),1224.5)</f>
        <v>1224.5</v>
      </c>
      <c r="I4" s="15">
        <v>10</v>
      </c>
      <c r="J4" s="16">
        <f t="shared" si="0"/>
        <v>10539.5</v>
      </c>
      <c r="K4" s="16">
        <f t="shared" ca="1" si="1"/>
        <v>1705.4999999999995</v>
      </c>
      <c r="L4" s="19">
        <f t="shared" ca="1" si="2"/>
        <v>0.16181982067460501</v>
      </c>
      <c r="M4" s="16">
        <f ca="1">IFERROR(__xludf.DUMMYFUNCTION("IF(G4&gt;0,0, IFNA(GOOGLEFINANCE(""NSE:""&amp;B4,""change""),0))"),-8.7)</f>
        <v>-8.6999999999999993</v>
      </c>
      <c r="N4" s="16">
        <f t="shared" ca="1" si="3"/>
        <v>-87</v>
      </c>
      <c r="O4" s="16">
        <f t="shared" si="4"/>
        <v>0</v>
      </c>
      <c r="P4" s="19">
        <f t="shared" si="5"/>
        <v>0</v>
      </c>
      <c r="Q4" s="15"/>
      <c r="R4" s="136" t="s">
        <v>11</v>
      </c>
      <c r="S4" s="117">
        <v>0</v>
      </c>
      <c r="T4" s="137">
        <v>-2305.5700000000002</v>
      </c>
      <c r="U4" s="118">
        <v>-37.550000000000004</v>
      </c>
    </row>
    <row r="5" spans="1:21" ht="22.5" customHeight="1">
      <c r="A5" s="15">
        <v>4</v>
      </c>
      <c r="B5" s="25" t="s">
        <v>25</v>
      </c>
      <c r="C5" s="15" t="s">
        <v>97</v>
      </c>
      <c r="D5" s="18">
        <v>45288</v>
      </c>
      <c r="E5" s="16">
        <v>524</v>
      </c>
      <c r="F5" s="18">
        <v>45852</v>
      </c>
      <c r="G5" s="16">
        <v>1549.15</v>
      </c>
      <c r="H5" s="16">
        <f ca="1">IFERROR(__xludf.DUMMYFUNCTION("IFNA(GOOGLEFINANCE(""NSE:""&amp;B5,""price""),0)"),1658)</f>
        <v>1658</v>
      </c>
      <c r="I5" s="15">
        <v>8</v>
      </c>
      <c r="J5" s="16">
        <f t="shared" si="0"/>
        <v>4192</v>
      </c>
      <c r="K5" s="16">
        <f t="shared" si="1"/>
        <v>0</v>
      </c>
      <c r="L5" s="19">
        <f t="shared" si="2"/>
        <v>0</v>
      </c>
      <c r="M5" s="16">
        <f ca="1">IFERROR(__xludf.DUMMYFUNCTION("IF(G5&gt;0,0, IFNA(GOOGLEFINANCE(""NSE:""&amp;B5,""change""),0))"),0)</f>
        <v>0</v>
      </c>
      <c r="N5" s="16">
        <f t="shared" ca="1" si="3"/>
        <v>0</v>
      </c>
      <c r="O5" s="16">
        <f t="shared" si="4"/>
        <v>8201.2000000000007</v>
      </c>
      <c r="P5" s="19">
        <f t="shared" si="5"/>
        <v>1.9563931297709924</v>
      </c>
      <c r="Q5" s="15"/>
      <c r="R5" s="138" t="s">
        <v>13</v>
      </c>
      <c r="S5" s="120">
        <v>0</v>
      </c>
      <c r="T5" s="139">
        <v>-1388.8500000000008</v>
      </c>
      <c r="U5" s="121">
        <v>-115.19999999999999</v>
      </c>
    </row>
    <row r="6" spans="1:21" ht="22.5" customHeight="1">
      <c r="A6" s="15">
        <v>5</v>
      </c>
      <c r="B6" s="16" t="s">
        <v>29</v>
      </c>
      <c r="C6" s="15" t="s">
        <v>97</v>
      </c>
      <c r="D6" s="18"/>
      <c r="E6" s="16">
        <v>1750</v>
      </c>
      <c r="F6" s="18">
        <v>45863</v>
      </c>
      <c r="G6" s="16">
        <v>1948</v>
      </c>
      <c r="H6" s="16">
        <f ca="1">IFERROR(__xludf.DUMMYFUNCTION("IFNA(GOOGLEFINANCE(""NSE:""&amp;B6,""price""),0)"),2042)</f>
        <v>2042</v>
      </c>
      <c r="I6" s="15">
        <v>4</v>
      </c>
      <c r="J6" s="16">
        <f t="shared" si="0"/>
        <v>7000</v>
      </c>
      <c r="K6" s="16">
        <f t="shared" si="1"/>
        <v>0</v>
      </c>
      <c r="L6" s="19">
        <f t="shared" si="2"/>
        <v>0</v>
      </c>
      <c r="M6" s="16">
        <f ca="1">IFERROR(__xludf.DUMMYFUNCTION("IF(G6&gt;0,0, IFNA(GOOGLEFINANCE(""NSE:""&amp;B6,""change""),0))"),0)</f>
        <v>0</v>
      </c>
      <c r="N6" s="16">
        <f t="shared" ca="1" si="3"/>
        <v>0</v>
      </c>
      <c r="O6" s="16">
        <f t="shared" si="4"/>
        <v>792</v>
      </c>
      <c r="P6" s="19">
        <f t="shared" si="5"/>
        <v>0.11314285714285714</v>
      </c>
      <c r="Q6" s="15" t="s">
        <v>105</v>
      </c>
      <c r="R6" s="138" t="s">
        <v>17</v>
      </c>
      <c r="S6" s="120">
        <v>0</v>
      </c>
      <c r="T6" s="139">
        <v>1528.7999999999997</v>
      </c>
      <c r="U6" s="121">
        <v>29.400000000000002</v>
      </c>
    </row>
    <row r="7" spans="1:21" ht="22.5" customHeight="1">
      <c r="A7" s="15">
        <v>6</v>
      </c>
      <c r="B7" s="16" t="s">
        <v>22</v>
      </c>
      <c r="C7" s="15" t="s">
        <v>97</v>
      </c>
      <c r="D7" s="18"/>
      <c r="E7" s="16">
        <v>205.25</v>
      </c>
      <c r="F7" s="18"/>
      <c r="G7" s="16">
        <v>0</v>
      </c>
      <c r="H7" s="16">
        <f ca="1">IFERROR(__xludf.DUMMYFUNCTION("IFNA(GOOGLEFINANCE(""NSE:""&amp;B7,""price""),0)"),369.7)</f>
        <v>369.7</v>
      </c>
      <c r="I7" s="15">
        <v>66</v>
      </c>
      <c r="J7" s="16">
        <f t="shared" si="0"/>
        <v>13546.5</v>
      </c>
      <c r="K7" s="16">
        <f t="shared" ca="1" si="1"/>
        <v>10853.699999999999</v>
      </c>
      <c r="L7" s="19">
        <f t="shared" ca="1" si="2"/>
        <v>0.80121802679658949</v>
      </c>
      <c r="M7" s="16">
        <f ca="1">IFERROR(__xludf.DUMMYFUNCTION("IF(G7&gt;0,0, IFNA(GOOGLEFINANCE(""NSE:""&amp;B7,""change""),0))"),-0.2)</f>
        <v>-0.2</v>
      </c>
      <c r="N7" s="16">
        <f t="shared" ca="1" si="3"/>
        <v>-13.200000000000001</v>
      </c>
      <c r="O7" s="16">
        <f t="shared" si="4"/>
        <v>0</v>
      </c>
      <c r="P7" s="19">
        <f t="shared" si="5"/>
        <v>0</v>
      </c>
      <c r="Q7" s="15"/>
      <c r="R7" s="138" t="s">
        <v>21</v>
      </c>
      <c r="S7" s="120">
        <v>0</v>
      </c>
      <c r="T7" s="139">
        <v>1705.4999999999995</v>
      </c>
      <c r="U7" s="121">
        <v>-87</v>
      </c>
    </row>
    <row r="8" spans="1:21" ht="22.5" customHeight="1">
      <c r="A8" s="15">
        <v>7</v>
      </c>
      <c r="B8" s="16" t="s">
        <v>38</v>
      </c>
      <c r="C8" s="15" t="s">
        <v>97</v>
      </c>
      <c r="D8" s="18"/>
      <c r="E8" s="16">
        <v>443</v>
      </c>
      <c r="F8" s="18"/>
      <c r="G8" s="16">
        <v>0</v>
      </c>
      <c r="H8" s="16">
        <f ca="1">IFERROR(__xludf.DUMMYFUNCTION("IFNA(GOOGLEFINANCE(""NSE:""&amp;B8,""price""),0)"),400.65)</f>
        <v>400.65</v>
      </c>
      <c r="I8" s="15">
        <v>33</v>
      </c>
      <c r="J8" s="16">
        <f t="shared" si="0"/>
        <v>14619</v>
      </c>
      <c r="K8" s="16">
        <f t="shared" ca="1" si="1"/>
        <v>-1397.5500000000006</v>
      </c>
      <c r="L8" s="19">
        <f t="shared" ca="1" si="2"/>
        <v>-9.559819413092556E-2</v>
      </c>
      <c r="M8" s="16">
        <f ca="1">IFERROR(__xludf.DUMMYFUNCTION("IF(G8&gt;0,0, IFNA(GOOGLEFINANCE(""NSE:""&amp;B8,""change""),0))"),14.4)</f>
        <v>14.4</v>
      </c>
      <c r="N8" s="16">
        <f t="shared" ca="1" si="3"/>
        <v>475.2</v>
      </c>
      <c r="O8" s="16">
        <f t="shared" si="4"/>
        <v>0</v>
      </c>
      <c r="P8" s="19">
        <f t="shared" si="5"/>
        <v>0</v>
      </c>
      <c r="Q8" s="15"/>
      <c r="R8" s="138" t="s">
        <v>25</v>
      </c>
      <c r="S8" s="120">
        <v>8201.2000000000007</v>
      </c>
      <c r="T8" s="139">
        <v>0</v>
      </c>
      <c r="U8" s="121">
        <v>0</v>
      </c>
    </row>
    <row r="9" spans="1:21" ht="22.5" customHeight="1">
      <c r="A9" s="15">
        <v>8</v>
      </c>
      <c r="B9" s="16" t="s">
        <v>44</v>
      </c>
      <c r="C9" s="15" t="s">
        <v>97</v>
      </c>
      <c r="D9" s="18"/>
      <c r="E9" s="16">
        <v>1951</v>
      </c>
      <c r="F9" s="18">
        <v>45944</v>
      </c>
      <c r="G9" s="16">
        <v>2193</v>
      </c>
      <c r="H9" s="16">
        <f ca="1">IFERROR(__xludf.DUMMYFUNCTION("IFNA(GOOGLEFINANCE(""NSE:""&amp;B9,""price""),0)"),2059)</f>
        <v>2059</v>
      </c>
      <c r="I9" s="15">
        <v>5</v>
      </c>
      <c r="J9" s="16">
        <f t="shared" si="0"/>
        <v>9755</v>
      </c>
      <c r="K9" s="16">
        <f t="shared" si="1"/>
        <v>0</v>
      </c>
      <c r="L9" s="19">
        <f t="shared" si="2"/>
        <v>0</v>
      </c>
      <c r="M9" s="16">
        <f ca="1">IFERROR(__xludf.DUMMYFUNCTION("IF(G9&gt;0,0, IFNA(GOOGLEFINANCE(""NSE:""&amp;B9,""change""),0))"),0)</f>
        <v>0</v>
      </c>
      <c r="N9" s="16">
        <f t="shared" ca="1" si="3"/>
        <v>0</v>
      </c>
      <c r="O9" s="16">
        <f t="shared" si="4"/>
        <v>1210</v>
      </c>
      <c r="P9" s="19">
        <f t="shared" si="5"/>
        <v>0.12403895438236802</v>
      </c>
      <c r="Q9" s="15" t="s">
        <v>105</v>
      </c>
      <c r="R9" s="138" t="s">
        <v>29</v>
      </c>
      <c r="S9" s="120">
        <v>792</v>
      </c>
      <c r="T9" s="139">
        <v>0</v>
      </c>
      <c r="U9" s="121">
        <v>0</v>
      </c>
    </row>
    <row r="10" spans="1:21" ht="22.5" customHeight="1">
      <c r="A10" s="15">
        <v>9</v>
      </c>
      <c r="B10" s="27" t="s">
        <v>46</v>
      </c>
      <c r="C10" s="15" t="s">
        <v>97</v>
      </c>
      <c r="D10" s="18"/>
      <c r="E10" s="16">
        <v>4417.1499999999996</v>
      </c>
      <c r="F10" s="18">
        <v>45954</v>
      </c>
      <c r="G10" s="16">
        <v>6800</v>
      </c>
      <c r="H10" s="16">
        <f ca="1">IFERROR(__xludf.DUMMYFUNCTION("IFNA(GOOGLEFINANCE(""NSE:""&amp;B10,""price""),0)"),7290)</f>
        <v>7290</v>
      </c>
      <c r="I10" s="15">
        <v>1</v>
      </c>
      <c r="J10" s="16">
        <f t="shared" si="0"/>
        <v>4417.1499999999996</v>
      </c>
      <c r="K10" s="16">
        <f t="shared" si="1"/>
        <v>0</v>
      </c>
      <c r="L10" s="19">
        <f t="shared" si="2"/>
        <v>0</v>
      </c>
      <c r="M10" s="16">
        <f ca="1">IFERROR(__xludf.DUMMYFUNCTION("IF(G10&gt;0,0, IFNA(GOOGLEFINANCE(""NSE:""&amp;B10,""change""),0))"),0)</f>
        <v>0</v>
      </c>
      <c r="N10" s="16">
        <f t="shared" ca="1" si="3"/>
        <v>0</v>
      </c>
      <c r="O10" s="16">
        <f t="shared" si="4"/>
        <v>2382.8500000000004</v>
      </c>
      <c r="P10" s="19">
        <f t="shared" si="5"/>
        <v>0.53945417293956521</v>
      </c>
      <c r="Q10" s="15" t="s">
        <v>105</v>
      </c>
      <c r="R10" s="138" t="s">
        <v>33</v>
      </c>
      <c r="S10" s="120">
        <v>0</v>
      </c>
      <c r="T10" s="139">
        <v>11.600000000000364</v>
      </c>
      <c r="U10" s="121">
        <v>6</v>
      </c>
    </row>
    <row r="11" spans="1:21" ht="22.5" customHeight="1">
      <c r="A11" s="15">
        <v>10</v>
      </c>
      <c r="B11" s="15" t="s">
        <v>50</v>
      </c>
      <c r="C11" s="15" t="s">
        <v>97</v>
      </c>
      <c r="D11" s="18"/>
      <c r="E11" s="16">
        <v>110.8</v>
      </c>
      <c r="F11" s="18"/>
      <c r="G11" s="16">
        <v>0</v>
      </c>
      <c r="H11" s="16">
        <f ca="1">IFERROR(__xludf.DUMMYFUNCTION("IFNA(GOOGLEFINANCE(""NSE:""&amp;B11,""price""),0)"),284.25)</f>
        <v>284.25</v>
      </c>
      <c r="I11" s="15">
        <v>51</v>
      </c>
      <c r="J11" s="16">
        <f t="shared" si="0"/>
        <v>5650.8</v>
      </c>
      <c r="K11" s="16">
        <f t="shared" ca="1" si="1"/>
        <v>8845.9499999999989</v>
      </c>
      <c r="L11" s="19">
        <f t="shared" ca="1" si="2"/>
        <v>1.5654332129963899</v>
      </c>
      <c r="M11" s="16">
        <f ca="1">IFERROR(__xludf.DUMMYFUNCTION("IF(G11&gt;0,0, IFNA(GOOGLEFINANCE(""NSE:""&amp;B11,""change""),0))"),-2.45)</f>
        <v>-2.4500000000000002</v>
      </c>
      <c r="N11" s="16">
        <f t="shared" ca="1" si="3"/>
        <v>-124.95</v>
      </c>
      <c r="O11" s="16">
        <f t="shared" si="4"/>
        <v>0</v>
      </c>
      <c r="P11" s="19">
        <f t="shared" si="5"/>
        <v>0</v>
      </c>
      <c r="Q11" s="15"/>
      <c r="R11" s="138" t="s">
        <v>22</v>
      </c>
      <c r="S11" s="120">
        <v>0</v>
      </c>
      <c r="T11" s="139">
        <v>10853.699999999999</v>
      </c>
      <c r="U11" s="121">
        <v>-13.200000000000001</v>
      </c>
    </row>
    <row r="12" spans="1:21" ht="22.5" customHeight="1">
      <c r="A12" s="15">
        <v>11</v>
      </c>
      <c r="B12" s="15" t="s">
        <v>50</v>
      </c>
      <c r="C12" s="15" t="s">
        <v>97</v>
      </c>
      <c r="D12" s="18"/>
      <c r="E12" s="16">
        <v>110.8</v>
      </c>
      <c r="F12" s="18">
        <v>45994</v>
      </c>
      <c r="G12" s="16">
        <v>300</v>
      </c>
      <c r="H12" s="16">
        <f ca="1">IFERROR(__xludf.DUMMYFUNCTION("IFNA(GOOGLEFINANCE(""NSE:""&amp;B12,""price""),0)"),284.25)</f>
        <v>284.25</v>
      </c>
      <c r="I12" s="15">
        <v>51</v>
      </c>
      <c r="J12" s="16">
        <f t="shared" si="0"/>
        <v>5650.8</v>
      </c>
      <c r="K12" s="16">
        <f t="shared" si="1"/>
        <v>0</v>
      </c>
      <c r="L12" s="19">
        <f t="shared" si="2"/>
        <v>0</v>
      </c>
      <c r="M12" s="16">
        <f ca="1">IFERROR(__xludf.DUMMYFUNCTION("IF(G12&gt;0,0, IFNA(GOOGLEFINANCE(""NSE:""&amp;B12,""change""),0))"),0)</f>
        <v>0</v>
      </c>
      <c r="N12" s="16">
        <f t="shared" ca="1" si="3"/>
        <v>0</v>
      </c>
      <c r="O12" s="16">
        <f t="shared" si="4"/>
        <v>9649.1999999999989</v>
      </c>
      <c r="P12" s="19">
        <f t="shared" si="5"/>
        <v>1.7075812274368229</v>
      </c>
      <c r="Q12" s="15" t="s">
        <v>128</v>
      </c>
      <c r="R12" s="138" t="s">
        <v>38</v>
      </c>
      <c r="S12" s="120">
        <v>0</v>
      </c>
      <c r="T12" s="139">
        <v>-1397.5500000000006</v>
      </c>
      <c r="U12" s="121">
        <v>475.2</v>
      </c>
    </row>
    <row r="13" spans="1:21" ht="22.5" customHeight="1">
      <c r="A13" s="15">
        <v>12</v>
      </c>
      <c r="B13" s="16" t="s">
        <v>53</v>
      </c>
      <c r="C13" s="15" t="s">
        <v>97</v>
      </c>
      <c r="D13" s="18"/>
      <c r="E13" s="16">
        <v>675</v>
      </c>
      <c r="F13" s="18"/>
      <c r="G13" s="16">
        <v>0</v>
      </c>
      <c r="H13" s="16">
        <f ca="1">IFERROR(__xludf.DUMMYFUNCTION("IFNA(GOOGLEFINANCE(""NSE:""&amp;B13,""price""),0)"),863.85)</f>
        <v>863.85</v>
      </c>
      <c r="I13" s="15">
        <v>10</v>
      </c>
      <c r="J13" s="16">
        <f t="shared" si="0"/>
        <v>6750</v>
      </c>
      <c r="K13" s="16">
        <f t="shared" ca="1" si="1"/>
        <v>1888.5000000000002</v>
      </c>
      <c r="L13" s="19">
        <f t="shared" ca="1" si="2"/>
        <v>0.27977777777777779</v>
      </c>
      <c r="M13" s="16">
        <f ca="1">IFERROR(__xludf.DUMMYFUNCTION("IF(G13&gt;0,0, IFNA(GOOGLEFINANCE(""NSE:""&amp;B13,""change""),0))"),-0.7)</f>
        <v>-0.7</v>
      </c>
      <c r="N13" s="16">
        <f t="shared" ca="1" si="3"/>
        <v>-7</v>
      </c>
      <c r="O13" s="16">
        <f t="shared" si="4"/>
        <v>0</v>
      </c>
      <c r="P13" s="19">
        <f t="shared" si="5"/>
        <v>0</v>
      </c>
      <c r="Q13" s="15"/>
      <c r="R13" s="138" t="s">
        <v>26</v>
      </c>
      <c r="S13" s="120">
        <v>0</v>
      </c>
      <c r="T13" s="139">
        <v>-29.869999999999692</v>
      </c>
      <c r="U13" s="121">
        <v>84.49</v>
      </c>
    </row>
    <row r="14" spans="1:21" ht="22.5" customHeight="1">
      <c r="A14" s="15">
        <v>13</v>
      </c>
      <c r="B14" s="16" t="s">
        <v>41</v>
      </c>
      <c r="C14" s="15" t="s">
        <v>97</v>
      </c>
      <c r="D14" s="18"/>
      <c r="E14" s="16">
        <v>1087.05</v>
      </c>
      <c r="F14" s="18"/>
      <c r="G14" s="16">
        <v>0</v>
      </c>
      <c r="H14" s="16">
        <f ca="1">IFERROR(__xludf.DUMMYFUNCTION("IFNA(GOOGLEFINANCE(""NSE:""&amp;B14,""price""),0)"),1362.4)</f>
        <v>1362.4</v>
      </c>
      <c r="I14" s="15">
        <v>20</v>
      </c>
      <c r="J14" s="16">
        <f t="shared" si="0"/>
        <v>21741</v>
      </c>
      <c r="K14" s="16">
        <f t="shared" ca="1" si="1"/>
        <v>5507.0000000000027</v>
      </c>
      <c r="L14" s="19">
        <f t="shared" ca="1" si="2"/>
        <v>0.25330021618140852</v>
      </c>
      <c r="M14" s="16">
        <f ca="1">IFERROR(__xludf.DUMMYFUNCTION("IF(G14&gt;0,0, IFNA(GOOGLEFINANCE(""NSE:""&amp;B14,""change""),0))"),-6.1)</f>
        <v>-6.1</v>
      </c>
      <c r="N14" s="16">
        <f t="shared" ca="1" si="3"/>
        <v>-122</v>
      </c>
      <c r="O14" s="16">
        <f t="shared" si="4"/>
        <v>0</v>
      </c>
      <c r="P14" s="19">
        <f t="shared" si="5"/>
        <v>0</v>
      </c>
      <c r="Q14" s="15"/>
      <c r="R14" s="138" t="s">
        <v>44</v>
      </c>
      <c r="S14" s="120">
        <v>1210</v>
      </c>
      <c r="T14" s="139">
        <v>0</v>
      </c>
      <c r="U14" s="121">
        <v>0</v>
      </c>
    </row>
    <row r="15" spans="1:21" ht="22.5" customHeight="1">
      <c r="A15" s="15">
        <v>14</v>
      </c>
      <c r="B15" s="15" t="s">
        <v>31</v>
      </c>
      <c r="C15" s="15" t="s">
        <v>97</v>
      </c>
      <c r="D15" s="18"/>
      <c r="E15" s="16">
        <v>84.06</v>
      </c>
      <c r="F15" s="18"/>
      <c r="G15" s="16">
        <v>0</v>
      </c>
      <c r="H15" s="16">
        <f ca="1">IFERROR(__xludf.DUMMYFUNCTION("IFNA(GOOGLEFINANCE(""NSE:""&amp;B15,""price""),0)"),84.9)</f>
        <v>84.9</v>
      </c>
      <c r="I15" s="15">
        <v>140</v>
      </c>
      <c r="J15" s="16">
        <f t="shared" si="0"/>
        <v>11768.4</v>
      </c>
      <c r="K15" s="16">
        <f t="shared" ca="1" si="1"/>
        <v>117.60000000000048</v>
      </c>
      <c r="L15" s="19">
        <f t="shared" ca="1" si="2"/>
        <v>9.9928622412562857E-3</v>
      </c>
      <c r="M15" s="16">
        <f ca="1">IFERROR(__xludf.DUMMYFUNCTION("IF(G15&gt;0,0, IFNA(GOOGLEFINANCE(""NSE:""&amp;B15,""change""),0))"),-0.45)</f>
        <v>-0.45</v>
      </c>
      <c r="N15" s="16">
        <f t="shared" ca="1" si="3"/>
        <v>-63</v>
      </c>
      <c r="O15" s="16">
        <f t="shared" si="4"/>
        <v>0</v>
      </c>
      <c r="P15" s="19">
        <f t="shared" si="5"/>
        <v>0</v>
      </c>
      <c r="Q15" s="15"/>
      <c r="R15" s="138" t="s">
        <v>46</v>
      </c>
      <c r="S15" s="120">
        <v>2382.8500000000004</v>
      </c>
      <c r="T15" s="139">
        <v>0</v>
      </c>
      <c r="U15" s="121">
        <v>0</v>
      </c>
    </row>
    <row r="16" spans="1:21" ht="22.5" customHeight="1">
      <c r="A16" s="15">
        <v>15</v>
      </c>
      <c r="B16" s="16" t="s">
        <v>35</v>
      </c>
      <c r="C16" s="15" t="s">
        <v>97</v>
      </c>
      <c r="D16" s="18"/>
      <c r="E16" s="16">
        <v>1000.05</v>
      </c>
      <c r="F16" s="18"/>
      <c r="G16" s="16">
        <v>0</v>
      </c>
      <c r="H16" s="16">
        <f ca="1">IFERROR(__xludf.DUMMYFUNCTION("IFNA(GOOGLEFINANCE(""NSE:""&amp;B16,""price""),0)"),680.5)</f>
        <v>680.5</v>
      </c>
      <c r="I16" s="15">
        <v>10</v>
      </c>
      <c r="J16" s="16">
        <f t="shared" si="0"/>
        <v>10000.5</v>
      </c>
      <c r="K16" s="16">
        <f t="shared" ca="1" si="1"/>
        <v>-3195.4999999999995</v>
      </c>
      <c r="L16" s="19">
        <f t="shared" ca="1" si="2"/>
        <v>-0.31953402329883501</v>
      </c>
      <c r="M16" s="16">
        <f ca="1">IFERROR(__xludf.DUMMYFUNCTION("IF(G16&gt;0,0, IFNA(GOOGLEFINANCE(""NSE:""&amp;B16,""change""),0))"),-1.15)</f>
        <v>-1.1499999999999999</v>
      </c>
      <c r="N16" s="16">
        <f t="shared" ca="1" si="3"/>
        <v>-11.5</v>
      </c>
      <c r="O16" s="16">
        <f t="shared" si="4"/>
        <v>0</v>
      </c>
      <c r="P16" s="19">
        <f t="shared" si="5"/>
        <v>0</v>
      </c>
      <c r="Q16" s="15"/>
      <c r="R16" s="138" t="s">
        <v>50</v>
      </c>
      <c r="S16" s="120">
        <v>9649.1999999999989</v>
      </c>
      <c r="T16" s="139">
        <v>8845.9499999999989</v>
      </c>
      <c r="U16" s="121">
        <v>-124.95</v>
      </c>
    </row>
    <row r="17" spans="1:21" ht="22.5" customHeight="1">
      <c r="A17" s="15">
        <v>16</v>
      </c>
      <c r="B17" s="16" t="s">
        <v>32</v>
      </c>
      <c r="C17" s="15" t="s">
        <v>97</v>
      </c>
      <c r="D17" s="18"/>
      <c r="E17" s="16">
        <v>68.05</v>
      </c>
      <c r="F17" s="18"/>
      <c r="G17" s="16">
        <v>0</v>
      </c>
      <c r="H17" s="16">
        <f ca="1">IFERROR(__xludf.DUMMYFUNCTION("IFNA(GOOGLEFINANCE(""NSE:""&amp;B17,""price""),0)"),139)</f>
        <v>139</v>
      </c>
      <c r="I17" s="15">
        <v>200</v>
      </c>
      <c r="J17" s="16">
        <f t="shared" si="0"/>
        <v>13610</v>
      </c>
      <c r="K17" s="16">
        <f t="shared" ca="1" si="1"/>
        <v>14190</v>
      </c>
      <c r="L17" s="19">
        <f t="shared" ca="1" si="2"/>
        <v>1.0426157237325497</v>
      </c>
      <c r="M17" s="16">
        <f ca="1">IFERROR(__xludf.DUMMYFUNCTION("IF(G17&gt;0,0, IFNA(GOOGLEFINANCE(""NSE:""&amp;B17,""change""),0))"),3.33)</f>
        <v>3.33</v>
      </c>
      <c r="N17" s="16">
        <f t="shared" ca="1" si="3"/>
        <v>666</v>
      </c>
      <c r="O17" s="16">
        <f t="shared" si="4"/>
        <v>0</v>
      </c>
      <c r="P17" s="19">
        <f t="shared" si="5"/>
        <v>0</v>
      </c>
      <c r="Q17" s="15"/>
      <c r="R17" s="138" t="s">
        <v>15</v>
      </c>
      <c r="S17" s="120">
        <v>0</v>
      </c>
      <c r="T17" s="139">
        <v>6184.9999999999982</v>
      </c>
      <c r="U17" s="121">
        <v>340.00000000000006</v>
      </c>
    </row>
    <row r="18" spans="1:21" ht="22.5" customHeight="1">
      <c r="A18" s="15">
        <v>17</v>
      </c>
      <c r="B18" s="15" t="s">
        <v>47</v>
      </c>
      <c r="C18" s="15" t="s">
        <v>97</v>
      </c>
      <c r="D18" s="18"/>
      <c r="E18" s="16">
        <v>391.19</v>
      </c>
      <c r="F18" s="18"/>
      <c r="G18" s="16">
        <v>0</v>
      </c>
      <c r="H18" s="16">
        <f ca="1">IFERROR(__xludf.DUMMYFUNCTION("IFNA(GOOGLEFINANCE(""NSE:""&amp;B18,""price""),0)"),408.85)</f>
        <v>408.85</v>
      </c>
      <c r="I18" s="15">
        <v>20</v>
      </c>
      <c r="J18" s="16">
        <f t="shared" si="0"/>
        <v>7823.8</v>
      </c>
      <c r="K18" s="16">
        <f t="shared" ca="1" si="1"/>
        <v>353.2000000000005</v>
      </c>
      <c r="L18" s="19">
        <f t="shared" ca="1" si="2"/>
        <v>4.5144303279736252E-2</v>
      </c>
      <c r="M18" s="16">
        <f ca="1">IFERROR(__xludf.DUMMYFUNCTION("IF(G18&gt;0,0, IFNA(GOOGLEFINANCE(""NSE:""&amp;B18,""change""),0))"),6.15)</f>
        <v>6.15</v>
      </c>
      <c r="N18" s="16">
        <f t="shared" ca="1" si="3"/>
        <v>123</v>
      </c>
      <c r="O18" s="16">
        <f t="shared" si="4"/>
        <v>0</v>
      </c>
      <c r="P18" s="19">
        <f t="shared" si="5"/>
        <v>0</v>
      </c>
      <c r="Q18" s="15"/>
      <c r="R18" s="138" t="s">
        <v>53</v>
      </c>
      <c r="S18" s="120">
        <v>0</v>
      </c>
      <c r="T18" s="139">
        <v>1888.5000000000002</v>
      </c>
      <c r="U18" s="121">
        <v>-7</v>
      </c>
    </row>
    <row r="19" spans="1:21" ht="22.5" customHeight="1">
      <c r="A19" s="15">
        <v>18</v>
      </c>
      <c r="B19" s="27" t="s">
        <v>58</v>
      </c>
      <c r="C19" s="15" t="s">
        <v>97</v>
      </c>
      <c r="D19" s="18"/>
      <c r="E19" s="16">
        <v>611.05999999999995</v>
      </c>
      <c r="F19" s="18"/>
      <c r="G19" s="16">
        <v>0</v>
      </c>
      <c r="H19" s="16">
        <f ca="1">IFERROR(__xludf.DUMMYFUNCTION("IFNA(GOOGLEFINANCE(""NSE:""&amp;B19,""price""),0)"),194.6)</f>
        <v>194.6</v>
      </c>
      <c r="I19" s="15">
        <v>2</v>
      </c>
      <c r="J19" s="16">
        <f t="shared" si="0"/>
        <v>1222.1199999999999</v>
      </c>
      <c r="K19" s="16">
        <f t="shared" ca="1" si="1"/>
        <v>-832.91999999999985</v>
      </c>
      <c r="L19" s="19">
        <f t="shared" ca="1" si="2"/>
        <v>-0.68153700127647032</v>
      </c>
      <c r="M19" s="16">
        <f ca="1">IFERROR(__xludf.DUMMYFUNCTION("IF(G19&gt;0,0, IFNA(GOOGLEFINANCE(""NSE:""&amp;B19,""change""),0))"),-1.64)</f>
        <v>-1.64</v>
      </c>
      <c r="N19" s="16">
        <f t="shared" ca="1" si="3"/>
        <v>-3.28</v>
      </c>
      <c r="O19" s="16">
        <f t="shared" si="4"/>
        <v>0</v>
      </c>
      <c r="P19" s="19">
        <f t="shared" si="5"/>
        <v>0</v>
      </c>
      <c r="Q19" s="15"/>
      <c r="R19" s="138" t="s">
        <v>27</v>
      </c>
      <c r="S19" s="120">
        <v>0</v>
      </c>
      <c r="T19" s="139">
        <v>10215.580000000002</v>
      </c>
      <c r="U19" s="121">
        <v>256.94</v>
      </c>
    </row>
    <row r="20" spans="1:21" ht="22.5" customHeight="1">
      <c r="A20" s="15">
        <v>19</v>
      </c>
      <c r="B20" s="16" t="s">
        <v>36</v>
      </c>
      <c r="C20" s="15" t="s">
        <v>97</v>
      </c>
      <c r="D20" s="18"/>
      <c r="E20" s="16">
        <v>192.52</v>
      </c>
      <c r="F20" s="18">
        <v>46000</v>
      </c>
      <c r="G20" s="16">
        <v>291</v>
      </c>
      <c r="H20" s="16">
        <f ca="1">IFERROR(__xludf.DUMMYFUNCTION("IFNA(GOOGLEFINANCE(""NSE:""&amp;B20,""price""),0)"),298.5)</f>
        <v>298.5</v>
      </c>
      <c r="I20" s="15">
        <v>25</v>
      </c>
      <c r="J20" s="16">
        <f t="shared" si="0"/>
        <v>4813</v>
      </c>
      <c r="K20" s="16">
        <f t="shared" si="1"/>
        <v>0</v>
      </c>
      <c r="L20" s="19">
        <f t="shared" si="2"/>
        <v>0</v>
      </c>
      <c r="M20" s="16">
        <f ca="1">IFERROR(__xludf.DUMMYFUNCTION("IF(G20&gt;0,0, IFNA(GOOGLEFINANCE(""NSE:""&amp;B20,""change""),0))"),0)</f>
        <v>0</v>
      </c>
      <c r="N20" s="16">
        <f t="shared" ca="1" si="3"/>
        <v>0</v>
      </c>
      <c r="O20" s="16">
        <f t="shared" si="4"/>
        <v>2461.9999999999995</v>
      </c>
      <c r="P20" s="19">
        <f t="shared" si="5"/>
        <v>0.5115312694784957</v>
      </c>
      <c r="Q20" s="15"/>
      <c r="R20" s="138" t="s">
        <v>41</v>
      </c>
      <c r="S20" s="120">
        <v>0</v>
      </c>
      <c r="T20" s="139">
        <v>5507.0000000000027</v>
      </c>
      <c r="U20" s="121">
        <v>-122</v>
      </c>
    </row>
    <row r="21" spans="1:21" ht="22.5" customHeight="1">
      <c r="A21" s="15">
        <v>20</v>
      </c>
      <c r="B21" s="16" t="s">
        <v>59</v>
      </c>
      <c r="C21" s="15" t="s">
        <v>97</v>
      </c>
      <c r="D21" s="18"/>
      <c r="E21" s="16">
        <v>3474.74</v>
      </c>
      <c r="F21" s="18"/>
      <c r="G21" s="16">
        <v>0</v>
      </c>
      <c r="H21" s="16">
        <f ca="1">IFERROR(__xludf.DUMMYFUNCTION("IFNA(GOOGLEFINANCE(""NSE:""&amp;B21,""price""),0)"),4070)</f>
        <v>4070</v>
      </c>
      <c r="I21" s="15">
        <v>5</v>
      </c>
      <c r="J21" s="16">
        <f t="shared" si="0"/>
        <v>17373.699999999997</v>
      </c>
      <c r="K21" s="16">
        <f t="shared" ca="1" si="1"/>
        <v>2976.3000000000011</v>
      </c>
      <c r="L21" s="19">
        <f t="shared" ca="1" si="2"/>
        <v>0.17131065921479025</v>
      </c>
      <c r="M21" s="16">
        <f ca="1">IFERROR(__xludf.DUMMYFUNCTION("IF(G21&gt;0,0, IFNA(GOOGLEFINANCE(""NSE:""&amp;B21,""change""),0))"),-2.4)</f>
        <v>-2.4</v>
      </c>
      <c r="N21" s="16">
        <f t="shared" ca="1" si="3"/>
        <v>-12</v>
      </c>
      <c r="O21" s="16">
        <f t="shared" si="4"/>
        <v>0</v>
      </c>
      <c r="P21" s="19">
        <f t="shared" si="5"/>
        <v>0</v>
      </c>
      <c r="Q21" s="15"/>
      <c r="R21" s="138" t="s">
        <v>31</v>
      </c>
      <c r="S21" s="120">
        <v>0</v>
      </c>
      <c r="T21" s="139">
        <v>117.60000000000048</v>
      </c>
      <c r="U21" s="121">
        <v>-63</v>
      </c>
    </row>
    <row r="22" spans="1:21" ht="22.5" customHeight="1">
      <c r="A22" s="15">
        <v>21</v>
      </c>
      <c r="B22" s="16" t="s">
        <v>63</v>
      </c>
      <c r="C22" s="15" t="s">
        <v>97</v>
      </c>
      <c r="D22" s="18"/>
      <c r="E22" s="16">
        <v>263</v>
      </c>
      <c r="F22" s="18"/>
      <c r="G22" s="16">
        <v>0</v>
      </c>
      <c r="H22" s="16">
        <f ca="1">IFERROR(__xludf.DUMMYFUNCTION("IFNA(GOOGLEFINANCE(""NSE:""&amp;B22,""price""),0)"),253.65)</f>
        <v>253.65</v>
      </c>
      <c r="I22" s="15">
        <v>57</v>
      </c>
      <c r="J22" s="16">
        <f t="shared" si="0"/>
        <v>14991</v>
      </c>
      <c r="K22" s="16">
        <f t="shared" ca="1" si="1"/>
        <v>-532.9499999999997</v>
      </c>
      <c r="L22" s="19">
        <f t="shared" ca="1" si="2"/>
        <v>-3.5551330798479067E-2</v>
      </c>
      <c r="M22" s="16">
        <f ca="1">IFERROR(__xludf.DUMMYFUNCTION("IF(G22&gt;0,0, IFNA(GOOGLEFINANCE(""NSE:""&amp;B22,""change""),0))"),1.35)</f>
        <v>1.35</v>
      </c>
      <c r="N22" s="16">
        <f t="shared" ca="1" si="3"/>
        <v>76.95</v>
      </c>
      <c r="O22" s="16">
        <f t="shared" si="4"/>
        <v>0</v>
      </c>
      <c r="P22" s="19">
        <f t="shared" si="5"/>
        <v>0</v>
      </c>
      <c r="Q22" s="15"/>
      <c r="R22" s="138" t="s">
        <v>35</v>
      </c>
      <c r="S22" s="120">
        <v>0</v>
      </c>
      <c r="T22" s="139">
        <v>-3195.4999999999995</v>
      </c>
      <c r="U22" s="121">
        <v>-11.5</v>
      </c>
    </row>
    <row r="23" spans="1:21" ht="22.5" customHeight="1">
      <c r="A23" s="15">
        <v>22</v>
      </c>
      <c r="B23" s="16" t="s">
        <v>64</v>
      </c>
      <c r="C23" s="15" t="s">
        <v>97</v>
      </c>
      <c r="D23" s="18"/>
      <c r="E23" s="16">
        <v>4322</v>
      </c>
      <c r="F23" s="18"/>
      <c r="G23" s="16">
        <v>0</v>
      </c>
      <c r="H23" s="16">
        <f ca="1">IFERROR(__xludf.DUMMYFUNCTION("IFNA(GOOGLEFINANCE(""NSE:""&amp;B23,""price""),0)"),7638)</f>
        <v>7638</v>
      </c>
      <c r="I23" s="15">
        <v>1</v>
      </c>
      <c r="J23" s="16">
        <f t="shared" si="0"/>
        <v>4322</v>
      </c>
      <c r="K23" s="16">
        <f t="shared" ca="1" si="1"/>
        <v>3316</v>
      </c>
      <c r="L23" s="19">
        <f t="shared" ca="1" si="2"/>
        <v>0.76723739009717729</v>
      </c>
      <c r="M23" s="16">
        <f ca="1">IFERROR(__xludf.DUMMYFUNCTION("IF(G23&gt;0,0, IFNA(GOOGLEFINANCE(""NSE:""&amp;B23,""change""),0))"),35)</f>
        <v>35</v>
      </c>
      <c r="N23" s="16">
        <f t="shared" ca="1" si="3"/>
        <v>35</v>
      </c>
      <c r="O23" s="16">
        <f t="shared" si="4"/>
        <v>0</v>
      </c>
      <c r="P23" s="19">
        <f t="shared" si="5"/>
        <v>0</v>
      </c>
      <c r="Q23" s="15"/>
      <c r="R23" s="138" t="s">
        <v>32</v>
      </c>
      <c r="S23" s="120">
        <v>0</v>
      </c>
      <c r="T23" s="139">
        <v>14190</v>
      </c>
      <c r="U23" s="121">
        <v>666</v>
      </c>
    </row>
    <row r="24" spans="1:21" ht="22.5" customHeight="1">
      <c r="A24" s="15">
        <v>23</v>
      </c>
      <c r="B24" s="16" t="s">
        <v>39</v>
      </c>
      <c r="C24" s="15" t="s">
        <v>97</v>
      </c>
      <c r="D24" s="18"/>
      <c r="E24" s="16">
        <v>1237.1300000000001</v>
      </c>
      <c r="F24" s="18"/>
      <c r="G24" s="16">
        <v>0</v>
      </c>
      <c r="H24" s="16">
        <f ca="1">IFERROR(__xludf.DUMMYFUNCTION("IFNA(GOOGLEFINANCE(""NSE:""&amp;B24,""price""),0)"),1569)</f>
        <v>1569</v>
      </c>
      <c r="I24" s="15">
        <v>17</v>
      </c>
      <c r="J24" s="16">
        <f t="shared" si="0"/>
        <v>21031.210000000003</v>
      </c>
      <c r="K24" s="16">
        <f t="shared" ca="1" si="1"/>
        <v>5641.7899999999981</v>
      </c>
      <c r="L24" s="19">
        <f t="shared" ca="1" si="2"/>
        <v>0.26825798420537844</v>
      </c>
      <c r="M24" s="16">
        <f ca="1">IFERROR(__xludf.DUMMYFUNCTION("IF(G24&gt;0,0, IFNA(GOOGLEFINANCE(""NSE:""&amp;B24,""change""),0))"),-6.4)</f>
        <v>-6.4</v>
      </c>
      <c r="N24" s="16">
        <f t="shared" ca="1" si="3"/>
        <v>-108.80000000000001</v>
      </c>
      <c r="O24" s="16">
        <f t="shared" si="4"/>
        <v>0</v>
      </c>
      <c r="P24" s="19">
        <f t="shared" si="5"/>
        <v>0</v>
      </c>
      <c r="Q24" s="15"/>
      <c r="R24" s="138" t="s">
        <v>47</v>
      </c>
      <c r="S24" s="120">
        <v>0</v>
      </c>
      <c r="T24" s="139">
        <v>353.2000000000005</v>
      </c>
      <c r="U24" s="121">
        <v>123</v>
      </c>
    </row>
    <row r="25" spans="1:21" ht="22.5" customHeight="1">
      <c r="A25" s="15">
        <v>24</v>
      </c>
      <c r="B25" s="16" t="s">
        <v>65</v>
      </c>
      <c r="C25" s="15" t="s">
        <v>97</v>
      </c>
      <c r="D25" s="18"/>
      <c r="E25" s="16">
        <v>131.19999999999999</v>
      </c>
      <c r="F25" s="18"/>
      <c r="G25" s="16">
        <v>0</v>
      </c>
      <c r="H25" s="16">
        <f ca="1">IFERROR(__xludf.DUMMYFUNCTION("IFNA(GOOGLEFINANCE(""NSE:""&amp;B25,""price""),0)"),133)</f>
        <v>133</v>
      </c>
      <c r="I25" s="15">
        <v>20</v>
      </c>
      <c r="J25" s="16">
        <f t="shared" si="0"/>
        <v>2624</v>
      </c>
      <c r="K25" s="16">
        <f t="shared" ca="1" si="1"/>
        <v>36.000000000000227</v>
      </c>
      <c r="L25" s="19">
        <f t="shared" ca="1" si="2"/>
        <v>1.371951219512204E-2</v>
      </c>
      <c r="M25" s="16">
        <f ca="1">IFERROR(__xludf.DUMMYFUNCTION("IF(G25&gt;0,0, IFNA(GOOGLEFINANCE(""NSE:""&amp;B25,""change""),0))"),2.94)</f>
        <v>2.94</v>
      </c>
      <c r="N25" s="16">
        <f t="shared" ca="1" si="3"/>
        <v>58.8</v>
      </c>
      <c r="O25" s="16">
        <f t="shared" si="4"/>
        <v>0</v>
      </c>
      <c r="P25" s="19">
        <f t="shared" si="5"/>
        <v>0</v>
      </c>
      <c r="Q25" s="15"/>
      <c r="R25" s="138" t="s">
        <v>58</v>
      </c>
      <c r="S25" s="120">
        <v>0</v>
      </c>
      <c r="T25" s="139">
        <v>-832.91999999999985</v>
      </c>
      <c r="U25" s="121">
        <v>-3.28</v>
      </c>
    </row>
    <row r="26" spans="1:21" ht="22.5" customHeight="1">
      <c r="A26" s="15">
        <v>25</v>
      </c>
      <c r="B26" s="16" t="s">
        <v>66</v>
      </c>
      <c r="C26" s="15" t="s">
        <v>97</v>
      </c>
      <c r="D26" s="18"/>
      <c r="E26" s="16">
        <v>817.54</v>
      </c>
      <c r="F26" s="18"/>
      <c r="G26" s="16">
        <v>0</v>
      </c>
      <c r="H26" s="16">
        <f ca="1">IFERROR(__xludf.DUMMYFUNCTION("IFNA(GOOGLEFINANCE(""NSE:""&amp;B26,""price""),0)"),971.25)</f>
        <v>971.25</v>
      </c>
      <c r="I26" s="15">
        <v>10</v>
      </c>
      <c r="J26" s="16">
        <f t="shared" si="0"/>
        <v>8175.4</v>
      </c>
      <c r="K26" s="16">
        <f t="shared" ca="1" si="1"/>
        <v>1537.1000000000004</v>
      </c>
      <c r="L26" s="19">
        <f t="shared" ca="1" si="2"/>
        <v>0.18801526530811954</v>
      </c>
      <c r="M26" s="16">
        <f ca="1">IFERROR(__xludf.DUMMYFUNCTION("IF(G26&gt;0,0, IFNA(GOOGLEFINANCE(""NSE:""&amp;B26,""change""),0))"),-3.05)</f>
        <v>-3.05</v>
      </c>
      <c r="N26" s="16">
        <f t="shared" ca="1" si="3"/>
        <v>-30.5</v>
      </c>
      <c r="O26" s="16">
        <f t="shared" si="4"/>
        <v>0</v>
      </c>
      <c r="P26" s="19">
        <f t="shared" si="5"/>
        <v>0</v>
      </c>
      <c r="Q26" s="15"/>
      <c r="R26" s="138" t="s">
        <v>36</v>
      </c>
      <c r="S26" s="120">
        <v>2461.9999999999995</v>
      </c>
      <c r="T26" s="139">
        <v>0</v>
      </c>
      <c r="U26" s="121">
        <v>0</v>
      </c>
    </row>
    <row r="27" spans="1:21" ht="22.5" customHeight="1">
      <c r="A27" s="15">
        <v>26</v>
      </c>
      <c r="B27" s="16" t="s">
        <v>56</v>
      </c>
      <c r="C27" s="15" t="s">
        <v>97</v>
      </c>
      <c r="D27" s="18"/>
      <c r="E27" s="16">
        <v>1075</v>
      </c>
      <c r="F27" s="18"/>
      <c r="G27" s="16">
        <v>0</v>
      </c>
      <c r="H27" s="16">
        <f ca="1">IFERROR(__xludf.DUMMYFUNCTION("IFNA(GOOGLEFINANCE(""NSE:""&amp;B27,""price""),0)"),776.9)</f>
        <v>776.9</v>
      </c>
      <c r="I27" s="15">
        <v>4</v>
      </c>
      <c r="J27" s="16">
        <f t="shared" si="0"/>
        <v>4300</v>
      </c>
      <c r="K27" s="16">
        <f t="shared" ca="1" si="1"/>
        <v>-1192.4000000000001</v>
      </c>
      <c r="L27" s="19">
        <f t="shared" ca="1" si="2"/>
        <v>-0.27730232558139539</v>
      </c>
      <c r="M27" s="16">
        <f ca="1">IFERROR(__xludf.DUMMYFUNCTION("IF(G27&gt;0,0, IFNA(GOOGLEFINANCE(""NSE:""&amp;B27,""change""),0))"),8.4)</f>
        <v>8.4</v>
      </c>
      <c r="N27" s="16">
        <f t="shared" ca="1" si="3"/>
        <v>33.6</v>
      </c>
      <c r="O27" s="16">
        <f t="shared" si="4"/>
        <v>0</v>
      </c>
      <c r="P27" s="19">
        <f t="shared" si="5"/>
        <v>0</v>
      </c>
      <c r="Q27" s="15"/>
      <c r="R27" s="138" t="s">
        <v>59</v>
      </c>
      <c r="S27" s="120">
        <v>0</v>
      </c>
      <c r="T27" s="139">
        <v>2976.3000000000011</v>
      </c>
      <c r="U27" s="121">
        <v>-12</v>
      </c>
    </row>
    <row r="28" spans="1:21" ht="22.5" customHeight="1">
      <c r="A28" s="15">
        <v>27</v>
      </c>
      <c r="B28" s="15" t="s">
        <v>45</v>
      </c>
      <c r="C28" s="15" t="s">
        <v>97</v>
      </c>
      <c r="D28" s="18"/>
      <c r="E28" s="16">
        <v>445.81063499999999</v>
      </c>
      <c r="F28" s="18"/>
      <c r="G28" s="16">
        <v>0</v>
      </c>
      <c r="H28" s="16">
        <f ca="1">IFERROR(__xludf.DUMMYFUNCTION("IFNA(GOOGLEFINANCE(""NSE:""&amp;B28,""price""),0)"),362.6)</f>
        <v>362.6</v>
      </c>
      <c r="I28" s="15">
        <v>25</v>
      </c>
      <c r="J28" s="16">
        <f t="shared" si="0"/>
        <v>11145.265874999999</v>
      </c>
      <c r="K28" s="16">
        <f t="shared" ca="1" si="1"/>
        <v>-2080.2658749999991</v>
      </c>
      <c r="L28" s="19">
        <f t="shared" ca="1" si="2"/>
        <v>-0.18665017939735773</v>
      </c>
      <c r="M28" s="16">
        <f ca="1">IFERROR(__xludf.DUMMYFUNCTION("IF(G28&gt;0,0, IFNA(GOOGLEFINANCE(""NSE:""&amp;B28,""change""),0))"),3.45)</f>
        <v>3.45</v>
      </c>
      <c r="N28" s="16">
        <f t="shared" ca="1" si="3"/>
        <v>86.25</v>
      </c>
      <c r="O28" s="16">
        <f t="shared" si="4"/>
        <v>0</v>
      </c>
      <c r="P28" s="19">
        <f t="shared" si="5"/>
        <v>0</v>
      </c>
      <c r="Q28" s="15"/>
      <c r="R28" s="138" t="s">
        <v>52</v>
      </c>
      <c r="S28" s="120">
        <v>0</v>
      </c>
      <c r="T28" s="139">
        <v>13887.099999999999</v>
      </c>
      <c r="U28" s="121">
        <v>402.8</v>
      </c>
    </row>
    <row r="29" spans="1:21" ht="22.5" customHeight="1">
      <c r="A29" s="15">
        <v>28</v>
      </c>
      <c r="B29" s="15" t="s">
        <v>42</v>
      </c>
      <c r="C29" s="15" t="s">
        <v>97</v>
      </c>
      <c r="D29" s="18"/>
      <c r="E29" s="16">
        <v>201.699365</v>
      </c>
      <c r="F29" s="18"/>
      <c r="G29" s="16">
        <v>0</v>
      </c>
      <c r="H29" s="16">
        <f ca="1">IFERROR(__xludf.DUMMYFUNCTION("IFNA(GOOGLEFINANCE(""NSE:""&amp;B29,""price""),0)"),425.5)</f>
        <v>425.5</v>
      </c>
      <c r="I29" s="15">
        <v>25</v>
      </c>
      <c r="J29" s="16">
        <f t="shared" si="0"/>
        <v>5042.4841249999999</v>
      </c>
      <c r="K29" s="16">
        <f t="shared" ca="1" si="1"/>
        <v>5595.0158750000001</v>
      </c>
      <c r="L29" s="19">
        <f t="shared" ca="1" si="2"/>
        <v>1.109575307785426</v>
      </c>
      <c r="M29" s="16">
        <f ca="1">IFERROR(__xludf.DUMMYFUNCTION("IF(G29&gt;0,0, IFNA(GOOGLEFINANCE(""NSE:""&amp;B29,""change""),0))"),13.8)</f>
        <v>13.8</v>
      </c>
      <c r="N29" s="16">
        <f t="shared" ca="1" si="3"/>
        <v>345</v>
      </c>
      <c r="O29" s="16">
        <f t="shared" si="4"/>
        <v>0</v>
      </c>
      <c r="P29" s="19">
        <f t="shared" si="5"/>
        <v>0</v>
      </c>
      <c r="Q29" s="15"/>
      <c r="R29" s="138" t="s">
        <v>60</v>
      </c>
      <c r="S29" s="120">
        <v>113.9999999999997</v>
      </c>
      <c r="T29" s="139">
        <v>0</v>
      </c>
      <c r="U29" s="121">
        <v>0</v>
      </c>
    </row>
    <row r="30" spans="1:21" ht="22.5" customHeight="1">
      <c r="A30" s="15">
        <v>29</v>
      </c>
      <c r="B30" s="15" t="s">
        <v>68</v>
      </c>
      <c r="C30" s="15" t="s">
        <v>97</v>
      </c>
      <c r="D30" s="18"/>
      <c r="E30" s="16">
        <v>222.67</v>
      </c>
      <c r="F30" s="18">
        <v>45999</v>
      </c>
      <c r="G30" s="16">
        <v>380</v>
      </c>
      <c r="H30" s="16">
        <f ca="1">IFERROR(__xludf.DUMMYFUNCTION("IFNA(GOOGLEFINANCE(""NSE:""&amp;B30,""price""),0)"),382.4)</f>
        <v>382.4</v>
      </c>
      <c r="I30" s="15">
        <v>27</v>
      </c>
      <c r="J30" s="16">
        <f t="shared" si="0"/>
        <v>6012.0899999999992</v>
      </c>
      <c r="K30" s="16">
        <f t="shared" si="1"/>
        <v>0</v>
      </c>
      <c r="L30" s="19">
        <f t="shared" si="2"/>
        <v>0</v>
      </c>
      <c r="M30" s="16">
        <f ca="1">IFERROR(__xludf.DUMMYFUNCTION("IF(G30&gt;0,0, IFNA(GOOGLEFINANCE(""NSE:""&amp;B30,""change""),0))"),0)</f>
        <v>0</v>
      </c>
      <c r="N30" s="16">
        <f t="shared" ca="1" si="3"/>
        <v>0</v>
      </c>
      <c r="O30" s="16">
        <f t="shared" si="4"/>
        <v>4247.9100000000008</v>
      </c>
      <c r="P30" s="19">
        <f t="shared" si="5"/>
        <v>0.70656127902276922</v>
      </c>
      <c r="Q30" s="15"/>
      <c r="R30" s="138" t="s">
        <v>54</v>
      </c>
      <c r="S30" s="120">
        <v>0</v>
      </c>
      <c r="T30" s="139">
        <v>230.5999999999996</v>
      </c>
      <c r="U30" s="121">
        <v>-67.2</v>
      </c>
    </row>
    <row r="31" spans="1:21" ht="22.5" customHeight="1">
      <c r="A31" s="15">
        <v>30</v>
      </c>
      <c r="B31" s="16" t="s">
        <v>69</v>
      </c>
      <c r="C31" s="15" t="s">
        <v>97</v>
      </c>
      <c r="D31" s="18"/>
      <c r="E31" s="16">
        <v>142.65</v>
      </c>
      <c r="F31" s="18"/>
      <c r="G31" s="16">
        <v>0</v>
      </c>
      <c r="H31" s="16">
        <f ca="1">IFERROR(__xludf.DUMMYFUNCTION("IFNA(GOOGLEFINANCE(""NSE:""&amp;B31,""price""),0)"),170.82)</f>
        <v>170.82</v>
      </c>
      <c r="I31" s="15">
        <v>106</v>
      </c>
      <c r="J31" s="16">
        <f t="shared" si="0"/>
        <v>15120.900000000001</v>
      </c>
      <c r="K31" s="16">
        <f t="shared" ca="1" si="1"/>
        <v>2986.0199999999986</v>
      </c>
      <c r="L31" s="19">
        <f t="shared" ca="1" si="2"/>
        <v>0.19747634069400621</v>
      </c>
      <c r="M31" s="16">
        <f ca="1">IFERROR(__xludf.DUMMYFUNCTION("IF(G31&gt;0,0, IFNA(GOOGLEFINANCE(""NSE:""&amp;B31,""change""),0))"),1.6)</f>
        <v>1.6</v>
      </c>
      <c r="N31" s="16">
        <f t="shared" ca="1" si="3"/>
        <v>169.60000000000002</v>
      </c>
      <c r="O31" s="16">
        <f t="shared" si="4"/>
        <v>0</v>
      </c>
      <c r="P31" s="19">
        <f t="shared" si="5"/>
        <v>0</v>
      </c>
      <c r="Q31" s="15"/>
      <c r="R31" s="138" t="s">
        <v>61</v>
      </c>
      <c r="S31" s="120">
        <v>0</v>
      </c>
      <c r="T31" s="139">
        <v>591.49999999999989</v>
      </c>
      <c r="U31" s="121">
        <v>21</v>
      </c>
    </row>
    <row r="32" spans="1:21" ht="22.5" customHeight="1">
      <c r="A32" s="15">
        <v>31</v>
      </c>
      <c r="B32" s="16" t="s">
        <v>70</v>
      </c>
      <c r="C32" s="15" t="s">
        <v>97</v>
      </c>
      <c r="D32" s="18"/>
      <c r="E32" s="16">
        <v>500</v>
      </c>
      <c r="F32" s="18"/>
      <c r="G32" s="16">
        <v>0</v>
      </c>
      <c r="H32" s="16">
        <f ca="1">IFERROR(__xludf.DUMMYFUNCTION("IFNA(GOOGLEFINANCE(""NSE:""&amp;B32,""price""),0)"),661.1)</f>
        <v>661.1</v>
      </c>
      <c r="I32" s="15">
        <v>20</v>
      </c>
      <c r="J32" s="16">
        <f t="shared" si="0"/>
        <v>10000</v>
      </c>
      <c r="K32" s="16">
        <f t="shared" ca="1" si="1"/>
        <v>3222.0000000000005</v>
      </c>
      <c r="L32" s="19">
        <f t="shared" ca="1" si="2"/>
        <v>0.32220000000000004</v>
      </c>
      <c r="M32" s="16">
        <f ca="1">IFERROR(__xludf.DUMMYFUNCTION("IF(G32&gt;0,0, IFNA(GOOGLEFINANCE(""NSE:""&amp;B32,""change""),0))"),-2.3)</f>
        <v>-2.2999999999999998</v>
      </c>
      <c r="N32" s="16">
        <f t="shared" ca="1" si="3"/>
        <v>-46</v>
      </c>
      <c r="O32" s="16">
        <f t="shared" si="4"/>
        <v>0</v>
      </c>
      <c r="P32" s="19">
        <f t="shared" si="5"/>
        <v>0</v>
      </c>
      <c r="Q32" s="15"/>
      <c r="R32" s="138" t="s">
        <v>62</v>
      </c>
      <c r="S32" s="120">
        <v>0</v>
      </c>
      <c r="T32" s="139">
        <v>320.00000000000028</v>
      </c>
      <c r="U32" s="121">
        <v>303</v>
      </c>
    </row>
    <row r="33" spans="1:21" ht="22.5" customHeight="1">
      <c r="A33" s="15">
        <v>32</v>
      </c>
      <c r="B33" s="16" t="s">
        <v>27</v>
      </c>
      <c r="C33" s="15" t="s">
        <v>97</v>
      </c>
      <c r="D33" s="18"/>
      <c r="E33" s="16">
        <v>93.66</v>
      </c>
      <c r="F33" s="18"/>
      <c r="G33" s="16">
        <v>0</v>
      </c>
      <c r="H33" s="16">
        <f ca="1">IFERROR(__xludf.DUMMYFUNCTION("IFNA(GOOGLEFINANCE(""NSE:""&amp;B33,""price""),0)"),116.72)</f>
        <v>116.72</v>
      </c>
      <c r="I33" s="15">
        <v>443</v>
      </c>
      <c r="J33" s="16">
        <f t="shared" si="0"/>
        <v>41491.379999999997</v>
      </c>
      <c r="K33" s="16">
        <f t="shared" ca="1" si="1"/>
        <v>10215.580000000002</v>
      </c>
      <c r="L33" s="19">
        <f t="shared" ca="1" si="2"/>
        <v>0.24620969464018794</v>
      </c>
      <c r="M33" s="16">
        <f ca="1">IFERROR(__xludf.DUMMYFUNCTION("IF(G33&gt;0,0, IFNA(GOOGLEFINANCE(""NSE:""&amp;B33,""change""),0))"),0.58)</f>
        <v>0.57999999999999996</v>
      </c>
      <c r="N33" s="16">
        <f t="shared" ca="1" si="3"/>
        <v>256.94</v>
      </c>
      <c r="O33" s="16">
        <f t="shared" si="4"/>
        <v>0</v>
      </c>
      <c r="P33" s="19">
        <f t="shared" si="5"/>
        <v>0</v>
      </c>
      <c r="Q33" s="15"/>
      <c r="R33" s="138" t="s">
        <v>63</v>
      </c>
      <c r="S33" s="120">
        <v>0</v>
      </c>
      <c r="T33" s="139">
        <v>-532.9499999999997</v>
      </c>
      <c r="U33" s="121">
        <v>76.95</v>
      </c>
    </row>
    <row r="34" spans="1:21" ht="22.5" customHeight="1">
      <c r="A34" s="15">
        <v>33</v>
      </c>
      <c r="B34" s="16" t="s">
        <v>52</v>
      </c>
      <c r="C34" s="15" t="s">
        <v>97</v>
      </c>
      <c r="D34" s="18"/>
      <c r="E34" s="16">
        <v>95.89</v>
      </c>
      <c r="F34" s="18"/>
      <c r="G34" s="16">
        <v>0</v>
      </c>
      <c r="H34" s="16">
        <f ca="1">IFERROR(__xludf.DUMMYFUNCTION("IFNA(GOOGLEFINANCE(""NSE:""&amp;B34,""price""),0)"),168.98)</f>
        <v>168.98</v>
      </c>
      <c r="I34" s="15">
        <v>190</v>
      </c>
      <c r="J34" s="16">
        <f t="shared" si="0"/>
        <v>18219.099999999999</v>
      </c>
      <c r="K34" s="16">
        <f t="shared" ca="1" si="1"/>
        <v>13887.099999999999</v>
      </c>
      <c r="L34" s="19">
        <f t="shared" ca="1" si="2"/>
        <v>0.76222755240379592</v>
      </c>
      <c r="M34" s="16">
        <f ca="1">IFERROR(__xludf.DUMMYFUNCTION("IF(G34&gt;0,0, IFNA(GOOGLEFINANCE(""NSE:""&amp;B34,""change""),0))"),2.12)</f>
        <v>2.12</v>
      </c>
      <c r="N34" s="16">
        <f t="shared" ca="1" si="3"/>
        <v>402.8</v>
      </c>
      <c r="O34" s="16">
        <f t="shared" si="4"/>
        <v>0</v>
      </c>
      <c r="P34" s="19">
        <f t="shared" si="5"/>
        <v>0</v>
      </c>
      <c r="Q34" s="15"/>
      <c r="R34" s="138" t="s">
        <v>64</v>
      </c>
      <c r="S34" s="120">
        <v>0</v>
      </c>
      <c r="T34" s="139">
        <v>3316</v>
      </c>
      <c r="U34" s="121">
        <v>35</v>
      </c>
    </row>
    <row r="35" spans="1:21" ht="22.5" customHeight="1">
      <c r="A35" s="15">
        <v>34</v>
      </c>
      <c r="B35" s="16" t="s">
        <v>11</v>
      </c>
      <c r="C35" s="15" t="s">
        <v>97</v>
      </c>
      <c r="D35" s="18"/>
      <c r="E35" s="16">
        <v>28.38</v>
      </c>
      <c r="F35" s="18"/>
      <c r="G35" s="16">
        <v>0</v>
      </c>
      <c r="H35" s="16">
        <f ca="1">IFERROR(__xludf.DUMMYFUNCTION("IFNA(GOOGLEFINANCE(""NSE:""&amp;B35,""price""),0)"),25.31)</f>
        <v>25.31</v>
      </c>
      <c r="I35" s="15">
        <v>751</v>
      </c>
      <c r="J35" s="16">
        <f t="shared" si="0"/>
        <v>21313.38</v>
      </c>
      <c r="K35" s="16">
        <f t="shared" ca="1" si="1"/>
        <v>-2305.5700000000002</v>
      </c>
      <c r="L35" s="19">
        <f t="shared" ca="1" si="2"/>
        <v>-0.10817477096546865</v>
      </c>
      <c r="M35" s="16">
        <f ca="1">IFERROR(__xludf.DUMMYFUNCTION("IF(G35&gt;0,0, IFNA(GOOGLEFINANCE(""NSE:""&amp;B35,""change""),0))"),-0.05)</f>
        <v>-0.05</v>
      </c>
      <c r="N35" s="16">
        <f t="shared" ca="1" si="3"/>
        <v>-37.550000000000004</v>
      </c>
      <c r="O35" s="16">
        <f t="shared" si="4"/>
        <v>0</v>
      </c>
      <c r="P35" s="19">
        <f t="shared" si="5"/>
        <v>0</v>
      </c>
      <c r="Q35" s="15"/>
      <c r="R35" s="138" t="s">
        <v>39</v>
      </c>
      <c r="S35" s="120">
        <v>0</v>
      </c>
      <c r="T35" s="139">
        <v>6141.7899999999981</v>
      </c>
      <c r="U35" s="121">
        <v>-140.80000000000001</v>
      </c>
    </row>
    <row r="36" spans="1:21" ht="22.5" customHeight="1">
      <c r="A36" s="15">
        <v>35</v>
      </c>
      <c r="B36" s="16" t="s">
        <v>61</v>
      </c>
      <c r="C36" s="15" t="s">
        <v>97</v>
      </c>
      <c r="D36" s="18"/>
      <c r="E36" s="16">
        <v>102.62</v>
      </c>
      <c r="F36" s="18"/>
      <c r="G36" s="16">
        <v>0</v>
      </c>
      <c r="H36" s="16">
        <f ca="1">IFERROR(__xludf.DUMMYFUNCTION("IFNA(GOOGLEFINANCE(""NSE:""&amp;B36,""price""),0)"),114.45)</f>
        <v>114.45</v>
      </c>
      <c r="I36" s="15">
        <v>50</v>
      </c>
      <c r="J36" s="16">
        <f t="shared" si="0"/>
        <v>5131</v>
      </c>
      <c r="K36" s="16">
        <f t="shared" ca="1" si="1"/>
        <v>591.49999999999989</v>
      </c>
      <c r="L36" s="19">
        <f t="shared" ca="1" si="2"/>
        <v>0.11527967257844472</v>
      </c>
      <c r="M36" s="16">
        <f ca="1">IFERROR(__xludf.DUMMYFUNCTION("IF(G36&gt;0,0, IFNA(GOOGLEFINANCE(""NSE:""&amp;B36,""change""),0))"),0.42)</f>
        <v>0.42</v>
      </c>
      <c r="N36" s="16">
        <f t="shared" ca="1" si="3"/>
        <v>21</v>
      </c>
      <c r="O36" s="16">
        <f t="shared" si="4"/>
        <v>0</v>
      </c>
      <c r="P36" s="19">
        <f t="shared" si="5"/>
        <v>0</v>
      </c>
      <c r="Q36" s="15"/>
      <c r="R36" s="138" t="s">
        <v>65</v>
      </c>
      <c r="S36" s="120">
        <v>0</v>
      </c>
      <c r="T36" s="139">
        <v>36.000000000000227</v>
      </c>
      <c r="U36" s="121">
        <v>58.8</v>
      </c>
    </row>
    <row r="37" spans="1:21" ht="22.5" customHeight="1">
      <c r="A37" s="15">
        <v>36</v>
      </c>
      <c r="B37" s="16" t="s">
        <v>26</v>
      </c>
      <c r="C37" s="15" t="s">
        <v>97</v>
      </c>
      <c r="D37" s="18"/>
      <c r="E37" s="16">
        <v>90.5</v>
      </c>
      <c r="F37" s="18"/>
      <c r="G37" s="16">
        <v>0</v>
      </c>
      <c r="H37" s="16">
        <f ca="1">IFERROR(__xludf.DUMMYFUNCTION("IFNA(GOOGLEFINANCE(""NSE:""&amp;B37,""price""),0)"),91.15)</f>
        <v>91.15</v>
      </c>
      <c r="I37" s="15">
        <v>50</v>
      </c>
      <c r="J37" s="16">
        <f t="shared" si="0"/>
        <v>4525</v>
      </c>
      <c r="K37" s="16">
        <f t="shared" ca="1" si="1"/>
        <v>32.500000000000284</v>
      </c>
      <c r="L37" s="19">
        <f t="shared" ca="1" si="2"/>
        <v>7.1823204419890129E-3</v>
      </c>
      <c r="M37" s="16">
        <f ca="1">IFERROR(__xludf.DUMMYFUNCTION("IF(G37&gt;0,0, IFNA(GOOGLEFINANCE(""NSE:""&amp;B37,""change""),0))"),1.19)</f>
        <v>1.19</v>
      </c>
      <c r="N37" s="16">
        <f t="shared" ca="1" si="3"/>
        <v>59.5</v>
      </c>
      <c r="O37" s="16">
        <f t="shared" si="4"/>
        <v>0</v>
      </c>
      <c r="P37" s="19">
        <f t="shared" si="5"/>
        <v>0</v>
      </c>
      <c r="Q37" s="15"/>
      <c r="R37" s="138" t="s">
        <v>66</v>
      </c>
      <c r="S37" s="120">
        <v>0</v>
      </c>
      <c r="T37" s="139">
        <v>1537.1000000000004</v>
      </c>
      <c r="U37" s="121">
        <v>-30.5</v>
      </c>
    </row>
    <row r="38" spans="1:21" ht="22.5" customHeight="1">
      <c r="A38" s="15">
        <v>37</v>
      </c>
      <c r="B38" s="16" t="s">
        <v>67</v>
      </c>
      <c r="C38" s="15" t="s">
        <v>97</v>
      </c>
      <c r="D38" s="18"/>
      <c r="E38" s="16">
        <v>66.56</v>
      </c>
      <c r="F38" s="18"/>
      <c r="G38" s="16">
        <v>0</v>
      </c>
      <c r="H38" s="16">
        <f ca="1">IFERROR(__xludf.DUMMYFUNCTION("IFNA(GOOGLEFINANCE(""NSE:""&amp;B38,""price""),0)"),116.68)</f>
        <v>116.68</v>
      </c>
      <c r="I38" s="15">
        <v>100</v>
      </c>
      <c r="J38" s="16">
        <f t="shared" si="0"/>
        <v>6656</v>
      </c>
      <c r="K38" s="16">
        <f t="shared" ca="1" si="1"/>
        <v>5012</v>
      </c>
      <c r="L38" s="19">
        <f t="shared" ca="1" si="2"/>
        <v>0.75300480769230771</v>
      </c>
      <c r="M38" s="16">
        <f ca="1">IFERROR(__xludf.DUMMYFUNCTION("IF(G38&gt;0,0, IFNA(GOOGLEFINANCE(""NSE:""&amp;B38,""change""),0))"),1.7)</f>
        <v>1.7</v>
      </c>
      <c r="N38" s="16">
        <f t="shared" ca="1" si="3"/>
        <v>170</v>
      </c>
      <c r="O38" s="16">
        <f t="shared" si="4"/>
        <v>0</v>
      </c>
      <c r="P38" s="19">
        <f t="shared" si="5"/>
        <v>0</v>
      </c>
      <c r="Q38" s="15"/>
      <c r="R38" s="138" t="s">
        <v>67</v>
      </c>
      <c r="S38" s="120">
        <v>0</v>
      </c>
      <c r="T38" s="139">
        <v>6658.5</v>
      </c>
      <c r="U38" s="121">
        <v>255</v>
      </c>
    </row>
    <row r="39" spans="1:21" ht="22.5" customHeight="1">
      <c r="A39" s="15">
        <v>38</v>
      </c>
      <c r="B39" s="16" t="s">
        <v>15</v>
      </c>
      <c r="C39" s="15" t="s">
        <v>97</v>
      </c>
      <c r="D39" s="18"/>
      <c r="E39" s="16">
        <v>12.8</v>
      </c>
      <c r="F39" s="18"/>
      <c r="G39" s="16">
        <v>0</v>
      </c>
      <c r="H39" s="16">
        <f ca="1">IFERROR(__xludf.DUMMYFUNCTION("IFNA(GOOGLEFINANCE(""NSE:""&amp;B39,""price""),0)"),21.49)</f>
        <v>21.49</v>
      </c>
      <c r="I39" s="15">
        <v>700</v>
      </c>
      <c r="J39" s="16">
        <f t="shared" si="0"/>
        <v>8960</v>
      </c>
      <c r="K39" s="16">
        <f t="shared" ca="1" si="1"/>
        <v>6082.9999999999982</v>
      </c>
      <c r="L39" s="19">
        <f t="shared" ca="1" si="2"/>
        <v>0.67890624999999982</v>
      </c>
      <c r="M39" s="16">
        <f ca="1">IFERROR(__xludf.DUMMYFUNCTION("IF(G39&gt;0,0, IFNA(GOOGLEFINANCE(""NSE:""&amp;B39,""change""),0))"),0.34)</f>
        <v>0.34</v>
      </c>
      <c r="N39" s="16">
        <f t="shared" ca="1" si="3"/>
        <v>238.00000000000003</v>
      </c>
      <c r="O39" s="16">
        <f t="shared" si="4"/>
        <v>0</v>
      </c>
      <c r="P39" s="19">
        <f t="shared" si="5"/>
        <v>0</v>
      </c>
      <c r="Q39" s="15"/>
      <c r="R39" s="138" t="s">
        <v>56</v>
      </c>
      <c r="S39" s="120">
        <v>0</v>
      </c>
      <c r="T39" s="139">
        <v>-1192.4000000000001</v>
      </c>
      <c r="U39" s="121">
        <v>33.6</v>
      </c>
    </row>
    <row r="40" spans="1:21" ht="22.5" customHeight="1">
      <c r="A40" s="15">
        <v>39</v>
      </c>
      <c r="B40" s="16" t="s">
        <v>67</v>
      </c>
      <c r="C40" s="15" t="s">
        <v>97</v>
      </c>
      <c r="D40" s="18">
        <v>45854</v>
      </c>
      <c r="E40" s="16">
        <v>83.75</v>
      </c>
      <c r="F40" s="18"/>
      <c r="G40" s="16">
        <v>0</v>
      </c>
      <c r="H40" s="16">
        <f ca="1">IFERROR(__xludf.DUMMYFUNCTION("IFNA(GOOGLEFINANCE(""NSE:""&amp;B40,""price""),0)"),116.68)</f>
        <v>116.68</v>
      </c>
      <c r="I40" s="15">
        <v>50</v>
      </c>
      <c r="J40" s="16">
        <f t="shared" si="0"/>
        <v>4187.5</v>
      </c>
      <c r="K40" s="16">
        <f t="shared" ca="1" si="1"/>
        <v>1646.5000000000005</v>
      </c>
      <c r="L40" s="19">
        <f t="shared" ca="1" si="2"/>
        <v>0.39319402985074636</v>
      </c>
      <c r="M40" s="16">
        <f ca="1">IFERROR(__xludf.DUMMYFUNCTION("IF(G40&gt;0,0, IFNA(GOOGLEFINANCE(""NSE:""&amp;B40,""change""),0))"),1.7)</f>
        <v>1.7</v>
      </c>
      <c r="N40" s="16">
        <f t="shared" ca="1" si="3"/>
        <v>85</v>
      </c>
      <c r="O40" s="16">
        <f t="shared" si="4"/>
        <v>0</v>
      </c>
      <c r="P40" s="19">
        <f t="shared" si="5"/>
        <v>0</v>
      </c>
      <c r="Q40" s="15"/>
      <c r="R40" s="138" t="s">
        <v>68</v>
      </c>
      <c r="S40" s="120">
        <v>4247.9100000000008</v>
      </c>
      <c r="T40" s="139">
        <v>0</v>
      </c>
      <c r="U40" s="121">
        <v>0</v>
      </c>
    </row>
    <row r="41" spans="1:21" ht="22.5" customHeight="1">
      <c r="A41" s="15">
        <v>40</v>
      </c>
      <c r="B41" s="16" t="s">
        <v>60</v>
      </c>
      <c r="C41" s="15" t="s">
        <v>97</v>
      </c>
      <c r="D41" s="18">
        <v>45854</v>
      </c>
      <c r="E41" s="16">
        <v>22.35</v>
      </c>
      <c r="F41" s="18">
        <v>46013</v>
      </c>
      <c r="G41" s="16">
        <v>22.73</v>
      </c>
      <c r="H41" s="16">
        <f ca="1">IFERROR(__xludf.DUMMYFUNCTION("IFNA(GOOGLEFINANCE(""NSE:""&amp;B41,""price""),0)"),22.76)</f>
        <v>22.76</v>
      </c>
      <c r="I41" s="15">
        <v>300</v>
      </c>
      <c r="J41" s="16">
        <f t="shared" si="0"/>
        <v>6705</v>
      </c>
      <c r="K41" s="16">
        <f t="shared" si="1"/>
        <v>0</v>
      </c>
      <c r="L41" s="19">
        <f t="shared" si="2"/>
        <v>0</v>
      </c>
      <c r="M41" s="16">
        <f ca="1">IFERROR(__xludf.DUMMYFUNCTION("IF(G41&gt;0,0, IFNA(GOOGLEFINANCE(""NSE:""&amp;B41,""change""),0))"),0)</f>
        <v>0</v>
      </c>
      <c r="N41" s="16">
        <f t="shared" ca="1" si="3"/>
        <v>0</v>
      </c>
      <c r="O41" s="16">
        <f t="shared" si="4"/>
        <v>113.9999999999997</v>
      </c>
      <c r="P41" s="19">
        <f t="shared" si="5"/>
        <v>1.700223713646528E-2</v>
      </c>
      <c r="Q41" s="15"/>
      <c r="R41" s="138" t="s">
        <v>69</v>
      </c>
      <c r="S41" s="120">
        <v>0</v>
      </c>
      <c r="T41" s="139">
        <v>2986.0199999999986</v>
      </c>
      <c r="U41" s="121">
        <v>169.60000000000002</v>
      </c>
    </row>
    <row r="42" spans="1:21" ht="22.5" customHeight="1">
      <c r="A42" s="15">
        <v>41</v>
      </c>
      <c r="B42" s="16" t="s">
        <v>71</v>
      </c>
      <c r="C42" s="15" t="s">
        <v>97</v>
      </c>
      <c r="D42" s="18">
        <v>45883</v>
      </c>
      <c r="E42" s="16">
        <v>3018</v>
      </c>
      <c r="F42" s="18">
        <v>45968</v>
      </c>
      <c r="G42" s="16">
        <v>3367.3</v>
      </c>
      <c r="H42" s="16">
        <f ca="1">IFERROR(__xludf.DUMMYFUNCTION("IFNA(GOOGLEFINANCE(""NSE:""&amp;B42,""price""),0)"),3685.2)</f>
        <v>3685.2</v>
      </c>
      <c r="I42" s="15">
        <v>3</v>
      </c>
      <c r="J42" s="16">
        <f t="shared" si="0"/>
        <v>9054</v>
      </c>
      <c r="K42" s="16">
        <f t="shared" si="1"/>
        <v>0</v>
      </c>
      <c r="L42" s="19">
        <f t="shared" si="2"/>
        <v>0</v>
      </c>
      <c r="M42" s="16">
        <f ca="1">IFERROR(__xludf.DUMMYFUNCTION("IF(G42&gt;0,0, IFNA(GOOGLEFINANCE(""NSE:""&amp;B42,""change""),0))"),0)</f>
        <v>0</v>
      </c>
      <c r="N42" s="16">
        <f t="shared" ca="1" si="3"/>
        <v>0</v>
      </c>
      <c r="O42" s="16">
        <f t="shared" si="4"/>
        <v>1047.9000000000005</v>
      </c>
      <c r="P42" s="19">
        <f t="shared" si="5"/>
        <v>0.115738899933731</v>
      </c>
      <c r="Q42" s="15" t="s">
        <v>105</v>
      </c>
      <c r="R42" s="138" t="s">
        <v>70</v>
      </c>
      <c r="S42" s="120">
        <v>0</v>
      </c>
      <c r="T42" s="139">
        <v>3222.0000000000005</v>
      </c>
      <c r="U42" s="121">
        <v>-46</v>
      </c>
    </row>
    <row r="43" spans="1:21" ht="22.5" customHeight="1">
      <c r="A43" s="15">
        <v>42</v>
      </c>
      <c r="B43" s="16" t="s">
        <v>17</v>
      </c>
      <c r="C43" s="15" t="s">
        <v>97</v>
      </c>
      <c r="D43" s="18"/>
      <c r="E43" s="16">
        <v>123.5</v>
      </c>
      <c r="F43" s="18"/>
      <c r="G43" s="16">
        <v>0</v>
      </c>
      <c r="H43" s="16">
        <f ca="1">IFERROR(__xludf.DUMMYFUNCTION("IFNA(GOOGLEFINANCE(""NSE:""&amp;B43,""price""),0)"),178.1)</f>
        <v>178.1</v>
      </c>
      <c r="I43" s="15">
        <v>14</v>
      </c>
      <c r="J43" s="16">
        <f t="shared" si="0"/>
        <v>1729</v>
      </c>
      <c r="K43" s="16">
        <f t="shared" ca="1" si="1"/>
        <v>764.39999999999986</v>
      </c>
      <c r="L43" s="19">
        <f t="shared" ca="1" si="2"/>
        <v>0.44210526315789467</v>
      </c>
      <c r="M43" s="16">
        <f ca="1">IFERROR(__xludf.DUMMYFUNCTION("IF(G43&gt;0,0, IFNA(GOOGLEFINANCE(""NSE:""&amp;B43,""change""),0))"),1.05)</f>
        <v>1.05</v>
      </c>
      <c r="N43" s="16">
        <f t="shared" ca="1" si="3"/>
        <v>14.700000000000001</v>
      </c>
      <c r="O43" s="16">
        <f t="shared" si="4"/>
        <v>0</v>
      </c>
      <c r="P43" s="19">
        <f t="shared" si="5"/>
        <v>0</v>
      </c>
      <c r="Q43" s="15"/>
      <c r="R43" s="138" t="s">
        <v>42</v>
      </c>
      <c r="S43" s="120">
        <v>0</v>
      </c>
      <c r="T43" s="139">
        <v>5595.0158750000001</v>
      </c>
      <c r="U43" s="121">
        <v>345</v>
      </c>
    </row>
    <row r="44" spans="1:21" ht="22.5" customHeight="1">
      <c r="A44" s="15">
        <v>43</v>
      </c>
      <c r="B44" s="16" t="s">
        <v>39</v>
      </c>
      <c r="C44" s="15" t="s">
        <v>97</v>
      </c>
      <c r="D44" s="18">
        <v>45951</v>
      </c>
      <c r="E44" s="16">
        <v>1469</v>
      </c>
      <c r="F44" s="18"/>
      <c r="G44" s="16">
        <v>0</v>
      </c>
      <c r="H44" s="16">
        <f ca="1">IFERROR(__xludf.DUMMYFUNCTION("IFNA(GOOGLEFINANCE(""NSE:""&amp;B44,""price""),0)"),1569)</f>
        <v>1569</v>
      </c>
      <c r="I44" s="15">
        <v>5</v>
      </c>
      <c r="J44" s="16">
        <f t="shared" si="0"/>
        <v>7345</v>
      </c>
      <c r="K44" s="16">
        <f t="shared" ca="1" si="1"/>
        <v>500</v>
      </c>
      <c r="L44" s="19">
        <f t="shared" ca="1" si="2"/>
        <v>6.8073519400953034E-2</v>
      </c>
      <c r="M44" s="16">
        <f ca="1">IFERROR(__xludf.DUMMYFUNCTION("IF(G44&gt;0,0, IFNA(GOOGLEFINANCE(""NSE:""&amp;B44,""change""),0))"),-6.4)</f>
        <v>-6.4</v>
      </c>
      <c r="N44" s="16">
        <f t="shared" ca="1" si="3"/>
        <v>-32</v>
      </c>
      <c r="O44" s="16">
        <f t="shared" si="4"/>
        <v>0</v>
      </c>
      <c r="P44" s="19">
        <f t="shared" si="5"/>
        <v>0</v>
      </c>
      <c r="Q44" s="15" t="s">
        <v>124</v>
      </c>
      <c r="R44" s="138" t="s">
        <v>45</v>
      </c>
      <c r="S44" s="120">
        <v>0</v>
      </c>
      <c r="T44" s="139">
        <v>-2080.2658749999991</v>
      </c>
      <c r="U44" s="121">
        <v>86.25</v>
      </c>
    </row>
    <row r="45" spans="1:21" ht="22.5" customHeight="1">
      <c r="A45" s="15">
        <v>44</v>
      </c>
      <c r="B45" s="16" t="s">
        <v>26</v>
      </c>
      <c r="C45" s="15" t="s">
        <v>97</v>
      </c>
      <c r="D45" s="18">
        <v>45951</v>
      </c>
      <c r="E45" s="16">
        <v>94.12</v>
      </c>
      <c r="F45" s="18"/>
      <c r="G45" s="16">
        <v>0</v>
      </c>
      <c r="H45" s="16">
        <f ca="1">IFERROR(__xludf.DUMMYFUNCTION("IFNA(GOOGLEFINANCE(""NSE:""&amp;B45,""price""),0)"),91.15)</f>
        <v>91.15</v>
      </c>
      <c r="I45" s="15">
        <v>21</v>
      </c>
      <c r="J45" s="16">
        <f t="shared" si="0"/>
        <v>1976.52</v>
      </c>
      <c r="K45" s="16">
        <f t="shared" ca="1" si="1"/>
        <v>-62.369999999999976</v>
      </c>
      <c r="L45" s="19">
        <f t="shared" ca="1" si="2"/>
        <v>-3.1555461113472148E-2</v>
      </c>
      <c r="M45" s="16">
        <f ca="1">IFERROR(__xludf.DUMMYFUNCTION("IF(G45&gt;0,0, IFNA(GOOGLEFINANCE(""NSE:""&amp;B45,""change""),0))"),1.19)</f>
        <v>1.19</v>
      </c>
      <c r="N45" s="16">
        <f t="shared" ca="1" si="3"/>
        <v>24.99</v>
      </c>
      <c r="O45" s="16">
        <f t="shared" si="4"/>
        <v>0</v>
      </c>
      <c r="P45" s="19">
        <f t="shared" si="5"/>
        <v>0</v>
      </c>
      <c r="Q45" s="15" t="s">
        <v>124</v>
      </c>
      <c r="R45" s="138" t="s">
        <v>71</v>
      </c>
      <c r="S45" s="120">
        <v>1047.9000000000005</v>
      </c>
      <c r="T45" s="139">
        <v>0</v>
      </c>
      <c r="U45" s="121">
        <v>0</v>
      </c>
    </row>
    <row r="46" spans="1:21" ht="22.5" customHeight="1">
      <c r="A46" s="15">
        <v>45</v>
      </c>
      <c r="B46" s="16" t="s">
        <v>54</v>
      </c>
      <c r="C46" s="15" t="s">
        <v>97</v>
      </c>
      <c r="D46" s="18">
        <v>45989</v>
      </c>
      <c r="E46" s="16">
        <v>117.2</v>
      </c>
      <c r="F46" s="18"/>
      <c r="G46" s="16">
        <v>0</v>
      </c>
      <c r="H46" s="16">
        <f ca="1">IFERROR(__xludf.DUMMYFUNCTION("IFNA(GOOGLEFINANCE(""NSE:""&amp;B46,""price""),0)"),120.27)</f>
        <v>120.27</v>
      </c>
      <c r="I46" s="15">
        <v>30</v>
      </c>
      <c r="J46" s="16">
        <f t="shared" si="0"/>
        <v>3516</v>
      </c>
      <c r="K46" s="16">
        <f t="shared" ca="1" si="1"/>
        <v>92.099999999999795</v>
      </c>
      <c r="L46" s="19">
        <f t="shared" ca="1" si="2"/>
        <v>2.6194539249146699E-2</v>
      </c>
      <c r="M46" s="16">
        <f ca="1">IFERROR(__xludf.DUMMYFUNCTION("IF(G46&gt;0,0, IFNA(GOOGLEFINANCE(""NSE:""&amp;B46,""change""),0))"),-0.84)</f>
        <v>-0.84</v>
      </c>
      <c r="N46" s="16">
        <f t="shared" ca="1" si="3"/>
        <v>-25.2</v>
      </c>
      <c r="O46" s="16">
        <f t="shared" si="4"/>
        <v>0</v>
      </c>
      <c r="P46" s="19">
        <f t="shared" si="5"/>
        <v>0</v>
      </c>
      <c r="Q46" s="15"/>
      <c r="R46" s="140" t="s">
        <v>48</v>
      </c>
      <c r="S46" s="123">
        <v>30107.06</v>
      </c>
      <c r="T46" s="141">
        <v>95944.48000000001</v>
      </c>
      <c r="U46" s="124">
        <v>2886.85</v>
      </c>
    </row>
    <row r="47" spans="1:21" ht="22.5" customHeight="1">
      <c r="A47" s="15">
        <v>46</v>
      </c>
      <c r="B47" s="16" t="s">
        <v>54</v>
      </c>
      <c r="C47" s="15" t="s">
        <v>97</v>
      </c>
      <c r="D47" s="18">
        <v>45995</v>
      </c>
      <c r="E47" s="16">
        <v>117.5</v>
      </c>
      <c r="F47" s="18"/>
      <c r="G47" s="16">
        <v>0</v>
      </c>
      <c r="H47" s="16">
        <f ca="1">IFERROR(__xludf.DUMMYFUNCTION("IFNA(GOOGLEFINANCE(""NSE:""&amp;B47,""price""),0)"),120.27)</f>
        <v>120.27</v>
      </c>
      <c r="I47" s="15">
        <v>50</v>
      </c>
      <c r="J47" s="16">
        <f t="shared" si="0"/>
        <v>5875</v>
      </c>
      <c r="K47" s="16">
        <f t="shared" ca="1" si="1"/>
        <v>138.4999999999998</v>
      </c>
      <c r="L47" s="19">
        <f t="shared" ca="1" si="2"/>
        <v>2.357446808510635E-2</v>
      </c>
      <c r="M47" s="16">
        <f ca="1">IFERROR(__xludf.DUMMYFUNCTION("IF(G47&gt;0,0, IFNA(GOOGLEFINANCE(""NSE:""&amp;B47,""change""),0))"),-0.84)</f>
        <v>-0.84</v>
      </c>
      <c r="N47" s="16">
        <f t="shared" ca="1" si="3"/>
        <v>-42</v>
      </c>
      <c r="O47" s="16">
        <f t="shared" si="4"/>
        <v>0</v>
      </c>
      <c r="P47" s="19">
        <f t="shared" si="5"/>
        <v>0</v>
      </c>
      <c r="Q47" s="15"/>
      <c r="R47" s="16"/>
    </row>
    <row r="48" spans="1:21" ht="22.5" customHeight="1">
      <c r="A48" s="15">
        <v>47</v>
      </c>
      <c r="B48" s="16" t="s">
        <v>62</v>
      </c>
      <c r="C48" s="15" t="s">
        <v>97</v>
      </c>
      <c r="D48" s="18">
        <v>46013</v>
      </c>
      <c r="E48" s="16">
        <v>78.349999999999994</v>
      </c>
      <c r="F48" s="18"/>
      <c r="G48" s="16">
        <v>0</v>
      </c>
      <c r="H48" s="16">
        <f ca="1">IFERROR(__xludf.DUMMYFUNCTION("IFNA(GOOGLEFINANCE(""NSE:""&amp;B48,""price""),0)"),81.55)</f>
        <v>81.55</v>
      </c>
      <c r="I48" s="15">
        <v>100</v>
      </c>
      <c r="J48" s="16">
        <f t="shared" si="0"/>
        <v>7834.9999999999991</v>
      </c>
      <c r="K48" s="16">
        <f t="shared" ca="1" si="1"/>
        <v>320.00000000000028</v>
      </c>
      <c r="L48" s="19">
        <f t="shared" ca="1" si="2"/>
        <v>4.0842373962986636E-2</v>
      </c>
      <c r="M48" s="16">
        <f ca="1">IFERROR(__xludf.DUMMYFUNCTION("IF(G48&gt;0,0, IFNA(GOOGLEFINANCE(""NSE:""&amp;B48,""change""),0))"),3.03)</f>
        <v>3.03</v>
      </c>
      <c r="N48" s="16">
        <f t="shared" ca="1" si="3"/>
        <v>303</v>
      </c>
      <c r="O48" s="16">
        <f t="shared" si="4"/>
        <v>0</v>
      </c>
      <c r="P48" s="19">
        <f t="shared" si="5"/>
        <v>0</v>
      </c>
      <c r="Q48" s="15"/>
      <c r="R48" s="16"/>
    </row>
    <row r="49" spans="1:18" ht="22.5" customHeight="1">
      <c r="A49" s="15">
        <v>48</v>
      </c>
      <c r="B49" s="16" t="s">
        <v>33</v>
      </c>
      <c r="C49" s="15" t="s">
        <v>97</v>
      </c>
      <c r="D49" s="18">
        <v>46013</v>
      </c>
      <c r="E49" s="16">
        <v>1454.8</v>
      </c>
      <c r="F49" s="18"/>
      <c r="G49" s="16">
        <v>0</v>
      </c>
      <c r="H49" s="16">
        <f ca="1">IFERROR(__xludf.DUMMYFUNCTION("IFNA(GOOGLEFINANCE(""NSE:""&amp;B49,""price""),0)"),1457.7)</f>
        <v>1457.7</v>
      </c>
      <c r="I49" s="15">
        <v>4</v>
      </c>
      <c r="J49" s="16">
        <f t="shared" si="0"/>
        <v>5819.2</v>
      </c>
      <c r="K49" s="16">
        <f t="shared" ca="1" si="1"/>
        <v>11.600000000000364</v>
      </c>
      <c r="L49" s="19">
        <f t="shared" ca="1" si="2"/>
        <v>1.9934011547979727E-3</v>
      </c>
      <c r="M49" s="16">
        <f ca="1">IFERROR(__xludf.DUMMYFUNCTION("IF(G49&gt;0,0, IFNA(GOOGLEFINANCE(""NSE:""&amp;B49,""change""),0))"),1.5)</f>
        <v>1.5</v>
      </c>
      <c r="N49" s="16">
        <f t="shared" ca="1" si="3"/>
        <v>6</v>
      </c>
      <c r="O49" s="16">
        <f t="shared" si="4"/>
        <v>0</v>
      </c>
      <c r="P49" s="19">
        <f t="shared" si="5"/>
        <v>0</v>
      </c>
      <c r="Q49" s="15"/>
      <c r="R49" s="16"/>
    </row>
    <row r="50" spans="1:18" ht="22.5" customHeight="1">
      <c r="A50" s="15">
        <v>49</v>
      </c>
      <c r="B50" s="16" t="s">
        <v>15</v>
      </c>
      <c r="C50" s="15" t="s">
        <v>97</v>
      </c>
      <c r="D50" s="18">
        <v>46013</v>
      </c>
      <c r="E50" s="16">
        <v>21.15</v>
      </c>
      <c r="F50" s="18"/>
      <c r="G50" s="16">
        <v>0</v>
      </c>
      <c r="H50" s="16">
        <f ca="1">IFERROR(__xludf.DUMMYFUNCTION("IFNA(GOOGLEFINANCE(""NSE:""&amp;B50,""price""),0)"),21.49)</f>
        <v>21.49</v>
      </c>
      <c r="I50" s="15">
        <v>300</v>
      </c>
      <c r="J50" s="16">
        <f t="shared" si="0"/>
        <v>6345</v>
      </c>
      <c r="K50" s="16">
        <f t="shared" ca="1" si="1"/>
        <v>101.99999999999996</v>
      </c>
      <c r="L50" s="19">
        <f t="shared" ca="1" si="2"/>
        <v>1.6075650118203305E-2</v>
      </c>
      <c r="M50" s="16">
        <f ca="1">IFERROR(__xludf.DUMMYFUNCTION("IF(G50&gt;0,0, IFNA(GOOGLEFINANCE(""NSE:""&amp;B50,""change""),0))"),0.34)</f>
        <v>0.34</v>
      </c>
      <c r="N50" s="16">
        <f t="shared" ca="1" si="3"/>
        <v>102.00000000000001</v>
      </c>
      <c r="O50" s="16">
        <f t="shared" si="4"/>
        <v>0</v>
      </c>
      <c r="P50" s="19">
        <f t="shared" si="5"/>
        <v>0</v>
      </c>
      <c r="Q50" s="15"/>
      <c r="R50" s="16"/>
    </row>
    <row r="51" spans="1:18" ht="13.2">
      <c r="H51" s="7"/>
    </row>
    <row r="52" spans="1:18" ht="13.2">
      <c r="I52" s="40"/>
    </row>
    <row r="53" spans="1:18" ht="13.2">
      <c r="I53" s="40"/>
    </row>
  </sheetData>
  <conditionalFormatting sqref="K2:P50 S3:U3 Q42:Q43">
    <cfRule type="cellIs" dxfId="17" priority="1" operator="lessThan">
      <formula>0</formula>
    </cfRule>
    <cfRule type="cellIs" dxfId="16" priority="2" operator="greaterThan">
      <formula>0</formula>
    </cfRule>
  </conditionalFormatting>
  <dataValidations count="2">
    <dataValidation type="custom" allowBlank="1" showDropDown="1" sqref="D2:D50" xr:uid="{00000000-0002-0000-0600-000000000000}">
      <formula1>OR(NOT(ISERROR(DATEVALUE(D2))), AND(ISNUMBER(D2), LEFT(CELL("format", D2))="D"))</formula1>
    </dataValidation>
    <dataValidation type="custom" allowBlank="1" showDropDown="1" sqref="E2:E50 G2:H50 J2:P50" xr:uid="{00000000-0002-0000-0600-000001000000}">
      <formula1>AND(ISNUMBER(E2),(NOT(OR(NOT(ISERROR(DATEVALUE(E2))), AND(ISNUMBER(E2), LEFT(CELL("format", E2))="D")))))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86E8"/>
    <outlinePr summaryBelow="0" summaryRight="0"/>
  </sheetPr>
  <dimension ref="A1:AT10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3" max="3" width="15" customWidth="1"/>
    <col min="4" max="4" width="15.33203125" customWidth="1"/>
    <col min="5" max="5" width="11.44140625" customWidth="1"/>
    <col min="6" max="6" width="15.21875" customWidth="1"/>
    <col min="7" max="7" width="11.33203125" customWidth="1"/>
    <col min="8" max="8" width="11.44140625" customWidth="1"/>
    <col min="9" max="9" width="5" customWidth="1"/>
    <col min="10" max="10" width="15" customWidth="1"/>
    <col min="11" max="11" width="15.21875" customWidth="1"/>
    <col min="12" max="12" width="19.6640625" customWidth="1"/>
    <col min="13" max="13" width="14.44140625" customWidth="1"/>
    <col min="14" max="15" width="14.33203125" customWidth="1"/>
    <col min="16" max="16" width="18.109375" customWidth="1"/>
    <col min="17" max="17" width="14.44140625" customWidth="1"/>
    <col min="18" max="18" width="7" hidden="1" customWidth="1"/>
    <col min="19" max="19" width="9.77734375" hidden="1" customWidth="1"/>
    <col min="20" max="20" width="5.109375" hidden="1" customWidth="1"/>
    <col min="21" max="21" width="11.21875" hidden="1" customWidth="1"/>
    <col min="22" max="22" width="8" hidden="1" customWidth="1"/>
    <col min="23" max="23" width="10.109375" hidden="1" customWidth="1"/>
    <col min="24" max="24" width="11.21875" hidden="1" customWidth="1"/>
    <col min="25" max="25" width="9.33203125" hidden="1" customWidth="1"/>
    <col min="26" max="26" width="8.44140625" hidden="1" customWidth="1"/>
    <col min="27" max="27" width="12.6640625" hidden="1"/>
    <col min="28" max="28" width="21.44140625" customWidth="1"/>
    <col min="29" max="30" width="17.88671875" customWidth="1"/>
    <col min="33" max="33" width="20.77734375" customWidth="1"/>
  </cols>
  <sheetData>
    <row r="1" spans="1:46" ht="22.5" customHeight="1">
      <c r="A1" s="11" t="s">
        <v>129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11" t="s">
        <v>79</v>
      </c>
      <c r="J1" s="11" t="s">
        <v>80</v>
      </c>
      <c r="K1" s="11" t="s">
        <v>81</v>
      </c>
      <c r="L1" s="11" t="s">
        <v>6</v>
      </c>
      <c r="M1" s="11" t="s">
        <v>82</v>
      </c>
      <c r="N1" s="11" t="s">
        <v>84</v>
      </c>
      <c r="O1" s="11" t="s">
        <v>130</v>
      </c>
      <c r="P1" s="11" t="s">
        <v>5</v>
      </c>
      <c r="Q1" s="11" t="s">
        <v>85</v>
      </c>
      <c r="R1" s="11" t="s">
        <v>86</v>
      </c>
      <c r="S1" s="11" t="s">
        <v>87</v>
      </c>
      <c r="T1" s="11" t="s">
        <v>88</v>
      </c>
      <c r="U1" s="11" t="s">
        <v>89</v>
      </c>
      <c r="V1" s="11" t="s">
        <v>90</v>
      </c>
      <c r="W1" s="11" t="s">
        <v>91</v>
      </c>
      <c r="X1" s="11" t="s">
        <v>92</v>
      </c>
      <c r="Y1" s="11" t="s">
        <v>93</v>
      </c>
      <c r="Z1" s="11" t="s">
        <v>94</v>
      </c>
      <c r="AA1" s="11" t="s">
        <v>95</v>
      </c>
      <c r="AB1" s="11" t="s">
        <v>96</v>
      </c>
      <c r="AC1" s="11" t="s">
        <v>72</v>
      </c>
      <c r="AD1" s="14"/>
    </row>
    <row r="2" spans="1:46" ht="22.5" customHeight="1">
      <c r="A2" s="15">
        <v>1</v>
      </c>
      <c r="B2" s="16" t="s">
        <v>39</v>
      </c>
      <c r="C2" s="17" t="s">
        <v>131</v>
      </c>
      <c r="D2" s="18">
        <v>44944</v>
      </c>
      <c r="E2" s="42">
        <v>1242.675</v>
      </c>
      <c r="F2" s="18"/>
      <c r="G2" s="16">
        <v>0</v>
      </c>
      <c r="H2" s="16">
        <f ca="1">IFERROR(__xludf.DUMMYFUNCTION("GOOGLEFINANCE(""NSE:""&amp;B2,""price"")"),1569)</f>
        <v>1569</v>
      </c>
      <c r="I2" s="15">
        <v>5</v>
      </c>
      <c r="J2" s="16">
        <f t="shared" ref="J2:J102" si="0">E2*I2</f>
        <v>6213.375</v>
      </c>
      <c r="K2" s="16">
        <f t="shared" ref="K2:K102" si="1">IF(G2&gt;0,(E2+G2)*I2,E2*I2)</f>
        <v>6213.375</v>
      </c>
      <c r="L2" s="16">
        <f t="shared" ref="L2:L34" ca="1" si="2">IF(G2&gt;0,0,(H2-E2)*I2)</f>
        <v>1631.6250000000002</v>
      </c>
      <c r="M2" s="19">
        <f t="shared" ref="M2:M34" ca="1" si="3">IF(G2&gt;0,0,(H2-E2)/E2)</f>
        <v>0.26259882913875315</v>
      </c>
      <c r="N2" s="16">
        <f ca="1">IFERROR(__xludf.DUMMYFUNCTION("IF(G2&gt;0,0,GOOGLEFINANCE(""NSE:""&amp;B2,""change""))"),-6.4)</f>
        <v>-6.4</v>
      </c>
      <c r="O2" s="16">
        <f t="shared" ref="O2:O102" ca="1" si="4">I2*N2</f>
        <v>-32</v>
      </c>
      <c r="P2" s="16">
        <f t="shared" ref="P2:P102" si="5">IF(G2=0,0,(G2-E2)*I2)</f>
        <v>0</v>
      </c>
      <c r="Q2" s="19">
        <f t="shared" ref="Q2:Q102" si="6">IF(G2&gt;0,(G2-E2)/E2,0)</f>
        <v>0</v>
      </c>
      <c r="R2" s="16">
        <f t="shared" ref="R2:R8" si="7">0.001*K2</f>
        <v>6.2133750000000001</v>
      </c>
      <c r="S2" s="16">
        <f t="shared" ref="S2:S8" si="8">0.0000325*K2</f>
        <v>0.20193468749999999</v>
      </c>
      <c r="T2" s="16">
        <f t="shared" ref="T2:T9" si="9">0.18*S2</f>
        <v>3.6348243749999995E-2</v>
      </c>
      <c r="U2" s="20">
        <f t="shared" ref="U2:U8" si="10">0.0000005*K2</f>
        <v>3.1066875000000001E-3</v>
      </c>
      <c r="V2" s="16">
        <f t="shared" ref="V2:V9" si="11">R2+S2+T2+U2</f>
        <v>6.4547646187499996</v>
      </c>
      <c r="W2" s="16">
        <f t="shared" ref="W2:W4" si="12">IF(G2&gt;0,15.34,0)</f>
        <v>0</v>
      </c>
      <c r="X2" s="16">
        <f t="shared" ref="X2:X9" si="13">V2+W2</f>
        <v>6.4547646187499996</v>
      </c>
      <c r="Y2" s="16">
        <f t="shared" ref="Y2:Y4" si="14">IF(G2&gt;0,P2-X2,0)</f>
        <v>0</v>
      </c>
      <c r="Z2" s="19">
        <f t="shared" ref="Z2:Z8" si="15">Y2/J2</f>
        <v>0</v>
      </c>
      <c r="AA2" s="21" t="e">
        <f>SUM(#REF!,Y2)</f>
        <v>#REF!</v>
      </c>
      <c r="AB2" s="22" t="s">
        <v>132</v>
      </c>
      <c r="AC2" s="22"/>
      <c r="AD2" s="114" t="s">
        <v>76</v>
      </c>
      <c r="AE2" s="125" t="s">
        <v>8</v>
      </c>
      <c r="AG2" s="113"/>
      <c r="AH2" s="134"/>
      <c r="AI2" s="114" t="s">
        <v>275</v>
      </c>
      <c r="AJ2" s="115"/>
      <c r="AM2" s="113"/>
      <c r="AN2" s="114" t="s">
        <v>275</v>
      </c>
      <c r="AO2" s="115"/>
      <c r="AR2" s="113"/>
      <c r="AS2" s="114" t="s">
        <v>275</v>
      </c>
      <c r="AT2" s="115"/>
    </row>
    <row r="3" spans="1:46" ht="22.5" customHeight="1">
      <c r="A3" s="15">
        <v>2</v>
      </c>
      <c r="B3" s="16" t="s">
        <v>133</v>
      </c>
      <c r="C3" s="17" t="s">
        <v>131</v>
      </c>
      <c r="D3" s="18">
        <v>44944</v>
      </c>
      <c r="E3" s="16">
        <v>1685</v>
      </c>
      <c r="F3" s="18">
        <v>45183</v>
      </c>
      <c r="G3" s="16">
        <v>1923.7</v>
      </c>
      <c r="H3" s="16">
        <f ca="1">IFERROR(__xludf.DUMMYFUNCTION("GOOGLEFINANCE(""NSE:""&amp;B3,""price"")"),2823.1)</f>
        <v>2823.1</v>
      </c>
      <c r="I3" s="15">
        <v>10</v>
      </c>
      <c r="J3" s="16">
        <f t="shared" si="0"/>
        <v>16850</v>
      </c>
      <c r="K3" s="16">
        <f t="shared" si="1"/>
        <v>36087</v>
      </c>
      <c r="L3" s="16">
        <f t="shared" si="2"/>
        <v>0</v>
      </c>
      <c r="M3" s="19">
        <f t="shared" si="3"/>
        <v>0</v>
      </c>
      <c r="N3" s="16">
        <f ca="1">IFERROR(__xludf.DUMMYFUNCTION("IF(G3&gt;0,0,GOOGLEFINANCE(""NSE:""&amp;B3,""change""))"),0)</f>
        <v>0</v>
      </c>
      <c r="O3" s="16">
        <f t="shared" ca="1" si="4"/>
        <v>0</v>
      </c>
      <c r="P3" s="16">
        <f t="shared" si="5"/>
        <v>2387.0000000000005</v>
      </c>
      <c r="Q3" s="19">
        <f t="shared" si="6"/>
        <v>0.14166172106824929</v>
      </c>
      <c r="R3" s="16">
        <f t="shared" si="7"/>
        <v>36.087000000000003</v>
      </c>
      <c r="S3" s="16">
        <f t="shared" si="8"/>
        <v>1.1728274999999999</v>
      </c>
      <c r="T3" s="16">
        <f t="shared" si="9"/>
        <v>0.21110894999999999</v>
      </c>
      <c r="U3" s="16">
        <f t="shared" si="10"/>
        <v>1.8043500000000001E-2</v>
      </c>
      <c r="V3" s="16">
        <f t="shared" si="11"/>
        <v>37.488979950000001</v>
      </c>
      <c r="W3" s="16">
        <f t="shared" si="12"/>
        <v>15.34</v>
      </c>
      <c r="X3" s="16">
        <f t="shared" si="13"/>
        <v>52.828979950000004</v>
      </c>
      <c r="Y3" s="16">
        <f t="shared" si="14"/>
        <v>2334.1710200500006</v>
      </c>
      <c r="Z3" s="19">
        <f t="shared" si="15"/>
        <v>0.13852647003264099</v>
      </c>
      <c r="AA3" s="21" t="e">
        <f t="shared" ref="AA3:AA9" si="16">SUM(AA2,Y3)</f>
        <v>#REF!</v>
      </c>
      <c r="AB3" s="22"/>
      <c r="AC3" s="22"/>
      <c r="AD3" s="132">
        <v>44344</v>
      </c>
      <c r="AE3" s="127">
        <v>300</v>
      </c>
      <c r="AG3" s="114" t="s">
        <v>73</v>
      </c>
      <c r="AH3" s="114" t="s">
        <v>4</v>
      </c>
      <c r="AI3" s="113" t="s">
        <v>9</v>
      </c>
      <c r="AJ3" s="116" t="s">
        <v>8</v>
      </c>
      <c r="AM3" s="114" t="s">
        <v>4</v>
      </c>
      <c r="AN3" s="113" t="s">
        <v>5</v>
      </c>
      <c r="AO3" s="116" t="s">
        <v>6</v>
      </c>
      <c r="AR3" s="114" t="s">
        <v>73</v>
      </c>
      <c r="AS3" s="113" t="s">
        <v>5</v>
      </c>
      <c r="AT3" s="116" t="s">
        <v>6</v>
      </c>
    </row>
    <row r="4" spans="1:46" ht="22.5" customHeight="1">
      <c r="A4" s="15">
        <v>3</v>
      </c>
      <c r="B4" s="16" t="s">
        <v>39</v>
      </c>
      <c r="C4" s="17" t="s">
        <v>131</v>
      </c>
      <c r="D4" s="18">
        <v>44956</v>
      </c>
      <c r="E4" s="42">
        <v>1167.375</v>
      </c>
      <c r="F4" s="18"/>
      <c r="G4" s="16">
        <v>0</v>
      </c>
      <c r="H4" s="16">
        <f ca="1">IFERROR(__xludf.DUMMYFUNCTION("GOOGLEFINANCE(""NSE:""&amp;B4,""price"")"),1569)</f>
        <v>1569</v>
      </c>
      <c r="I4" s="15">
        <v>2</v>
      </c>
      <c r="J4" s="16">
        <f t="shared" si="0"/>
        <v>2334.75</v>
      </c>
      <c r="K4" s="16">
        <f t="shared" si="1"/>
        <v>2334.75</v>
      </c>
      <c r="L4" s="16">
        <f t="shared" ca="1" si="2"/>
        <v>803.25</v>
      </c>
      <c r="M4" s="19">
        <f t="shared" ca="1" si="3"/>
        <v>0.34404111789270803</v>
      </c>
      <c r="N4" s="16">
        <f ca="1">IFERROR(__xludf.DUMMYFUNCTION("IF(G4&gt;0,0,GOOGLEFINANCE(""NSE:""&amp;B4,""change""))"),-6.4)</f>
        <v>-6.4</v>
      </c>
      <c r="O4" s="16">
        <f t="shared" ca="1" si="4"/>
        <v>-12.8</v>
      </c>
      <c r="P4" s="16">
        <f t="shared" si="5"/>
        <v>0</v>
      </c>
      <c r="Q4" s="19">
        <f t="shared" si="6"/>
        <v>0</v>
      </c>
      <c r="R4" s="16">
        <f t="shared" si="7"/>
        <v>2.3347500000000001</v>
      </c>
      <c r="S4" s="16">
        <f t="shared" si="8"/>
        <v>7.5879374999999999E-2</v>
      </c>
      <c r="T4" s="16">
        <f t="shared" si="9"/>
        <v>1.36582875E-2</v>
      </c>
      <c r="U4" s="16">
        <f t="shared" si="10"/>
        <v>1.167375E-3</v>
      </c>
      <c r="V4" s="16">
        <f t="shared" si="11"/>
        <v>2.4254550375000004</v>
      </c>
      <c r="W4" s="16">
        <f t="shared" si="12"/>
        <v>0</v>
      </c>
      <c r="X4" s="16">
        <f t="shared" si="13"/>
        <v>2.4254550375000004</v>
      </c>
      <c r="Y4" s="16">
        <f t="shared" si="14"/>
        <v>0</v>
      </c>
      <c r="Z4" s="19">
        <f t="shared" si="15"/>
        <v>0</v>
      </c>
      <c r="AA4" s="21" t="e">
        <f t="shared" si="16"/>
        <v>#REF!</v>
      </c>
      <c r="AB4" s="22" t="s">
        <v>132</v>
      </c>
      <c r="AC4" s="22"/>
      <c r="AD4" s="133">
        <v>44363</v>
      </c>
      <c r="AE4" s="129">
        <v>10128.5</v>
      </c>
      <c r="AG4" s="113" t="s">
        <v>97</v>
      </c>
      <c r="AH4" s="134"/>
      <c r="AI4" s="117">
        <v>3155.099999999999</v>
      </c>
      <c r="AJ4" s="118">
        <v>6952.6999999999989</v>
      </c>
      <c r="AM4" s="136" t="s">
        <v>134</v>
      </c>
      <c r="AN4" s="117">
        <v>10128.5</v>
      </c>
      <c r="AO4" s="118">
        <v>0</v>
      </c>
      <c r="AR4" s="113" t="s">
        <v>97</v>
      </c>
      <c r="AS4" s="117">
        <v>6952.6999999999989</v>
      </c>
      <c r="AT4" s="118">
        <v>3155.099999999999</v>
      </c>
    </row>
    <row r="5" spans="1:46" ht="22.5" customHeight="1">
      <c r="A5" s="15">
        <v>4</v>
      </c>
      <c r="B5" s="25" t="s">
        <v>22</v>
      </c>
      <c r="C5" s="17" t="s">
        <v>131</v>
      </c>
      <c r="D5" s="18">
        <v>44960</v>
      </c>
      <c r="E5" s="16">
        <v>327.72</v>
      </c>
      <c r="F5" s="18"/>
      <c r="G5" s="16">
        <v>0</v>
      </c>
      <c r="H5" s="16">
        <f ca="1">IFERROR(__xludf.DUMMYFUNCTION("GOOGLEFINANCE(""NSE:""&amp;B5,""price"")"),369.7)</f>
        <v>369.7</v>
      </c>
      <c r="I5" s="15">
        <v>10</v>
      </c>
      <c r="J5" s="16">
        <f t="shared" si="0"/>
        <v>3277.2000000000003</v>
      </c>
      <c r="K5" s="16">
        <f t="shared" si="1"/>
        <v>3277.2000000000003</v>
      </c>
      <c r="L5" s="16">
        <f t="shared" ca="1" si="2"/>
        <v>419.79999999999961</v>
      </c>
      <c r="M5" s="19">
        <f t="shared" ca="1" si="3"/>
        <v>0.12809715610887329</v>
      </c>
      <c r="N5" s="16">
        <f ca="1">IFERROR(__xludf.DUMMYFUNCTION("IF(G5&gt;0,0,GOOGLEFINANCE(""NSE:""&amp;B5,""change""))"),-0.2)</f>
        <v>-0.2</v>
      </c>
      <c r="O5" s="16">
        <f t="shared" ca="1" si="4"/>
        <v>-2</v>
      </c>
      <c r="P5" s="16">
        <f t="shared" si="5"/>
        <v>0</v>
      </c>
      <c r="Q5" s="19">
        <f t="shared" si="6"/>
        <v>0</v>
      </c>
      <c r="R5" s="16">
        <f t="shared" si="7"/>
        <v>3.2772000000000006</v>
      </c>
      <c r="S5" s="16">
        <f t="shared" si="8"/>
        <v>0.10650900000000001</v>
      </c>
      <c r="T5" s="16">
        <f t="shared" si="9"/>
        <v>1.917162E-2</v>
      </c>
      <c r="U5" s="16">
        <f t="shared" si="10"/>
        <v>1.6386E-3</v>
      </c>
      <c r="V5" s="16">
        <f t="shared" si="11"/>
        <v>3.4045192200000005</v>
      </c>
      <c r="W5" s="16" t="e">
        <f>IF(#REF!&gt;0,15.34,0)</f>
        <v>#REF!</v>
      </c>
      <c r="X5" s="16" t="e">
        <f t="shared" si="13"/>
        <v>#REF!</v>
      </c>
      <c r="Y5" s="16" t="e">
        <f>IF(#REF!&gt;0,P5-X5,0)</f>
        <v>#REF!</v>
      </c>
      <c r="Z5" s="19" t="e">
        <f t="shared" si="15"/>
        <v>#REF!</v>
      </c>
      <c r="AA5" s="21" t="e">
        <f t="shared" si="16"/>
        <v>#REF!</v>
      </c>
      <c r="AB5" s="22"/>
      <c r="AC5" s="22"/>
      <c r="AD5" s="133">
        <v>45183</v>
      </c>
      <c r="AE5" s="129">
        <v>2387.0000000000005</v>
      </c>
      <c r="AG5" s="113" t="s">
        <v>131</v>
      </c>
      <c r="AH5" s="134"/>
      <c r="AI5" s="117" t="e">
        <v>#VALUE!</v>
      </c>
      <c r="AJ5" s="118">
        <v>43504.05</v>
      </c>
      <c r="AM5" s="138" t="s">
        <v>135</v>
      </c>
      <c r="AN5" s="120">
        <v>300</v>
      </c>
      <c r="AO5" s="121">
        <v>0</v>
      </c>
      <c r="AR5" s="119" t="s">
        <v>131</v>
      </c>
      <c r="AS5" s="120">
        <v>43504.05</v>
      </c>
      <c r="AT5" s="121" t="e">
        <v>#VALUE!</v>
      </c>
    </row>
    <row r="6" spans="1:46" ht="22.5" customHeight="1">
      <c r="A6" s="15">
        <v>5</v>
      </c>
      <c r="B6" s="25" t="s">
        <v>137</v>
      </c>
      <c r="C6" s="17" t="s">
        <v>138</v>
      </c>
      <c r="D6" s="18">
        <v>44972</v>
      </c>
      <c r="E6" s="16">
        <v>49.48</v>
      </c>
      <c r="F6" s="18">
        <v>45660</v>
      </c>
      <c r="G6" s="16">
        <v>82.2</v>
      </c>
      <c r="H6" s="16">
        <f ca="1">IFERROR(__xludf.DUMMYFUNCTION("GOOGLEFINANCE(""NSE:""&amp;B6,""price"")"),83.27)</f>
        <v>83.27</v>
      </c>
      <c r="I6" s="15">
        <v>65</v>
      </c>
      <c r="J6" s="16">
        <f t="shared" si="0"/>
        <v>3216.2</v>
      </c>
      <c r="K6" s="16">
        <f t="shared" si="1"/>
        <v>8559.2000000000007</v>
      </c>
      <c r="L6" s="16">
        <f t="shared" si="2"/>
        <v>0</v>
      </c>
      <c r="M6" s="19">
        <f t="shared" si="3"/>
        <v>0</v>
      </c>
      <c r="N6" s="16">
        <f ca="1">IFERROR(__xludf.DUMMYFUNCTION("IF(G6&gt;0,0,GOOGLEFINANCE(""NSE:""&amp;B6,""change""))"),0)</f>
        <v>0</v>
      </c>
      <c r="O6" s="16">
        <f t="shared" ca="1" si="4"/>
        <v>0</v>
      </c>
      <c r="P6" s="16">
        <f t="shared" si="5"/>
        <v>2126.8000000000002</v>
      </c>
      <c r="Q6" s="19">
        <f t="shared" si="6"/>
        <v>0.66127728375101069</v>
      </c>
      <c r="R6" s="16">
        <f t="shared" si="7"/>
        <v>8.5592000000000006</v>
      </c>
      <c r="S6" s="16">
        <f t="shared" si="8"/>
        <v>0.27817399999999998</v>
      </c>
      <c r="T6" s="16">
        <f t="shared" si="9"/>
        <v>5.0071319999999996E-2</v>
      </c>
      <c r="U6" s="16">
        <f t="shared" si="10"/>
        <v>4.2796000000000006E-3</v>
      </c>
      <c r="V6" s="16">
        <f t="shared" si="11"/>
        <v>8.8917249200000015</v>
      </c>
      <c r="W6" s="16">
        <f t="shared" ref="W6:W9" si="17">IF(G5&gt;0,15.34,0)</f>
        <v>0</v>
      </c>
      <c r="X6" s="16">
        <f t="shared" si="13"/>
        <v>8.8917249200000015</v>
      </c>
      <c r="Y6" s="16">
        <f t="shared" ref="Y6:Y9" si="18">IF(G5&gt;0,P6-X6,0)</f>
        <v>0</v>
      </c>
      <c r="Z6" s="19">
        <f t="shared" si="15"/>
        <v>0</v>
      </c>
      <c r="AA6" s="21" t="e">
        <f t="shared" si="16"/>
        <v>#REF!</v>
      </c>
      <c r="AB6" s="22"/>
      <c r="AC6" s="22"/>
      <c r="AD6" s="133">
        <v>45204</v>
      </c>
      <c r="AE6" s="129">
        <v>249.5999999999998</v>
      </c>
      <c r="AG6" s="113" t="s">
        <v>136</v>
      </c>
      <c r="AH6" s="134"/>
      <c r="AI6" s="117" t="e">
        <v>#NAME?</v>
      </c>
      <c r="AJ6" s="118">
        <v>105414.85</v>
      </c>
      <c r="AM6" s="138" t="s">
        <v>12</v>
      </c>
      <c r="AN6" s="120">
        <v>0</v>
      </c>
      <c r="AO6" s="121">
        <v>-393</v>
      </c>
      <c r="AR6" s="119" t="s">
        <v>136</v>
      </c>
      <c r="AS6" s="120">
        <v>105414.85</v>
      </c>
      <c r="AT6" s="121" t="e">
        <v>#NAME?</v>
      </c>
    </row>
    <row r="7" spans="1:46" ht="22.5" customHeight="1">
      <c r="A7" s="15">
        <v>6</v>
      </c>
      <c r="B7" s="25" t="s">
        <v>27</v>
      </c>
      <c r="C7" s="17" t="s">
        <v>140</v>
      </c>
      <c r="D7" s="18">
        <v>44972</v>
      </c>
      <c r="E7" s="16">
        <v>57.93</v>
      </c>
      <c r="F7" s="18"/>
      <c r="G7" s="16">
        <v>0</v>
      </c>
      <c r="H7" s="16">
        <f ca="1">IFERROR(__xludf.DUMMYFUNCTION("GOOGLEFINANCE(""NSE:""&amp;B7,""price"")"),116.72)</f>
        <v>116.72</v>
      </c>
      <c r="I7" s="15">
        <v>60</v>
      </c>
      <c r="J7" s="16">
        <f t="shared" si="0"/>
        <v>3475.8</v>
      </c>
      <c r="K7" s="16">
        <f t="shared" si="1"/>
        <v>3475.8</v>
      </c>
      <c r="L7" s="16">
        <f t="shared" ca="1" si="2"/>
        <v>3527.4</v>
      </c>
      <c r="M7" s="19">
        <f t="shared" ca="1" si="3"/>
        <v>1.0148455031935093</v>
      </c>
      <c r="N7" s="16">
        <f ca="1">IFERROR(__xludf.DUMMYFUNCTION("IF(G7&gt;0,0,GOOGLEFINANCE(""NSE:""&amp;B7,""change""))"),0.58)</f>
        <v>0.57999999999999996</v>
      </c>
      <c r="O7" s="16">
        <f t="shared" ca="1" si="4"/>
        <v>34.799999999999997</v>
      </c>
      <c r="P7" s="16">
        <f t="shared" si="5"/>
        <v>0</v>
      </c>
      <c r="Q7" s="19">
        <f t="shared" si="6"/>
        <v>0</v>
      </c>
      <c r="R7" s="16">
        <f t="shared" si="7"/>
        <v>3.4758000000000004</v>
      </c>
      <c r="S7" s="16">
        <f t="shared" si="8"/>
        <v>0.11296349999999999</v>
      </c>
      <c r="T7" s="16">
        <f t="shared" si="9"/>
        <v>2.033343E-2</v>
      </c>
      <c r="U7" s="16">
        <f t="shared" si="10"/>
        <v>1.7378999999999999E-3</v>
      </c>
      <c r="V7" s="16">
        <f t="shared" si="11"/>
        <v>3.6108348300000008</v>
      </c>
      <c r="W7" s="16">
        <f t="shared" si="17"/>
        <v>15.34</v>
      </c>
      <c r="X7" s="16">
        <f t="shared" si="13"/>
        <v>18.950834830000002</v>
      </c>
      <c r="Y7" s="16">
        <f t="shared" si="18"/>
        <v>-18.950834830000002</v>
      </c>
      <c r="Z7" s="19">
        <f t="shared" si="15"/>
        <v>-5.4522224610161693E-3</v>
      </c>
      <c r="AA7" s="21" t="e">
        <f t="shared" si="16"/>
        <v>#REF!</v>
      </c>
      <c r="AC7" s="27"/>
      <c r="AD7" s="133">
        <v>45259</v>
      </c>
      <c r="AE7" s="129">
        <v>3327.9999999999995</v>
      </c>
      <c r="AG7" s="113" t="s">
        <v>139</v>
      </c>
      <c r="AH7" s="134"/>
      <c r="AI7" s="117">
        <v>12597.550000000003</v>
      </c>
      <c r="AJ7" s="118">
        <v>0</v>
      </c>
      <c r="AM7" s="138" t="s">
        <v>11</v>
      </c>
      <c r="AN7" s="120">
        <v>0</v>
      </c>
      <c r="AO7" s="121">
        <v>-2643.2600000000011</v>
      </c>
      <c r="AR7" s="119" t="s">
        <v>139</v>
      </c>
      <c r="AS7" s="120">
        <v>0</v>
      </c>
      <c r="AT7" s="121">
        <v>12597.550000000003</v>
      </c>
    </row>
    <row r="8" spans="1:46" ht="22.5" customHeight="1">
      <c r="A8" s="15">
        <v>7</v>
      </c>
      <c r="B8" s="25" t="s">
        <v>141</v>
      </c>
      <c r="C8" s="17" t="s">
        <v>138</v>
      </c>
      <c r="D8" s="18">
        <v>44972</v>
      </c>
      <c r="E8" s="16">
        <v>41.54</v>
      </c>
      <c r="F8" s="18">
        <v>45204</v>
      </c>
      <c r="G8" s="16">
        <v>44.66</v>
      </c>
      <c r="H8" s="16">
        <v>48.75</v>
      </c>
      <c r="I8" s="15">
        <v>80</v>
      </c>
      <c r="J8" s="16">
        <f t="shared" si="0"/>
        <v>3323.2</v>
      </c>
      <c r="K8" s="16">
        <f t="shared" si="1"/>
        <v>6895.9999999999991</v>
      </c>
      <c r="L8" s="16">
        <f t="shared" si="2"/>
        <v>0</v>
      </c>
      <c r="M8" s="19">
        <f t="shared" si="3"/>
        <v>0</v>
      </c>
      <c r="N8" s="16">
        <f ca="1">IFERROR(__xludf.DUMMYFUNCTION("IF(G8&gt;0,0,GOOGLEFINANCE(""NSE:""&amp;B8,""change""))"),0)</f>
        <v>0</v>
      </c>
      <c r="O8" s="16">
        <f t="shared" ca="1" si="4"/>
        <v>0</v>
      </c>
      <c r="P8" s="16">
        <f t="shared" si="5"/>
        <v>249.5999999999998</v>
      </c>
      <c r="Q8" s="19">
        <f t="shared" si="6"/>
        <v>7.5108329321136189E-2</v>
      </c>
      <c r="R8" s="16">
        <f t="shared" si="7"/>
        <v>6.895999999999999</v>
      </c>
      <c r="S8" s="16">
        <f t="shared" si="8"/>
        <v>0.22411999999999996</v>
      </c>
      <c r="T8" s="16">
        <f t="shared" si="9"/>
        <v>4.0341599999999991E-2</v>
      </c>
      <c r="U8" s="16">
        <f t="shared" si="10"/>
        <v>3.4479999999999992E-3</v>
      </c>
      <c r="V8" s="16">
        <f t="shared" si="11"/>
        <v>7.1639095999999984</v>
      </c>
      <c r="W8" s="16">
        <f t="shared" si="17"/>
        <v>0</v>
      </c>
      <c r="X8" s="16">
        <f t="shared" si="13"/>
        <v>7.1639095999999984</v>
      </c>
      <c r="Y8" s="16">
        <f t="shared" si="18"/>
        <v>0</v>
      </c>
      <c r="Z8" s="19">
        <f t="shared" si="15"/>
        <v>0</v>
      </c>
      <c r="AA8" s="21" t="e">
        <f t="shared" si="16"/>
        <v>#REF!</v>
      </c>
      <c r="AC8" s="27"/>
      <c r="AD8" s="133">
        <v>45260</v>
      </c>
      <c r="AE8" s="129">
        <v>8054.0000000000009</v>
      </c>
      <c r="AG8" s="113" t="s">
        <v>140</v>
      </c>
      <c r="AH8" s="134"/>
      <c r="AI8" s="117" t="e">
        <v>#NAME?</v>
      </c>
      <c r="AJ8" s="118">
        <v>6152.5</v>
      </c>
      <c r="AM8" s="138" t="s">
        <v>17</v>
      </c>
      <c r="AN8" s="120">
        <v>0</v>
      </c>
      <c r="AO8" s="121">
        <v>-964.60000000000014</v>
      </c>
      <c r="AR8" s="119" t="s">
        <v>140</v>
      </c>
      <c r="AS8" s="120">
        <v>6152.5</v>
      </c>
      <c r="AT8" s="121" t="e">
        <v>#NAME?</v>
      </c>
    </row>
    <row r="9" spans="1:46" ht="22.5" customHeight="1">
      <c r="A9" s="15">
        <v>8</v>
      </c>
      <c r="B9" s="25" t="s">
        <v>69</v>
      </c>
      <c r="C9" s="17" t="s">
        <v>97</v>
      </c>
      <c r="D9" s="18">
        <v>45091</v>
      </c>
      <c r="E9" s="16">
        <v>113.8</v>
      </c>
      <c r="F9" s="18">
        <v>45483</v>
      </c>
      <c r="G9" s="16">
        <v>168.42</v>
      </c>
      <c r="H9" s="16">
        <f ca="1">IFERROR(__xludf.DUMMYFUNCTION("GOOGLEFINANCE(""NSE:""&amp;B9,""price"")"),170.82)</f>
        <v>170.82</v>
      </c>
      <c r="I9" s="15">
        <v>40</v>
      </c>
      <c r="J9" s="16">
        <f t="shared" si="0"/>
        <v>4552</v>
      </c>
      <c r="K9" s="16">
        <f t="shared" si="1"/>
        <v>11288.8</v>
      </c>
      <c r="L9" s="16">
        <f t="shared" si="2"/>
        <v>0</v>
      </c>
      <c r="M9" s="19">
        <f t="shared" si="3"/>
        <v>0</v>
      </c>
      <c r="N9" s="16">
        <f ca="1">IFERROR(__xludf.DUMMYFUNCTION("IF(G9&gt;0,0,GOOGLEFINANCE(""NSE:""&amp;B9,""change""))"),0)</f>
        <v>0</v>
      </c>
      <c r="O9" s="16">
        <f t="shared" ca="1" si="4"/>
        <v>0</v>
      </c>
      <c r="P9" s="16">
        <f t="shared" si="5"/>
        <v>2184.7999999999997</v>
      </c>
      <c r="Q9" s="19">
        <f t="shared" si="6"/>
        <v>0.47996485061511418</v>
      </c>
      <c r="R9" s="16" t="e">
        <f>0.001*#REF!</f>
        <v>#REF!</v>
      </c>
      <c r="S9" s="16" t="e">
        <f>0.0000325*#REF!</f>
        <v>#REF!</v>
      </c>
      <c r="T9" s="16" t="e">
        <f t="shared" si="9"/>
        <v>#REF!</v>
      </c>
      <c r="U9" s="16" t="e">
        <f>0.0000005*#REF!</f>
        <v>#REF!</v>
      </c>
      <c r="V9" s="16" t="e">
        <f t="shared" si="11"/>
        <v>#REF!</v>
      </c>
      <c r="W9" s="16">
        <f t="shared" si="17"/>
        <v>15.34</v>
      </c>
      <c r="X9" s="16" t="e">
        <f t="shared" si="13"/>
        <v>#REF!</v>
      </c>
      <c r="Y9" s="16" t="e">
        <f t="shared" si="18"/>
        <v>#REF!</v>
      </c>
      <c r="Z9" s="19" t="e">
        <f>Y9/#REF!</f>
        <v>#REF!</v>
      </c>
      <c r="AA9" s="21" t="e">
        <f t="shared" si="16"/>
        <v>#REF!</v>
      </c>
      <c r="AC9" s="27"/>
      <c r="AD9" s="133">
        <v>45280</v>
      </c>
      <c r="AE9" s="129">
        <v>6152.5</v>
      </c>
      <c r="AG9" s="113" t="s">
        <v>138</v>
      </c>
      <c r="AH9" s="136" t="s">
        <v>137</v>
      </c>
      <c r="AI9" s="117">
        <v>0</v>
      </c>
      <c r="AJ9" s="118">
        <v>2126.8000000000002</v>
      </c>
      <c r="AM9" s="138" t="s">
        <v>21</v>
      </c>
      <c r="AN9" s="120">
        <v>3309.5000000000005</v>
      </c>
      <c r="AO9" s="121">
        <v>1705.4999999999995</v>
      </c>
      <c r="AR9" s="119" t="s">
        <v>138</v>
      </c>
      <c r="AS9" s="120">
        <v>2376.4</v>
      </c>
      <c r="AT9" s="121">
        <v>0</v>
      </c>
    </row>
    <row r="10" spans="1:46" ht="22.5" customHeight="1">
      <c r="A10" s="15">
        <v>9</v>
      </c>
      <c r="B10" s="25" t="s">
        <v>27</v>
      </c>
      <c r="C10" s="17" t="s">
        <v>140</v>
      </c>
      <c r="D10" s="18">
        <v>45145</v>
      </c>
      <c r="E10" s="16">
        <v>69.86</v>
      </c>
      <c r="F10" s="18"/>
      <c r="G10" s="16">
        <v>0</v>
      </c>
      <c r="H10" s="16">
        <f ca="1">IFERROR(__xludf.DUMMYFUNCTION("GOOGLEFINANCE(""NSE:""&amp;B10,""price"")"),116.72)</f>
        <v>116.72</v>
      </c>
      <c r="I10" s="15">
        <v>45</v>
      </c>
      <c r="J10" s="16">
        <f t="shared" si="0"/>
        <v>3143.7</v>
      </c>
      <c r="K10" s="16">
        <f t="shared" si="1"/>
        <v>3143.7</v>
      </c>
      <c r="L10" s="16">
        <f t="shared" ca="1" si="2"/>
        <v>2108.6999999999998</v>
      </c>
      <c r="M10" s="19">
        <f t="shared" ca="1" si="3"/>
        <v>0.67077011165187517</v>
      </c>
      <c r="N10" s="16">
        <f ca="1">IFERROR(__xludf.DUMMYFUNCTION("IF(G10&gt;0,0,GOOGLEFINANCE(""NSE:""&amp;B10,""change""))"),0.58)</f>
        <v>0.57999999999999996</v>
      </c>
      <c r="O10" s="16">
        <f t="shared" ca="1" si="4"/>
        <v>26.099999999999998</v>
      </c>
      <c r="P10" s="16">
        <f t="shared" si="5"/>
        <v>0</v>
      </c>
      <c r="Q10" s="19">
        <f t="shared" si="6"/>
        <v>0</v>
      </c>
      <c r="R10" s="16"/>
      <c r="S10" s="16"/>
      <c r="T10" s="16"/>
      <c r="U10" s="16"/>
      <c r="V10" s="16"/>
      <c r="W10" s="16"/>
      <c r="X10" s="16"/>
      <c r="Y10" s="16"/>
      <c r="Z10" s="19"/>
      <c r="AA10" s="16"/>
      <c r="AC10" s="27"/>
      <c r="AD10" s="133">
        <v>45287</v>
      </c>
      <c r="AE10" s="129">
        <v>2727.6500000000005</v>
      </c>
      <c r="AG10" s="143"/>
      <c r="AH10" s="138" t="s">
        <v>141</v>
      </c>
      <c r="AI10" s="120">
        <v>0</v>
      </c>
      <c r="AJ10" s="121">
        <v>249.5999999999998</v>
      </c>
      <c r="AM10" s="138" t="s">
        <v>25</v>
      </c>
      <c r="AN10" s="120">
        <v>12176.2</v>
      </c>
      <c r="AO10" s="121">
        <v>0</v>
      </c>
      <c r="AR10" s="122" t="s">
        <v>48</v>
      </c>
      <c r="AS10" s="123">
        <v>164400.5</v>
      </c>
      <c r="AT10" s="124" t="e">
        <v>#VALUE!</v>
      </c>
    </row>
    <row r="11" spans="1:46" ht="22.5" customHeight="1">
      <c r="A11" s="15">
        <v>10</v>
      </c>
      <c r="B11" s="16" t="s">
        <v>110</v>
      </c>
      <c r="C11" s="15" t="s">
        <v>139</v>
      </c>
      <c r="D11" s="18">
        <v>45168</v>
      </c>
      <c r="E11" s="16">
        <v>639.4</v>
      </c>
      <c r="F11" s="18"/>
      <c r="G11" s="16">
        <v>0</v>
      </c>
      <c r="H11" s="16">
        <f ca="1">IFERROR(__xludf.DUMMYFUNCTION("GOOGLEFINANCE(""NSE:""&amp;B11,""price"")"),763)</f>
        <v>763</v>
      </c>
      <c r="I11" s="15">
        <v>11</v>
      </c>
      <c r="J11" s="16">
        <f t="shared" si="0"/>
        <v>7033.4</v>
      </c>
      <c r="K11" s="16">
        <f t="shared" si="1"/>
        <v>7033.4</v>
      </c>
      <c r="L11" s="16">
        <f t="shared" ca="1" si="2"/>
        <v>1359.6000000000004</v>
      </c>
      <c r="M11" s="19">
        <f t="shared" ca="1" si="3"/>
        <v>0.193306224585549</v>
      </c>
      <c r="N11" s="16">
        <f ca="1">IFERROR(__xludf.DUMMYFUNCTION("IF(G11&gt;0,0,GOOGLEFINANCE(""NSE:""&amp;B11,""change""))"),1.2)</f>
        <v>1.2</v>
      </c>
      <c r="O11" s="16">
        <f t="shared" ca="1" si="4"/>
        <v>13.2</v>
      </c>
      <c r="P11" s="16">
        <f t="shared" si="5"/>
        <v>0</v>
      </c>
      <c r="Q11" s="19">
        <f t="shared" si="6"/>
        <v>0</v>
      </c>
      <c r="R11" s="16"/>
      <c r="S11" s="16"/>
      <c r="T11" s="16"/>
      <c r="U11" s="16"/>
      <c r="V11" s="16"/>
      <c r="W11" s="16"/>
      <c r="X11" s="16"/>
      <c r="Y11" s="16"/>
      <c r="Z11" s="19"/>
      <c r="AA11" s="16"/>
      <c r="AC11" s="27"/>
      <c r="AD11" s="133">
        <v>45288</v>
      </c>
      <c r="AE11" s="129">
        <v>3975</v>
      </c>
      <c r="AG11" s="113" t="s">
        <v>142</v>
      </c>
      <c r="AH11" s="134"/>
      <c r="AI11" s="117">
        <v>0</v>
      </c>
      <c r="AJ11" s="118">
        <v>2376.4</v>
      </c>
      <c r="AM11" s="138" t="s">
        <v>22</v>
      </c>
      <c r="AN11" s="120">
        <v>0</v>
      </c>
      <c r="AO11" s="121">
        <v>7156.5</v>
      </c>
    </row>
    <row r="12" spans="1:46" ht="22.5" customHeight="1">
      <c r="A12" s="15">
        <v>11</v>
      </c>
      <c r="B12" s="16" t="s">
        <v>36</v>
      </c>
      <c r="C12" s="17" t="s">
        <v>131</v>
      </c>
      <c r="D12" s="18"/>
      <c r="E12" s="16">
        <v>1</v>
      </c>
      <c r="F12" s="18"/>
      <c r="G12" s="16">
        <v>0</v>
      </c>
      <c r="H12" s="16">
        <f ca="1">IFERROR(__xludf.DUMMYFUNCTION("GOOGLEFINANCE(""NSE:""&amp;B12,""price"")"),298.5)</f>
        <v>298.5</v>
      </c>
      <c r="I12" s="15">
        <v>7</v>
      </c>
      <c r="J12" s="16">
        <f t="shared" si="0"/>
        <v>7</v>
      </c>
      <c r="K12" s="16">
        <f t="shared" si="1"/>
        <v>7</v>
      </c>
      <c r="L12" s="16">
        <f t="shared" ca="1" si="2"/>
        <v>2082.5</v>
      </c>
      <c r="M12" s="19">
        <f t="shared" ca="1" si="3"/>
        <v>297.5</v>
      </c>
      <c r="N12" s="16">
        <f ca="1">IFERROR(__xludf.DUMMYFUNCTION("IF(G12&gt;0,0,GOOGLEFINANCE(""NSE:""&amp;B12,""change""))"),-0.25)</f>
        <v>-0.25</v>
      </c>
      <c r="O12" s="16">
        <f t="shared" ca="1" si="4"/>
        <v>-1.75</v>
      </c>
      <c r="P12" s="16">
        <f t="shared" si="5"/>
        <v>0</v>
      </c>
      <c r="Q12" s="19">
        <f t="shared" si="6"/>
        <v>0</v>
      </c>
      <c r="R12" s="16"/>
      <c r="S12" s="16"/>
      <c r="T12" s="16"/>
      <c r="U12" s="16"/>
      <c r="V12" s="16"/>
      <c r="W12" s="16"/>
      <c r="X12" s="16"/>
      <c r="Y12" s="16"/>
      <c r="Z12" s="19"/>
      <c r="AA12" s="16"/>
      <c r="AC12" s="27"/>
      <c r="AD12" s="133">
        <v>45345</v>
      </c>
      <c r="AE12" s="129">
        <v>434.7</v>
      </c>
      <c r="AG12" s="122" t="s">
        <v>48</v>
      </c>
      <c r="AH12" s="142"/>
      <c r="AI12" s="123" t="e">
        <v>#VALUE!</v>
      </c>
      <c r="AJ12" s="124">
        <v>164400.5</v>
      </c>
      <c r="AM12" s="138" t="s">
        <v>38</v>
      </c>
      <c r="AN12" s="120">
        <v>6273.4500000000007</v>
      </c>
      <c r="AO12" s="121">
        <v>-1397.5500000000006</v>
      </c>
    </row>
    <row r="13" spans="1:46" ht="22.5" customHeight="1">
      <c r="A13" s="15">
        <v>12</v>
      </c>
      <c r="B13" s="15" t="s">
        <v>38</v>
      </c>
      <c r="C13" s="17" t="s">
        <v>136</v>
      </c>
      <c r="D13" s="18">
        <v>42950</v>
      </c>
      <c r="E13" s="16">
        <v>263.63</v>
      </c>
      <c r="F13" s="43">
        <v>45348</v>
      </c>
      <c r="G13" s="16">
        <v>443</v>
      </c>
      <c r="H13" s="16">
        <f ca="1">IFERROR(__xludf.DUMMYFUNCTION("GOOGLEFINANCE(""NSE:""&amp;B13,""price"")"),400.65)</f>
        <v>400.65</v>
      </c>
      <c r="I13" s="15">
        <v>30</v>
      </c>
      <c r="J13" s="16">
        <f t="shared" si="0"/>
        <v>7908.9</v>
      </c>
      <c r="K13" s="16">
        <f t="shared" si="1"/>
        <v>21198.9</v>
      </c>
      <c r="L13" s="16">
        <f t="shared" si="2"/>
        <v>0</v>
      </c>
      <c r="M13" s="19">
        <f t="shared" si="3"/>
        <v>0</v>
      </c>
      <c r="N13" s="16">
        <f ca="1">IFERROR(__xludf.DUMMYFUNCTION("IF(G13&gt;0,0,GOOGLEFINANCE(""NSE:""&amp;B13,""change""))"),0)</f>
        <v>0</v>
      </c>
      <c r="O13" s="16">
        <f t="shared" ca="1" si="4"/>
        <v>0</v>
      </c>
      <c r="P13" s="16">
        <f t="shared" si="5"/>
        <v>5381.1</v>
      </c>
      <c r="Q13" s="19">
        <f t="shared" si="6"/>
        <v>0.6803853886128286</v>
      </c>
      <c r="R13" s="16"/>
      <c r="S13" s="16"/>
      <c r="T13" s="16"/>
      <c r="U13" s="16"/>
      <c r="V13" s="16"/>
      <c r="W13" s="16"/>
      <c r="X13" s="16"/>
      <c r="Y13" s="16"/>
      <c r="Z13" s="19"/>
      <c r="AA13" s="16"/>
      <c r="AC13" s="27"/>
      <c r="AD13" s="133">
        <v>45348</v>
      </c>
      <c r="AE13" s="129">
        <v>46462.35</v>
      </c>
      <c r="AM13" s="138" t="s">
        <v>137</v>
      </c>
      <c r="AN13" s="120">
        <v>2126.8000000000002</v>
      </c>
      <c r="AO13" s="121">
        <v>0</v>
      </c>
    </row>
    <row r="14" spans="1:46" ht="22.5" customHeight="1">
      <c r="A14" s="15">
        <v>13</v>
      </c>
      <c r="B14" s="15" t="s">
        <v>134</v>
      </c>
      <c r="C14" s="17" t="s">
        <v>136</v>
      </c>
      <c r="D14" s="18">
        <v>43858</v>
      </c>
      <c r="E14" s="16">
        <v>187.15</v>
      </c>
      <c r="F14" s="18">
        <v>44363</v>
      </c>
      <c r="G14" s="16">
        <v>1200</v>
      </c>
      <c r="H14" s="16">
        <f ca="1">IFERROR(__xludf.DUMMYFUNCTION("GOOGLEFINANCE(""NSE:""&amp;B14,""price"")"),1017)</f>
        <v>1017</v>
      </c>
      <c r="I14" s="15">
        <v>10</v>
      </c>
      <c r="J14" s="16">
        <f t="shared" si="0"/>
        <v>1871.5</v>
      </c>
      <c r="K14" s="16">
        <f t="shared" si="1"/>
        <v>13871.5</v>
      </c>
      <c r="L14" s="16">
        <f t="shared" si="2"/>
        <v>0</v>
      </c>
      <c r="M14" s="19">
        <f t="shared" si="3"/>
        <v>0</v>
      </c>
      <c r="N14" s="16">
        <f ca="1">IFERROR(__xludf.DUMMYFUNCTION("IF(G14&gt;0,0,GOOGLEFINANCE(""NSE:""&amp;B14,""change""))"),0)</f>
        <v>0</v>
      </c>
      <c r="O14" s="16">
        <f t="shared" ca="1" si="4"/>
        <v>0</v>
      </c>
      <c r="P14" s="16">
        <f t="shared" si="5"/>
        <v>10128.5</v>
      </c>
      <c r="Q14" s="19">
        <f t="shared" si="6"/>
        <v>5.4119690088164569</v>
      </c>
      <c r="R14" s="16"/>
      <c r="S14" s="16"/>
      <c r="T14" s="16"/>
      <c r="U14" s="16"/>
      <c r="V14" s="16"/>
      <c r="W14" s="16"/>
      <c r="X14" s="16"/>
      <c r="Y14" s="16"/>
      <c r="Z14" s="19"/>
      <c r="AA14" s="16"/>
      <c r="AC14" s="27"/>
      <c r="AD14" s="133">
        <v>45404</v>
      </c>
      <c r="AE14" s="129">
        <v>33979.65</v>
      </c>
      <c r="AM14" s="138" t="s">
        <v>143</v>
      </c>
      <c r="AN14" s="120">
        <v>6152.5</v>
      </c>
      <c r="AO14" s="121">
        <v>14224</v>
      </c>
    </row>
    <row r="15" spans="1:46" ht="22.5" customHeight="1">
      <c r="A15" s="15">
        <v>14</v>
      </c>
      <c r="B15" s="15" t="s">
        <v>66</v>
      </c>
      <c r="C15" s="17" t="s">
        <v>136</v>
      </c>
      <c r="D15" s="18">
        <v>43873</v>
      </c>
      <c r="E15" s="16">
        <v>324.7</v>
      </c>
      <c r="F15" s="43">
        <v>45345</v>
      </c>
      <c r="G15" s="16">
        <v>759.4</v>
      </c>
      <c r="H15" s="16">
        <f ca="1">IFERROR(__xludf.DUMMYFUNCTION("GOOGLEFINANCE(""NSE:""&amp;B15,""price"")"),971.25)</f>
        <v>971.25</v>
      </c>
      <c r="I15" s="15">
        <v>1</v>
      </c>
      <c r="J15" s="16">
        <f t="shared" si="0"/>
        <v>324.7</v>
      </c>
      <c r="K15" s="16">
        <f t="shared" si="1"/>
        <v>1084.0999999999999</v>
      </c>
      <c r="L15" s="16">
        <f t="shared" si="2"/>
        <v>0</v>
      </c>
      <c r="M15" s="19">
        <f t="shared" si="3"/>
        <v>0</v>
      </c>
      <c r="N15" s="16">
        <f ca="1">IFERROR(__xludf.DUMMYFUNCTION("IF(G15&gt;0,0,GOOGLEFINANCE(""NSE:""&amp;B15,""change""))"),0)</f>
        <v>0</v>
      </c>
      <c r="O15" s="16">
        <f t="shared" ca="1" si="4"/>
        <v>0</v>
      </c>
      <c r="P15" s="16">
        <f t="shared" si="5"/>
        <v>434.7</v>
      </c>
      <c r="Q15" s="19">
        <f t="shared" si="6"/>
        <v>1.3387742531567601</v>
      </c>
      <c r="R15" s="16"/>
      <c r="S15" s="16"/>
      <c r="T15" s="16"/>
      <c r="U15" s="16"/>
      <c r="V15" s="16"/>
      <c r="W15" s="16"/>
      <c r="X15" s="16"/>
      <c r="Y15" s="16"/>
      <c r="Z15" s="19"/>
      <c r="AA15" s="16"/>
      <c r="AC15" s="27"/>
      <c r="AD15" s="133">
        <v>45476</v>
      </c>
      <c r="AE15" s="129">
        <v>1040</v>
      </c>
      <c r="AM15" s="138" t="s">
        <v>50</v>
      </c>
      <c r="AN15" s="120">
        <v>0</v>
      </c>
      <c r="AO15" s="121">
        <v>15618.75</v>
      </c>
    </row>
    <row r="16" spans="1:46" ht="22.5" customHeight="1">
      <c r="A16" s="15">
        <v>15</v>
      </c>
      <c r="B16" s="15" t="s">
        <v>145</v>
      </c>
      <c r="C16" s="17" t="s">
        <v>136</v>
      </c>
      <c r="D16" s="18">
        <v>44253</v>
      </c>
      <c r="E16" s="16">
        <v>595.9</v>
      </c>
      <c r="F16" s="18">
        <v>45404</v>
      </c>
      <c r="G16" s="42">
        <v>1087.05</v>
      </c>
      <c r="H16" s="16">
        <f ca="1">IFERROR(__xludf.DUMMYFUNCTION("GOOGLEFINANCE(""NSE:""&amp;B16,""price"")"),1362.4)</f>
        <v>1362.4</v>
      </c>
      <c r="I16" s="15">
        <v>20</v>
      </c>
      <c r="J16" s="16">
        <f t="shared" si="0"/>
        <v>11918</v>
      </c>
      <c r="K16" s="16">
        <f t="shared" si="1"/>
        <v>33659</v>
      </c>
      <c r="L16" s="16">
        <f t="shared" si="2"/>
        <v>0</v>
      </c>
      <c r="M16" s="19">
        <f t="shared" si="3"/>
        <v>0</v>
      </c>
      <c r="N16" s="16">
        <f ca="1">IFERROR(__xludf.DUMMYFUNCTION("IF(G16&gt;0,0,GOOGLEFINANCE(""NSE:""&amp;B16,""change""))"),0)</f>
        <v>0</v>
      </c>
      <c r="O16" s="16">
        <f t="shared" ca="1" si="4"/>
        <v>0</v>
      </c>
      <c r="P16" s="16">
        <f t="shared" si="5"/>
        <v>9823</v>
      </c>
      <c r="Q16" s="19">
        <f t="shared" si="6"/>
        <v>0.82421547239469706</v>
      </c>
      <c r="R16" s="16"/>
      <c r="S16" s="16"/>
      <c r="T16" s="16"/>
      <c r="U16" s="16"/>
      <c r="V16" s="16"/>
      <c r="W16" s="16"/>
      <c r="X16" s="16"/>
      <c r="Y16" s="16"/>
      <c r="Z16" s="19"/>
      <c r="AA16" s="16"/>
      <c r="AC16" s="27"/>
      <c r="AD16" s="133">
        <v>45483</v>
      </c>
      <c r="AE16" s="129">
        <v>2184.7999999999997</v>
      </c>
      <c r="AM16" s="138" t="s">
        <v>144</v>
      </c>
      <c r="AN16" s="120">
        <v>10546.25</v>
      </c>
      <c r="AO16" s="121">
        <v>0</v>
      </c>
    </row>
    <row r="17" spans="1:44" ht="22.5" customHeight="1">
      <c r="A17" s="15">
        <v>16</v>
      </c>
      <c r="B17" s="15" t="s">
        <v>135</v>
      </c>
      <c r="C17" s="17" t="s">
        <v>136</v>
      </c>
      <c r="D17" s="18">
        <v>44277</v>
      </c>
      <c r="E17" s="16">
        <v>722.5</v>
      </c>
      <c r="F17" s="18">
        <v>44344</v>
      </c>
      <c r="G17" s="16">
        <v>782.5</v>
      </c>
      <c r="H17" s="16">
        <f ca="1">IFERROR(__xludf.DUMMYFUNCTION("GOOGLEFINANCE(""NSE:""&amp;B17,""price"")"),1492.8)</f>
        <v>1492.8</v>
      </c>
      <c r="I17" s="15">
        <v>5</v>
      </c>
      <c r="J17" s="16">
        <f t="shared" si="0"/>
        <v>3612.5</v>
      </c>
      <c r="K17" s="16">
        <f t="shared" si="1"/>
        <v>7525</v>
      </c>
      <c r="L17" s="16">
        <f t="shared" si="2"/>
        <v>0</v>
      </c>
      <c r="M17" s="19">
        <f t="shared" si="3"/>
        <v>0</v>
      </c>
      <c r="N17" s="16">
        <f ca="1">IFERROR(__xludf.DUMMYFUNCTION("IF(G17&gt;0,0,GOOGLEFINANCE(""NSE:""&amp;B17,""change""))"),0)</f>
        <v>0</v>
      </c>
      <c r="O17" s="16">
        <f t="shared" ca="1" si="4"/>
        <v>0</v>
      </c>
      <c r="P17" s="16">
        <f t="shared" si="5"/>
        <v>300</v>
      </c>
      <c r="Q17" s="19">
        <f t="shared" si="6"/>
        <v>8.3044982698961933E-2</v>
      </c>
      <c r="R17" s="16"/>
      <c r="S17" s="16"/>
      <c r="T17" s="16"/>
      <c r="U17" s="16"/>
      <c r="V17" s="16"/>
      <c r="W17" s="16"/>
      <c r="X17" s="16"/>
      <c r="Y17" s="16"/>
      <c r="Z17" s="19"/>
      <c r="AA17" s="16"/>
      <c r="AC17" s="27"/>
      <c r="AD17" s="133">
        <v>45485</v>
      </c>
      <c r="AE17" s="129">
        <v>21491.999999999996</v>
      </c>
      <c r="AM17" s="138" t="s">
        <v>15</v>
      </c>
      <c r="AN17" s="120">
        <v>0</v>
      </c>
      <c r="AO17" s="121">
        <v>6081.9999999999982</v>
      </c>
    </row>
    <row r="18" spans="1:44" ht="22.5" customHeight="1">
      <c r="A18" s="15">
        <v>17</v>
      </c>
      <c r="B18" s="15" t="s">
        <v>52</v>
      </c>
      <c r="C18" s="17" t="s">
        <v>136</v>
      </c>
      <c r="D18" s="18">
        <v>44323</v>
      </c>
      <c r="E18" s="16">
        <v>48.6</v>
      </c>
      <c r="F18" s="43">
        <v>45404</v>
      </c>
      <c r="G18" s="42">
        <v>95.89</v>
      </c>
      <c r="H18" s="16">
        <f ca="1">IFERROR(__xludf.DUMMYFUNCTION("GOOGLEFINANCE(""NSE:""&amp;B18,""price"")"),168.98)</f>
        <v>168.98</v>
      </c>
      <c r="I18" s="15">
        <v>102</v>
      </c>
      <c r="J18" s="16">
        <f t="shared" si="0"/>
        <v>4957.2</v>
      </c>
      <c r="K18" s="16">
        <f t="shared" si="1"/>
        <v>14737.980000000001</v>
      </c>
      <c r="L18" s="16">
        <f t="shared" si="2"/>
        <v>0</v>
      </c>
      <c r="M18" s="19">
        <f t="shared" si="3"/>
        <v>0</v>
      </c>
      <c r="N18" s="16">
        <f ca="1">IFERROR(__xludf.DUMMYFUNCTION("IF(G18&gt;0,0,GOOGLEFINANCE(""NSE:""&amp;B18,""change""))"),0)</f>
        <v>0</v>
      </c>
      <c r="O18" s="16">
        <f t="shared" ca="1" si="4"/>
        <v>0</v>
      </c>
      <c r="P18" s="16">
        <f t="shared" si="5"/>
        <v>4823.58</v>
      </c>
      <c r="Q18" s="19">
        <f t="shared" si="6"/>
        <v>0.97304526748971187</v>
      </c>
      <c r="R18" s="16"/>
      <c r="S18" s="16"/>
      <c r="T18" s="16"/>
      <c r="U18" s="16"/>
      <c r="V18" s="16"/>
      <c r="W18" s="16"/>
      <c r="X18" s="16"/>
      <c r="Y18" s="16"/>
      <c r="Z18" s="19"/>
      <c r="AA18" s="16"/>
      <c r="AC18" s="27"/>
      <c r="AD18" s="133">
        <v>45572</v>
      </c>
      <c r="AE18" s="129">
        <v>4767.8999999999996</v>
      </c>
      <c r="AL18" s="7"/>
      <c r="AM18" s="138" t="s">
        <v>133</v>
      </c>
      <c r="AN18" s="120">
        <v>2387.0000000000005</v>
      </c>
      <c r="AO18" s="121">
        <v>0</v>
      </c>
      <c r="AR18" s="7"/>
    </row>
    <row r="19" spans="1:44" ht="22.5" customHeight="1">
      <c r="A19" s="15">
        <v>18</v>
      </c>
      <c r="B19" s="15" t="s">
        <v>21</v>
      </c>
      <c r="C19" s="17" t="s">
        <v>136</v>
      </c>
      <c r="D19" s="18">
        <v>44406</v>
      </c>
      <c r="E19" s="16">
        <v>723</v>
      </c>
      <c r="F19" s="43">
        <v>45404</v>
      </c>
      <c r="G19" s="16">
        <v>1053.95</v>
      </c>
      <c r="H19" s="16">
        <f ca="1">IFERROR(__xludf.DUMMYFUNCTION("GOOGLEFINANCE(""NSE:""&amp;B19,""price"")"),1224.5)</f>
        <v>1224.5</v>
      </c>
      <c r="I19" s="15">
        <v>10</v>
      </c>
      <c r="J19" s="16">
        <f t="shared" si="0"/>
        <v>7230</v>
      </c>
      <c r="K19" s="16">
        <f t="shared" si="1"/>
        <v>17769.5</v>
      </c>
      <c r="L19" s="16">
        <f t="shared" si="2"/>
        <v>0</v>
      </c>
      <c r="M19" s="19">
        <f t="shared" si="3"/>
        <v>0</v>
      </c>
      <c r="N19" s="16">
        <f ca="1">IFERROR(__xludf.DUMMYFUNCTION("IF(G19&gt;0,0,GOOGLEFINANCE(""NSE:""&amp;B19,""change""))"),0)</f>
        <v>0</v>
      </c>
      <c r="O19" s="16">
        <f t="shared" ca="1" si="4"/>
        <v>0</v>
      </c>
      <c r="P19" s="16">
        <f t="shared" si="5"/>
        <v>3309.5000000000005</v>
      </c>
      <c r="Q19" s="19">
        <f t="shared" si="6"/>
        <v>0.45774550484094056</v>
      </c>
      <c r="R19" s="16"/>
      <c r="S19" s="16"/>
      <c r="T19" s="16"/>
      <c r="U19" s="16"/>
      <c r="V19" s="16"/>
      <c r="W19" s="16"/>
      <c r="X19" s="16"/>
      <c r="Y19" s="16"/>
      <c r="Z19" s="19"/>
      <c r="AA19" s="16"/>
      <c r="AC19" s="27"/>
      <c r="AD19" s="133">
        <v>45614</v>
      </c>
      <c r="AE19" s="129">
        <v>5121.2500000000009</v>
      </c>
      <c r="AL19" s="7"/>
      <c r="AM19" s="138" t="s">
        <v>146</v>
      </c>
      <c r="AN19" s="120">
        <v>2727.6500000000005</v>
      </c>
      <c r="AO19" s="121" t="e">
        <v>#NAME?</v>
      </c>
      <c r="AR19" s="7"/>
    </row>
    <row r="20" spans="1:44" ht="22.5" customHeight="1">
      <c r="A20" s="15">
        <v>19</v>
      </c>
      <c r="B20" s="15" t="s">
        <v>35</v>
      </c>
      <c r="C20" s="17" t="s">
        <v>136</v>
      </c>
      <c r="D20" s="18">
        <v>44508</v>
      </c>
      <c r="E20" s="16">
        <v>833.3</v>
      </c>
      <c r="F20" s="43">
        <v>45404</v>
      </c>
      <c r="G20" s="16">
        <v>1000.05</v>
      </c>
      <c r="H20" s="16">
        <f ca="1">IFERROR(__xludf.DUMMYFUNCTION("GOOGLEFINANCE(""NSE:""&amp;B20,""price"")"),680.5)</f>
        <v>680.5</v>
      </c>
      <c r="I20" s="15">
        <v>11</v>
      </c>
      <c r="J20" s="16">
        <f t="shared" si="0"/>
        <v>9166.2999999999993</v>
      </c>
      <c r="K20" s="16">
        <f t="shared" si="1"/>
        <v>20166.849999999999</v>
      </c>
      <c r="L20" s="16">
        <f t="shared" si="2"/>
        <v>0</v>
      </c>
      <c r="M20" s="19">
        <f t="shared" si="3"/>
        <v>0</v>
      </c>
      <c r="N20" s="16">
        <f ca="1">IFERROR(__xludf.DUMMYFUNCTION("IF(G20&gt;0,0,GOOGLEFINANCE(""NSE:""&amp;B20,""change""))"),0)</f>
        <v>0</v>
      </c>
      <c r="O20" s="16">
        <f t="shared" ca="1" si="4"/>
        <v>0</v>
      </c>
      <c r="P20" s="16">
        <f t="shared" si="5"/>
        <v>1834.25</v>
      </c>
      <c r="Q20" s="19">
        <f t="shared" si="6"/>
        <v>0.20010800432017281</v>
      </c>
      <c r="R20" s="16"/>
      <c r="S20" s="16"/>
      <c r="T20" s="16"/>
      <c r="U20" s="16"/>
      <c r="V20" s="16"/>
      <c r="W20" s="16"/>
      <c r="X20" s="16"/>
      <c r="Y20" s="16"/>
      <c r="Z20" s="19"/>
      <c r="AA20" s="16"/>
      <c r="AC20" s="27"/>
      <c r="AD20" s="133">
        <v>45660</v>
      </c>
      <c r="AE20" s="129">
        <v>7551.8</v>
      </c>
      <c r="AM20" s="138" t="s">
        <v>34</v>
      </c>
      <c r="AN20" s="120">
        <v>0</v>
      </c>
      <c r="AO20" s="121">
        <v>7878.4800000000014</v>
      </c>
    </row>
    <row r="21" spans="1:44" ht="22.5" customHeight="1">
      <c r="A21" s="15">
        <v>20</v>
      </c>
      <c r="B21" s="15" t="s">
        <v>38</v>
      </c>
      <c r="C21" s="17" t="s">
        <v>136</v>
      </c>
      <c r="D21" s="18">
        <v>44552</v>
      </c>
      <c r="E21" s="16">
        <v>145.55000000000001</v>
      </c>
      <c r="F21" s="43">
        <v>45348</v>
      </c>
      <c r="G21" s="16">
        <v>443</v>
      </c>
      <c r="H21" s="16">
        <f ca="1">IFERROR(__xludf.DUMMYFUNCTION("GOOGLEFINANCE(""NSE:""&amp;B21,""price"")"),400.65)</f>
        <v>400.65</v>
      </c>
      <c r="I21" s="15">
        <v>3</v>
      </c>
      <c r="J21" s="16">
        <f t="shared" si="0"/>
        <v>436.65000000000003</v>
      </c>
      <c r="K21" s="16">
        <f t="shared" si="1"/>
        <v>1765.6499999999999</v>
      </c>
      <c r="L21" s="16">
        <f t="shared" si="2"/>
        <v>0</v>
      </c>
      <c r="M21" s="19">
        <f t="shared" si="3"/>
        <v>0</v>
      </c>
      <c r="N21" s="16">
        <f ca="1">IFERROR(__xludf.DUMMYFUNCTION("IF(G21&gt;0,0,GOOGLEFINANCE(""NSE:""&amp;B21,""change""))"),0)</f>
        <v>0</v>
      </c>
      <c r="O21" s="16">
        <f t="shared" ca="1" si="4"/>
        <v>0</v>
      </c>
      <c r="P21" s="16">
        <f t="shared" si="5"/>
        <v>892.34999999999991</v>
      </c>
      <c r="Q21" s="19">
        <f t="shared" si="6"/>
        <v>2.0436276193747851</v>
      </c>
      <c r="R21" s="16"/>
      <c r="S21" s="16"/>
      <c r="T21" s="16"/>
      <c r="U21" s="16"/>
      <c r="V21" s="16"/>
      <c r="W21" s="16"/>
      <c r="X21" s="16"/>
      <c r="Y21" s="16"/>
      <c r="Z21" s="19"/>
      <c r="AA21" s="16"/>
      <c r="AC21" s="27"/>
      <c r="AD21" s="133">
        <v>45813</v>
      </c>
      <c r="AE21" s="129">
        <v>-3947.4</v>
      </c>
      <c r="AM21" s="138" t="s">
        <v>23</v>
      </c>
      <c r="AN21" s="120">
        <v>0</v>
      </c>
      <c r="AO21" s="121">
        <v>-1226.8500000000001</v>
      </c>
    </row>
    <row r="22" spans="1:44" ht="22.5" customHeight="1">
      <c r="A22" s="15">
        <v>21</v>
      </c>
      <c r="B22" s="15" t="s">
        <v>52</v>
      </c>
      <c r="C22" s="17" t="s">
        <v>136</v>
      </c>
      <c r="D22" s="18">
        <v>44874</v>
      </c>
      <c r="E22" s="16">
        <v>35.229999999999997</v>
      </c>
      <c r="F22" s="43">
        <v>45404</v>
      </c>
      <c r="G22" s="42">
        <v>95.89</v>
      </c>
      <c r="H22" s="16">
        <f ca="1">IFERROR(__xludf.DUMMYFUNCTION("GOOGLEFINANCE(""NSE:""&amp;B22,""price"")"),168.98)</f>
        <v>168.98</v>
      </c>
      <c r="I22" s="15">
        <v>52</v>
      </c>
      <c r="J22" s="16">
        <f t="shared" si="0"/>
        <v>1831.9599999999998</v>
      </c>
      <c r="K22" s="16">
        <f t="shared" si="1"/>
        <v>6818.24</v>
      </c>
      <c r="L22" s="16">
        <f t="shared" si="2"/>
        <v>0</v>
      </c>
      <c r="M22" s="19">
        <f t="shared" si="3"/>
        <v>0</v>
      </c>
      <c r="N22" s="16">
        <f ca="1">IFERROR(__xludf.DUMMYFUNCTION("IF(G22&gt;0,0,GOOGLEFINANCE(""NSE:""&amp;B22,""change""))"),0)</f>
        <v>0</v>
      </c>
      <c r="O22" s="16">
        <f t="shared" ca="1" si="4"/>
        <v>0</v>
      </c>
      <c r="P22" s="16">
        <f t="shared" si="5"/>
        <v>3154.32</v>
      </c>
      <c r="Q22" s="19">
        <f t="shared" si="6"/>
        <v>1.7218279875106446</v>
      </c>
      <c r="R22" s="16"/>
      <c r="S22" s="16"/>
      <c r="T22" s="16"/>
      <c r="U22" s="16"/>
      <c r="V22" s="16"/>
      <c r="W22" s="16"/>
      <c r="X22" s="16"/>
      <c r="Y22" s="16"/>
      <c r="Z22" s="19"/>
      <c r="AA22" s="16"/>
      <c r="AC22" s="27"/>
      <c r="AD22" s="133">
        <v>45852</v>
      </c>
      <c r="AE22" s="129">
        <v>8201.2000000000007</v>
      </c>
      <c r="AM22" s="138" t="s">
        <v>110</v>
      </c>
      <c r="AN22" s="120">
        <v>0</v>
      </c>
      <c r="AO22" s="121">
        <v>1359.6000000000004</v>
      </c>
    </row>
    <row r="23" spans="1:44" ht="22.5" customHeight="1">
      <c r="A23" s="15">
        <v>22</v>
      </c>
      <c r="B23" s="15" t="s">
        <v>69</v>
      </c>
      <c r="C23" s="17" t="s">
        <v>136</v>
      </c>
      <c r="D23" s="18">
        <v>44770</v>
      </c>
      <c r="E23" s="16">
        <v>98.1</v>
      </c>
      <c r="F23" s="43">
        <v>45348</v>
      </c>
      <c r="G23" s="16">
        <v>142.65</v>
      </c>
      <c r="H23" s="16">
        <f ca="1">IFERROR(__xludf.DUMMYFUNCTION("GOOGLEFINANCE(""NSE:""&amp;B23,""price"")"),170.82)</f>
        <v>170.82</v>
      </c>
      <c r="I23" s="15">
        <v>50</v>
      </c>
      <c r="J23" s="16">
        <f t="shared" si="0"/>
        <v>4905</v>
      </c>
      <c r="K23" s="16">
        <f t="shared" si="1"/>
        <v>12037.5</v>
      </c>
      <c r="L23" s="16">
        <f t="shared" si="2"/>
        <v>0</v>
      </c>
      <c r="M23" s="19">
        <f t="shared" si="3"/>
        <v>0</v>
      </c>
      <c r="N23" s="16">
        <f ca="1">IFERROR(__xludf.DUMMYFUNCTION("IF(G23&gt;0,0,GOOGLEFINANCE(""NSE:""&amp;B23,""change""))"),0)</f>
        <v>0</v>
      </c>
      <c r="O23" s="16">
        <f t="shared" ca="1" si="4"/>
        <v>0</v>
      </c>
      <c r="P23" s="16">
        <f t="shared" si="5"/>
        <v>2227.5000000000005</v>
      </c>
      <c r="Q23" s="19">
        <f t="shared" si="6"/>
        <v>0.45412844036697264</v>
      </c>
      <c r="R23" s="16"/>
      <c r="S23" s="16"/>
      <c r="T23" s="16"/>
      <c r="U23" s="16"/>
      <c r="V23" s="16"/>
      <c r="W23" s="16"/>
      <c r="X23" s="16"/>
      <c r="Y23" s="16"/>
      <c r="Z23" s="19"/>
      <c r="AA23" s="16"/>
      <c r="AC23" s="27"/>
      <c r="AD23" s="119" t="s">
        <v>276</v>
      </c>
      <c r="AE23" s="129">
        <v>0</v>
      </c>
      <c r="AM23" s="138" t="s">
        <v>111</v>
      </c>
      <c r="AN23" s="120">
        <v>0</v>
      </c>
      <c r="AO23" s="121">
        <v>-1026.9699999999991</v>
      </c>
    </row>
    <row r="24" spans="1:44" ht="22.5" customHeight="1">
      <c r="A24" s="15">
        <v>23</v>
      </c>
      <c r="B24" s="15" t="s">
        <v>69</v>
      </c>
      <c r="C24" s="17" t="s">
        <v>136</v>
      </c>
      <c r="D24" s="18">
        <v>44858</v>
      </c>
      <c r="E24" s="16">
        <v>101.25</v>
      </c>
      <c r="F24" s="43">
        <v>45348</v>
      </c>
      <c r="G24" s="16">
        <v>142.65</v>
      </c>
      <c r="H24" s="16">
        <f ca="1">IFERROR(__xludf.DUMMYFUNCTION("GOOGLEFINANCE(""NSE:""&amp;B24,""price"")"),170.82)</f>
        <v>170.82</v>
      </c>
      <c r="I24" s="15">
        <v>51</v>
      </c>
      <c r="J24" s="16">
        <f t="shared" si="0"/>
        <v>5163.75</v>
      </c>
      <c r="K24" s="16">
        <f t="shared" si="1"/>
        <v>12438.9</v>
      </c>
      <c r="L24" s="16">
        <f t="shared" si="2"/>
        <v>0</v>
      </c>
      <c r="M24" s="19">
        <f t="shared" si="3"/>
        <v>0</v>
      </c>
      <c r="N24" s="16">
        <f ca="1">IFERROR(__xludf.DUMMYFUNCTION("IF(G24&gt;0,0,GOOGLEFINANCE(""NSE:""&amp;B24,""change""))"),0)</f>
        <v>0</v>
      </c>
      <c r="O24" s="16">
        <f t="shared" ca="1" si="4"/>
        <v>0</v>
      </c>
      <c r="P24" s="16">
        <f t="shared" si="5"/>
        <v>2111.4</v>
      </c>
      <c r="Q24" s="19">
        <f t="shared" si="6"/>
        <v>0.40888888888888897</v>
      </c>
      <c r="R24" s="16"/>
      <c r="S24" s="16"/>
      <c r="T24" s="16"/>
      <c r="U24" s="16"/>
      <c r="V24" s="16"/>
      <c r="W24" s="16"/>
      <c r="X24" s="16"/>
      <c r="Y24" s="16"/>
      <c r="Z24" s="19"/>
      <c r="AA24" s="16"/>
      <c r="AC24" s="27"/>
      <c r="AD24" s="122" t="s">
        <v>48</v>
      </c>
      <c r="AE24" s="131">
        <v>164590.49999999997</v>
      </c>
      <c r="AM24" s="138" t="s">
        <v>27</v>
      </c>
      <c r="AN24" s="120">
        <v>0</v>
      </c>
      <c r="AO24" s="121" t="e">
        <v>#NAME?</v>
      </c>
    </row>
    <row r="25" spans="1:44" ht="22.5" customHeight="1">
      <c r="A25" s="15">
        <v>24</v>
      </c>
      <c r="B25" s="15" t="s">
        <v>116</v>
      </c>
      <c r="C25" s="17" t="s">
        <v>139</v>
      </c>
      <c r="D25" s="18"/>
      <c r="E25" s="16">
        <v>835.68</v>
      </c>
      <c r="F25" s="18"/>
      <c r="G25" s="16">
        <v>0</v>
      </c>
      <c r="H25" s="16">
        <f ca="1">IFERROR(__xludf.DUMMYFUNCTION("GOOGLEFINANCE(""NSE:""&amp;B25,""price"")"),1185.2)</f>
        <v>1185.2</v>
      </c>
      <c r="I25" s="15">
        <v>11</v>
      </c>
      <c r="J25" s="16">
        <f t="shared" si="0"/>
        <v>9192.48</v>
      </c>
      <c r="K25" s="16">
        <f t="shared" si="1"/>
        <v>9192.48</v>
      </c>
      <c r="L25" s="16">
        <f t="shared" ca="1" si="2"/>
        <v>3844.7200000000012</v>
      </c>
      <c r="M25" s="19">
        <f t="shared" ca="1" si="3"/>
        <v>0.41824621864828654</v>
      </c>
      <c r="N25" s="16">
        <f ca="1">IFERROR(__xludf.DUMMYFUNCTION("IF(G25&gt;0,0,GOOGLEFINANCE(""NSE:""&amp;B25,""change""))"),6.4)</f>
        <v>6.4</v>
      </c>
      <c r="O25" s="16">
        <f t="shared" ca="1" si="4"/>
        <v>70.400000000000006</v>
      </c>
      <c r="P25" s="16">
        <f t="shared" si="5"/>
        <v>0</v>
      </c>
      <c r="Q25" s="19">
        <f t="shared" si="6"/>
        <v>0</v>
      </c>
      <c r="R25" s="16"/>
      <c r="S25" s="16"/>
      <c r="T25" s="16"/>
      <c r="U25" s="16"/>
      <c r="V25" s="16"/>
      <c r="W25" s="16"/>
      <c r="X25" s="16"/>
      <c r="Y25" s="16"/>
      <c r="Z25" s="19"/>
      <c r="AA25" s="16"/>
      <c r="AC25" s="27"/>
      <c r="AL25" s="7"/>
      <c r="AM25" s="138" t="s">
        <v>145</v>
      </c>
      <c r="AN25" s="120">
        <v>9823</v>
      </c>
      <c r="AO25" s="121">
        <v>5507.0000000000027</v>
      </c>
      <c r="AR25" s="7"/>
    </row>
    <row r="26" spans="1:44" ht="22.5" customHeight="1">
      <c r="A26" s="15">
        <v>25</v>
      </c>
      <c r="B26" s="15" t="s">
        <v>34</v>
      </c>
      <c r="C26" s="17" t="s">
        <v>139</v>
      </c>
      <c r="D26" s="18">
        <v>44928</v>
      </c>
      <c r="E26" s="16">
        <v>1211.3599999999999</v>
      </c>
      <c r="F26" s="18"/>
      <c r="G26" s="16">
        <v>0</v>
      </c>
      <c r="H26" s="16">
        <f ca="1">IFERROR(__xludf.DUMMYFUNCTION("GOOGLEFINANCE(""NSE:""&amp;B26,""price"")"),1674.8)</f>
        <v>1674.8</v>
      </c>
      <c r="I26" s="15">
        <v>10</v>
      </c>
      <c r="J26" s="16">
        <f t="shared" si="0"/>
        <v>12113.599999999999</v>
      </c>
      <c r="K26" s="16">
        <f t="shared" si="1"/>
        <v>12113.599999999999</v>
      </c>
      <c r="L26" s="16">
        <f t="shared" ca="1" si="2"/>
        <v>4634.4000000000005</v>
      </c>
      <c r="M26" s="19">
        <f t="shared" ca="1" si="3"/>
        <v>0.38257825914674426</v>
      </c>
      <c r="N26" s="16">
        <f ca="1">IFERROR(__xludf.DUMMYFUNCTION("IF(G26&gt;0,0,GOOGLEFINANCE(""NSE:""&amp;B26,""change""))"),4.5)</f>
        <v>4.5</v>
      </c>
      <c r="O26" s="16">
        <f t="shared" ca="1" si="4"/>
        <v>45</v>
      </c>
      <c r="P26" s="16">
        <f t="shared" si="5"/>
        <v>0</v>
      </c>
      <c r="Q26" s="19">
        <f t="shared" si="6"/>
        <v>0</v>
      </c>
      <c r="R26" s="16"/>
      <c r="S26" s="16"/>
      <c r="T26" s="16"/>
      <c r="U26" s="16"/>
      <c r="V26" s="16"/>
      <c r="W26" s="16"/>
      <c r="X26" s="16"/>
      <c r="Y26" s="16"/>
      <c r="Z26" s="19"/>
      <c r="AA26" s="16"/>
      <c r="AC26" s="27"/>
      <c r="AM26" s="138" t="s">
        <v>141</v>
      </c>
      <c r="AN26" s="120">
        <v>249.5999999999998</v>
      </c>
      <c r="AO26" s="121">
        <v>0</v>
      </c>
    </row>
    <row r="27" spans="1:44" ht="22.5" customHeight="1">
      <c r="A27" s="15">
        <v>26</v>
      </c>
      <c r="B27" s="15" t="s">
        <v>69</v>
      </c>
      <c r="C27" s="17" t="s">
        <v>139</v>
      </c>
      <c r="D27" s="18"/>
      <c r="E27" s="16">
        <v>115.47</v>
      </c>
      <c r="F27" s="18"/>
      <c r="G27" s="16">
        <v>0</v>
      </c>
      <c r="H27" s="16">
        <f ca="1">IFERROR(__xludf.DUMMYFUNCTION("GOOGLEFINANCE(""NSE:""&amp;B27,""price"")"),170.82)</f>
        <v>170.82</v>
      </c>
      <c r="I27" s="15">
        <v>11</v>
      </c>
      <c r="J27" s="16">
        <f t="shared" si="0"/>
        <v>1270.17</v>
      </c>
      <c r="K27" s="16">
        <f t="shared" si="1"/>
        <v>1270.17</v>
      </c>
      <c r="L27" s="16">
        <f t="shared" ca="1" si="2"/>
        <v>608.84999999999991</v>
      </c>
      <c r="M27" s="19">
        <f t="shared" ca="1" si="3"/>
        <v>0.47934528448947772</v>
      </c>
      <c r="N27" s="16">
        <f ca="1">IFERROR(__xludf.DUMMYFUNCTION("IF(G27&gt;0,0,GOOGLEFINANCE(""NSE:""&amp;B27,""change""))"),1.6)</f>
        <v>1.6</v>
      </c>
      <c r="O27" s="16">
        <f t="shared" ca="1" si="4"/>
        <v>17.600000000000001</v>
      </c>
      <c r="P27" s="16">
        <f t="shared" si="5"/>
        <v>0</v>
      </c>
      <c r="Q27" s="19">
        <f t="shared" si="6"/>
        <v>0</v>
      </c>
      <c r="R27" s="16"/>
      <c r="S27" s="16"/>
      <c r="T27" s="16"/>
      <c r="U27" s="16"/>
      <c r="V27" s="16"/>
      <c r="W27" s="16"/>
      <c r="X27" s="16"/>
      <c r="Y27" s="16"/>
      <c r="Z27" s="19"/>
      <c r="AA27" s="16"/>
      <c r="AC27" s="27"/>
      <c r="AM27" s="138" t="s">
        <v>31</v>
      </c>
      <c r="AN27" s="120">
        <v>0</v>
      </c>
      <c r="AO27" s="121" t="e">
        <v>#NAME?</v>
      </c>
    </row>
    <row r="28" spans="1:44" ht="22.5" customHeight="1">
      <c r="A28" s="15">
        <v>27</v>
      </c>
      <c r="B28" s="15" t="s">
        <v>34</v>
      </c>
      <c r="C28" s="17" t="s">
        <v>139</v>
      </c>
      <c r="D28" s="18">
        <v>44954</v>
      </c>
      <c r="E28" s="16">
        <v>1211.3599999999999</v>
      </c>
      <c r="F28" s="18"/>
      <c r="G28" s="16">
        <v>0</v>
      </c>
      <c r="H28" s="16">
        <f ca="1">IFERROR(__xludf.DUMMYFUNCTION("GOOGLEFINANCE(""NSE:""&amp;B28,""price"")"),1674.8)</f>
        <v>1674.8</v>
      </c>
      <c r="I28" s="15">
        <v>7</v>
      </c>
      <c r="J28" s="16">
        <f t="shared" si="0"/>
        <v>8479.5199999999986</v>
      </c>
      <c r="K28" s="16">
        <f t="shared" si="1"/>
        <v>8479.5199999999986</v>
      </c>
      <c r="L28" s="16">
        <f t="shared" ca="1" si="2"/>
        <v>3244.0800000000004</v>
      </c>
      <c r="M28" s="19">
        <f t="shared" ca="1" si="3"/>
        <v>0.38257825914674426</v>
      </c>
      <c r="N28" s="16">
        <f ca="1">IFERROR(__xludf.DUMMYFUNCTION("IF(G28&gt;0,0,GOOGLEFINANCE(""NSE:""&amp;B28,""change""))"),4.5)</f>
        <v>4.5</v>
      </c>
      <c r="O28" s="16">
        <f t="shared" ca="1" si="4"/>
        <v>31.5</v>
      </c>
      <c r="P28" s="16">
        <f t="shared" si="5"/>
        <v>0</v>
      </c>
      <c r="Q28" s="19">
        <f t="shared" si="6"/>
        <v>0</v>
      </c>
      <c r="R28" s="16"/>
      <c r="S28" s="16"/>
      <c r="T28" s="16"/>
      <c r="U28" s="16"/>
      <c r="V28" s="16"/>
      <c r="W28" s="16"/>
      <c r="X28" s="16"/>
      <c r="Y28" s="16"/>
      <c r="Z28" s="19"/>
      <c r="AA28" s="16"/>
      <c r="AC28" s="27"/>
      <c r="AM28" s="138" t="s">
        <v>28</v>
      </c>
      <c r="AN28" s="120">
        <v>1040</v>
      </c>
      <c r="AO28" s="121">
        <v>0</v>
      </c>
    </row>
    <row r="29" spans="1:44" ht="22.5" customHeight="1">
      <c r="A29" s="15">
        <v>28</v>
      </c>
      <c r="B29" s="15" t="s">
        <v>22</v>
      </c>
      <c r="C29" s="17" t="s">
        <v>131</v>
      </c>
      <c r="D29" s="18"/>
      <c r="E29" s="16">
        <v>223.25</v>
      </c>
      <c r="F29" s="18"/>
      <c r="G29" s="16">
        <v>0</v>
      </c>
      <c r="H29" s="16">
        <f ca="1">IFERROR(__xludf.DUMMYFUNCTION("GOOGLEFINANCE(""NSE:""&amp;B29,""price"")"),369.7)</f>
        <v>369.7</v>
      </c>
      <c r="I29" s="15">
        <v>23</v>
      </c>
      <c r="J29" s="16">
        <f t="shared" si="0"/>
        <v>5134.75</v>
      </c>
      <c r="K29" s="16">
        <f t="shared" si="1"/>
        <v>5134.75</v>
      </c>
      <c r="L29" s="16">
        <f t="shared" ca="1" si="2"/>
        <v>3368.35</v>
      </c>
      <c r="M29" s="19">
        <f t="shared" ca="1" si="3"/>
        <v>0.65599104143337061</v>
      </c>
      <c r="N29" s="16">
        <f ca="1">IFERROR(__xludf.DUMMYFUNCTION("IF(G29&gt;0,0,GOOGLEFINANCE(""NSE:""&amp;B29,""change""))"),-0.2)</f>
        <v>-0.2</v>
      </c>
      <c r="O29" s="16">
        <f t="shared" ca="1" si="4"/>
        <v>-4.6000000000000005</v>
      </c>
      <c r="P29" s="16">
        <f t="shared" si="5"/>
        <v>0</v>
      </c>
      <c r="Q29" s="19">
        <f t="shared" si="6"/>
        <v>0</v>
      </c>
      <c r="R29" s="16"/>
      <c r="S29" s="16"/>
      <c r="T29" s="16"/>
      <c r="U29" s="16"/>
      <c r="V29" s="16"/>
      <c r="W29" s="16"/>
      <c r="X29" s="16"/>
      <c r="Y29" s="16"/>
      <c r="Z29" s="19"/>
      <c r="AA29" s="16"/>
      <c r="AC29" s="27"/>
      <c r="AM29" s="138" t="s">
        <v>35</v>
      </c>
      <c r="AN29" s="120">
        <v>1834.25</v>
      </c>
      <c r="AO29" s="121">
        <v>-3195.4999999999995</v>
      </c>
    </row>
    <row r="30" spans="1:44" ht="22.5" customHeight="1">
      <c r="A30" s="15">
        <v>29</v>
      </c>
      <c r="B30" s="15" t="s">
        <v>144</v>
      </c>
      <c r="C30" s="17" t="s">
        <v>131</v>
      </c>
      <c r="D30" s="18">
        <v>44259</v>
      </c>
      <c r="E30" s="16">
        <v>210</v>
      </c>
      <c r="F30" s="18">
        <v>45660</v>
      </c>
      <c r="G30" s="16">
        <v>427</v>
      </c>
      <c r="H30" s="16">
        <f ca="1">IFERROR(__xludf.DUMMYFUNCTION("GOOGLEFINANCE(""NSE:""&amp;B30,""price"")"),370.5)</f>
        <v>370.5</v>
      </c>
      <c r="I30" s="15">
        <v>25</v>
      </c>
      <c r="J30" s="16">
        <f t="shared" si="0"/>
        <v>5250</v>
      </c>
      <c r="K30" s="16">
        <f t="shared" si="1"/>
        <v>15925</v>
      </c>
      <c r="L30" s="16">
        <f t="shared" si="2"/>
        <v>0</v>
      </c>
      <c r="M30" s="19">
        <f t="shared" si="3"/>
        <v>0</v>
      </c>
      <c r="N30" s="16">
        <f ca="1">IFERROR(__xludf.DUMMYFUNCTION("IF(G30&gt;0,0,GOOGLEFINANCE(""NSE:""&amp;B30,""change""))"),0)</f>
        <v>0</v>
      </c>
      <c r="O30" s="16">
        <f t="shared" ca="1" si="4"/>
        <v>0</v>
      </c>
      <c r="P30" s="16">
        <f t="shared" si="5"/>
        <v>5425</v>
      </c>
      <c r="Q30" s="19">
        <f t="shared" si="6"/>
        <v>1.0333333333333334</v>
      </c>
      <c r="R30" s="16"/>
      <c r="S30" s="16"/>
      <c r="T30" s="16"/>
      <c r="U30" s="16"/>
      <c r="V30" s="16"/>
      <c r="W30" s="16"/>
      <c r="X30" s="16"/>
      <c r="Y30" s="16"/>
      <c r="Z30" s="19"/>
      <c r="AA30" s="16"/>
      <c r="AC30" s="27"/>
      <c r="AM30" s="138" t="s">
        <v>32</v>
      </c>
      <c r="AN30" s="120">
        <v>60670</v>
      </c>
      <c r="AO30" s="121" t="e">
        <v>#NAME?</v>
      </c>
    </row>
    <row r="31" spans="1:44" ht="22.5" customHeight="1">
      <c r="A31" s="15">
        <v>30</v>
      </c>
      <c r="B31" s="15" t="s">
        <v>144</v>
      </c>
      <c r="C31" s="17" t="s">
        <v>131</v>
      </c>
      <c r="D31" s="18">
        <v>44259</v>
      </c>
      <c r="E31" s="16">
        <v>210</v>
      </c>
      <c r="F31" s="18">
        <v>45614</v>
      </c>
      <c r="G31" s="16">
        <v>414.85</v>
      </c>
      <c r="H31" s="16">
        <f ca="1">IFERROR(__xludf.DUMMYFUNCTION("GOOGLEFINANCE(""NSE:""&amp;B31,""price"")"),370.5)</f>
        <v>370.5</v>
      </c>
      <c r="I31" s="15">
        <v>25</v>
      </c>
      <c r="J31" s="16">
        <f t="shared" si="0"/>
        <v>5250</v>
      </c>
      <c r="K31" s="16">
        <f t="shared" si="1"/>
        <v>15621.25</v>
      </c>
      <c r="L31" s="16">
        <f t="shared" si="2"/>
        <v>0</v>
      </c>
      <c r="M31" s="19">
        <f t="shared" si="3"/>
        <v>0</v>
      </c>
      <c r="N31" s="16">
        <f ca="1">IFERROR(__xludf.DUMMYFUNCTION("IF(G31&gt;0,0,GOOGLEFINANCE(""NSE:""&amp;B31,""change""))"),0)</f>
        <v>0</v>
      </c>
      <c r="O31" s="16">
        <f t="shared" ca="1" si="4"/>
        <v>0</v>
      </c>
      <c r="P31" s="16">
        <f t="shared" si="5"/>
        <v>5121.2500000000009</v>
      </c>
      <c r="Q31" s="19">
        <f t="shared" si="6"/>
        <v>0.97547619047619061</v>
      </c>
      <c r="R31" s="16"/>
      <c r="S31" s="16"/>
      <c r="T31" s="16"/>
      <c r="U31" s="16"/>
      <c r="V31" s="16"/>
      <c r="W31" s="16"/>
      <c r="X31" s="16"/>
      <c r="Y31" s="16"/>
      <c r="Z31" s="19"/>
      <c r="AA31" s="16"/>
      <c r="AC31" s="27"/>
      <c r="AM31" s="138" t="s">
        <v>114</v>
      </c>
      <c r="AN31" s="120">
        <v>-189.99999999999986</v>
      </c>
      <c r="AO31" s="121">
        <v>-86.739999999999881</v>
      </c>
    </row>
    <row r="32" spans="1:44" ht="22.5" customHeight="1">
      <c r="A32" s="15">
        <v>31</v>
      </c>
      <c r="B32" s="15" t="s">
        <v>68</v>
      </c>
      <c r="C32" s="17" t="s">
        <v>131</v>
      </c>
      <c r="D32" s="18"/>
      <c r="E32" s="16">
        <v>225.15</v>
      </c>
      <c r="F32" s="18"/>
      <c r="G32" s="16">
        <v>0</v>
      </c>
      <c r="H32" s="16">
        <f ca="1">IFERROR(__xludf.DUMMYFUNCTION("GOOGLEFINANCE(""NSE:""&amp;B32,""price"")"),382.4)</f>
        <v>382.4</v>
      </c>
      <c r="I32" s="15">
        <v>27</v>
      </c>
      <c r="J32" s="16">
        <f t="shared" si="0"/>
        <v>6079.05</v>
      </c>
      <c r="K32" s="16">
        <f t="shared" si="1"/>
        <v>6079.05</v>
      </c>
      <c r="L32" s="16">
        <f t="shared" ca="1" si="2"/>
        <v>4245.7499999999991</v>
      </c>
      <c r="M32" s="19">
        <f t="shared" ca="1" si="3"/>
        <v>0.69842327337330656</v>
      </c>
      <c r="N32" s="16">
        <f ca="1">IFERROR(__xludf.DUMMYFUNCTION("IF(G32&gt;0,0,GOOGLEFINANCE(""NSE:""&amp;B32,""change""))"),1.6)</f>
        <v>1.6</v>
      </c>
      <c r="O32" s="16">
        <f t="shared" ca="1" si="4"/>
        <v>43.2</v>
      </c>
      <c r="P32" s="16">
        <f t="shared" si="5"/>
        <v>0</v>
      </c>
      <c r="Q32" s="19">
        <f t="shared" si="6"/>
        <v>0</v>
      </c>
      <c r="R32" s="16"/>
      <c r="S32" s="16"/>
      <c r="T32" s="16"/>
      <c r="U32" s="16"/>
      <c r="V32" s="16"/>
      <c r="W32" s="16"/>
      <c r="X32" s="16"/>
      <c r="Y32" s="16"/>
      <c r="Z32" s="19"/>
      <c r="AA32" s="16"/>
      <c r="AC32" s="27"/>
      <c r="AM32" s="138" t="s">
        <v>36</v>
      </c>
      <c r="AN32" s="120">
        <v>0</v>
      </c>
      <c r="AO32" s="121">
        <v>2082.5</v>
      </c>
    </row>
    <row r="33" spans="1:41" ht="22.5" customHeight="1">
      <c r="A33" s="15">
        <v>32</v>
      </c>
      <c r="B33" s="15" t="s">
        <v>50</v>
      </c>
      <c r="C33" s="17" t="s">
        <v>131</v>
      </c>
      <c r="D33" s="18"/>
      <c r="E33" s="16">
        <v>76</v>
      </c>
      <c r="F33" s="18"/>
      <c r="G33" s="16">
        <v>0</v>
      </c>
      <c r="H33" s="16">
        <f ca="1">IFERROR(__xludf.DUMMYFUNCTION("GOOGLEFINANCE(""NSE:""&amp;B33,""price"")"),284.25)</f>
        <v>284.25</v>
      </c>
      <c r="I33" s="15">
        <v>75</v>
      </c>
      <c r="J33" s="16">
        <f t="shared" si="0"/>
        <v>5700</v>
      </c>
      <c r="K33" s="16">
        <f t="shared" si="1"/>
        <v>5700</v>
      </c>
      <c r="L33" s="16">
        <f t="shared" ca="1" si="2"/>
        <v>15618.75</v>
      </c>
      <c r="M33" s="19">
        <f t="shared" ca="1" si="3"/>
        <v>2.7401315789473686</v>
      </c>
      <c r="N33" s="16">
        <f ca="1">IFERROR(__xludf.DUMMYFUNCTION("IF(G33&gt;0,0,GOOGLEFINANCE(""NSE:""&amp;B33,""change""))"),-2.45)</f>
        <v>-2.4500000000000002</v>
      </c>
      <c r="O33" s="16">
        <f t="shared" ca="1" si="4"/>
        <v>-183.75</v>
      </c>
      <c r="P33" s="16">
        <f t="shared" si="5"/>
        <v>0</v>
      </c>
      <c r="Q33" s="19">
        <f t="shared" si="6"/>
        <v>0</v>
      </c>
      <c r="R33" s="16"/>
      <c r="S33" s="16"/>
      <c r="T33" s="16"/>
      <c r="U33" s="16"/>
      <c r="V33" s="16"/>
      <c r="W33" s="16"/>
      <c r="X33" s="16"/>
      <c r="Y33" s="16"/>
      <c r="Z33" s="19"/>
      <c r="AA33" s="16"/>
      <c r="AC33" s="27"/>
      <c r="AM33" s="138" t="s">
        <v>59</v>
      </c>
      <c r="AN33" s="120">
        <v>0</v>
      </c>
      <c r="AO33" s="121">
        <v>2977.2</v>
      </c>
    </row>
    <row r="34" spans="1:41" ht="22.5" customHeight="1">
      <c r="A34" s="15">
        <v>33</v>
      </c>
      <c r="B34" s="15" t="s">
        <v>147</v>
      </c>
      <c r="C34" s="17" t="s">
        <v>131</v>
      </c>
      <c r="D34" s="18"/>
      <c r="E34" s="16">
        <v>501.65</v>
      </c>
      <c r="F34" s="18"/>
      <c r="G34" s="16">
        <v>0</v>
      </c>
      <c r="H34" s="16" t="str">
        <f ca="1">IFERROR(__xludf.DUMMYFUNCTION("GOOGLEFINANCE(""NSE:""&amp;B34,""price"")"),"#N/A")</f>
        <v>#N/A</v>
      </c>
      <c r="I34" s="15">
        <v>4</v>
      </c>
      <c r="J34" s="16">
        <f t="shared" si="0"/>
        <v>2006.6</v>
      </c>
      <c r="K34" s="16">
        <f t="shared" si="1"/>
        <v>2006.6</v>
      </c>
      <c r="L34" s="16" t="e">
        <f t="shared" ca="1" si="2"/>
        <v>#VALUE!</v>
      </c>
      <c r="M34" s="19" t="e">
        <f t="shared" ca="1" si="3"/>
        <v>#VALUE!</v>
      </c>
      <c r="N34" s="16" t="str">
        <f ca="1">IFERROR(__xludf.DUMMYFUNCTION("IF(G34&gt;0,0,GOOGLEFINANCE(""NSE:""&amp;B34,""change""))"),"#N/A")</f>
        <v>#N/A</v>
      </c>
      <c r="O34" s="16" t="e">
        <f t="shared" ca="1" si="4"/>
        <v>#VALUE!</v>
      </c>
      <c r="P34" s="16">
        <f t="shared" si="5"/>
        <v>0</v>
      </c>
      <c r="Q34" s="19">
        <f t="shared" si="6"/>
        <v>0</v>
      </c>
      <c r="R34" s="16"/>
      <c r="S34" s="16"/>
      <c r="T34" s="16"/>
      <c r="U34" s="16"/>
      <c r="V34" s="16"/>
      <c r="W34" s="16"/>
      <c r="X34" s="16"/>
      <c r="Y34" s="16"/>
      <c r="Z34" s="19"/>
      <c r="AA34" s="16"/>
      <c r="AC34" s="27"/>
      <c r="AM34" s="138" t="s">
        <v>52</v>
      </c>
      <c r="AN34" s="120">
        <v>7977.9</v>
      </c>
      <c r="AO34" s="121">
        <v>13887.099999999999</v>
      </c>
    </row>
    <row r="35" spans="1:41" ht="22.5" customHeight="1">
      <c r="A35" s="15">
        <v>34</v>
      </c>
      <c r="B35" s="15" t="s">
        <v>51</v>
      </c>
      <c r="C35" s="17" t="s">
        <v>131</v>
      </c>
      <c r="D35" s="18"/>
      <c r="E35" s="16">
        <v>715</v>
      </c>
      <c r="F35" s="18">
        <v>45813</v>
      </c>
      <c r="G35" s="16">
        <v>495.7</v>
      </c>
      <c r="H35" s="16">
        <f ca="1">IFERROR(__xludf.DUMMYFUNCTION("GOOGLEFINANCE(""NSE:""&amp;B35,""price"")"),271.3)</f>
        <v>271.3</v>
      </c>
      <c r="I35" s="15">
        <v>18</v>
      </c>
      <c r="J35" s="16">
        <f t="shared" si="0"/>
        <v>12870</v>
      </c>
      <c r="K35" s="16">
        <f t="shared" si="1"/>
        <v>21792.600000000002</v>
      </c>
      <c r="L35" s="16" t="e">
        <f t="shared" ref="L35:L43" ca="1" si="19">_xludf.IFNA(IF(G35&gt;0,0,(H35-E35)*I35),0)</f>
        <v>#NAME?</v>
      </c>
      <c r="M35" s="19" t="e">
        <f t="shared" ref="M35:M43" ca="1" si="20">_xludf.IFNA(IF(G35&gt;0,0,(H35-E35)/E35),0)</f>
        <v>#NAME?</v>
      </c>
      <c r="N35" s="16">
        <f ca="1">IFERROR(__xludf.DUMMYFUNCTION("IF(G35&gt;0,0,GOOGLEFINANCE(""NSE:""&amp;B35,""change""))"),0)</f>
        <v>0</v>
      </c>
      <c r="O35" s="16">
        <f t="shared" ca="1" si="4"/>
        <v>0</v>
      </c>
      <c r="P35" s="16">
        <f t="shared" si="5"/>
        <v>-3947.4</v>
      </c>
      <c r="Q35" s="19">
        <f t="shared" si="6"/>
        <v>-0.30671328671328674</v>
      </c>
      <c r="R35" s="16"/>
      <c r="S35" s="16"/>
      <c r="T35" s="16"/>
      <c r="U35" s="16"/>
      <c r="V35" s="16"/>
      <c r="W35" s="16"/>
      <c r="X35" s="16"/>
      <c r="Y35" s="16"/>
      <c r="Z35" s="19"/>
      <c r="AA35" s="16"/>
      <c r="AC35" s="27"/>
      <c r="AM35" s="138" t="s">
        <v>61</v>
      </c>
      <c r="AN35" s="120">
        <v>0</v>
      </c>
      <c r="AO35" s="121">
        <v>1315.91</v>
      </c>
    </row>
    <row r="36" spans="1:41" ht="22.5" customHeight="1">
      <c r="A36" s="15">
        <v>35</v>
      </c>
      <c r="B36" s="15" t="s">
        <v>27</v>
      </c>
      <c r="C36" s="17" t="s">
        <v>140</v>
      </c>
      <c r="D36" s="18">
        <v>45204</v>
      </c>
      <c r="E36" s="16">
        <v>74.69</v>
      </c>
      <c r="F36" s="18"/>
      <c r="G36" s="16">
        <v>0</v>
      </c>
      <c r="H36" s="16">
        <f ca="1">IFERROR(__xludf.DUMMYFUNCTION("GOOGLEFINANCE(""NSE:""&amp;B36,""price"")"),116.72)</f>
        <v>116.72</v>
      </c>
      <c r="I36" s="15">
        <v>48</v>
      </c>
      <c r="J36" s="16">
        <f t="shared" si="0"/>
        <v>3585.12</v>
      </c>
      <c r="K36" s="16">
        <f t="shared" si="1"/>
        <v>3585.12</v>
      </c>
      <c r="L36" s="16" t="e">
        <f t="shared" ca="1" si="19"/>
        <v>#NAME?</v>
      </c>
      <c r="M36" s="19" t="e">
        <f t="shared" ca="1" si="20"/>
        <v>#NAME?</v>
      </c>
      <c r="N36" s="16">
        <f ca="1">IFERROR(__xludf.DUMMYFUNCTION("IF(G36&gt;0,0,GOOGLEFINANCE(""NSE:""&amp;B36,""change""))"),0.58)</f>
        <v>0.57999999999999996</v>
      </c>
      <c r="O36" s="16">
        <f t="shared" ca="1" si="4"/>
        <v>27.839999999999996</v>
      </c>
      <c r="P36" s="16">
        <f t="shared" si="5"/>
        <v>0</v>
      </c>
      <c r="Q36" s="19">
        <f t="shared" si="6"/>
        <v>0</v>
      </c>
      <c r="R36" s="16"/>
      <c r="S36" s="16"/>
      <c r="T36" s="16"/>
      <c r="U36" s="16"/>
      <c r="V36" s="16"/>
      <c r="W36" s="16"/>
      <c r="X36" s="16"/>
      <c r="Y36" s="16"/>
      <c r="Z36" s="19"/>
      <c r="AA36" s="16"/>
      <c r="AB36" s="27"/>
      <c r="AC36" s="27"/>
      <c r="AM36" s="138" t="s">
        <v>148</v>
      </c>
      <c r="AN36" s="120">
        <v>4767.8999999999996</v>
      </c>
      <c r="AO36" s="121">
        <v>0</v>
      </c>
    </row>
    <row r="37" spans="1:41" ht="22.5" customHeight="1">
      <c r="A37" s="15">
        <v>36</v>
      </c>
      <c r="B37" s="15" t="s">
        <v>32</v>
      </c>
      <c r="C37" s="17" t="s">
        <v>136</v>
      </c>
      <c r="D37" s="18">
        <v>45259</v>
      </c>
      <c r="E37" s="16">
        <v>32</v>
      </c>
      <c r="F37" s="18">
        <v>45259</v>
      </c>
      <c r="G37" s="16">
        <v>52.8</v>
      </c>
      <c r="H37" s="16">
        <f ca="1">IFERROR(__xludf.DUMMYFUNCTION("GOOGLEFINANCE(""NSE:""&amp;B37,""price"")"),139)</f>
        <v>139</v>
      </c>
      <c r="I37" s="15">
        <v>160</v>
      </c>
      <c r="J37" s="16">
        <f t="shared" si="0"/>
        <v>5120</v>
      </c>
      <c r="K37" s="16">
        <f t="shared" si="1"/>
        <v>13568</v>
      </c>
      <c r="L37" s="16" t="e">
        <f t="shared" ca="1" si="19"/>
        <v>#NAME?</v>
      </c>
      <c r="M37" s="19" t="e">
        <f t="shared" ca="1" si="20"/>
        <v>#NAME?</v>
      </c>
      <c r="N37" s="16">
        <f ca="1">IFERROR(__xludf.DUMMYFUNCTION("IFNA(IF(G37&gt;0,0,GOOGLEFINANCE(""NSE:""&amp;B37,""change"")),0)"),0)</f>
        <v>0</v>
      </c>
      <c r="O37" s="16">
        <f t="shared" ca="1" si="4"/>
        <v>0</v>
      </c>
      <c r="P37" s="16">
        <f t="shared" si="5"/>
        <v>3327.9999999999995</v>
      </c>
      <c r="Q37" s="19">
        <f t="shared" si="6"/>
        <v>0.64999999999999991</v>
      </c>
      <c r="R37" s="16"/>
      <c r="S37" s="16"/>
      <c r="T37" s="16"/>
      <c r="U37" s="16"/>
      <c r="V37" s="16"/>
      <c r="W37" s="16"/>
      <c r="X37" s="16"/>
      <c r="Y37" s="16"/>
      <c r="Z37" s="19"/>
      <c r="AA37" s="16"/>
      <c r="AB37" s="27" t="s">
        <v>122</v>
      </c>
      <c r="AC37" s="27"/>
      <c r="AM37" s="138" t="s">
        <v>64</v>
      </c>
      <c r="AN37" s="120">
        <v>0</v>
      </c>
      <c r="AO37" s="121">
        <v>3316</v>
      </c>
    </row>
    <row r="38" spans="1:41" ht="22.5" customHeight="1">
      <c r="A38" s="15">
        <v>37</v>
      </c>
      <c r="B38" s="15" t="s">
        <v>32</v>
      </c>
      <c r="C38" s="17" t="s">
        <v>136</v>
      </c>
      <c r="D38" s="18">
        <v>45259</v>
      </c>
      <c r="E38" s="16">
        <v>32</v>
      </c>
      <c r="F38" s="43">
        <v>45348</v>
      </c>
      <c r="G38" s="16">
        <v>151.5</v>
      </c>
      <c r="H38" s="16">
        <f ca="1">IFERROR(__xludf.DUMMYFUNCTION("GOOGLEFINANCE(""NSE:""&amp;B38,""price"")"),139)</f>
        <v>139</v>
      </c>
      <c r="I38" s="15">
        <v>300</v>
      </c>
      <c r="J38" s="16">
        <f t="shared" si="0"/>
        <v>9600</v>
      </c>
      <c r="K38" s="16">
        <f t="shared" si="1"/>
        <v>55050</v>
      </c>
      <c r="L38" s="16" t="e">
        <f t="shared" ca="1" si="19"/>
        <v>#NAME?</v>
      </c>
      <c r="M38" s="19" t="e">
        <f t="shared" ca="1" si="20"/>
        <v>#NAME?</v>
      </c>
      <c r="N38" s="16">
        <f ca="1">IFERROR(__xludf.DUMMYFUNCTION("IFNA(IF(G38&gt;0,0,GOOGLEFINANCE(""NSE:""&amp;B38,""change"")),0)"),0)</f>
        <v>0</v>
      </c>
      <c r="O38" s="16">
        <f t="shared" ca="1" si="4"/>
        <v>0</v>
      </c>
      <c r="P38" s="16">
        <f t="shared" si="5"/>
        <v>35850</v>
      </c>
      <c r="Q38" s="19">
        <f t="shared" si="6"/>
        <v>3.734375</v>
      </c>
      <c r="R38" s="39"/>
      <c r="S38" s="39"/>
      <c r="T38" s="39"/>
      <c r="U38" s="39"/>
      <c r="V38" s="39"/>
      <c r="W38" s="39"/>
      <c r="X38" s="39"/>
      <c r="Y38" s="39"/>
      <c r="Z38" s="44"/>
      <c r="AA38" s="39"/>
      <c r="AB38" s="27" t="s">
        <v>122</v>
      </c>
      <c r="AC38" s="27"/>
      <c r="AM38" s="138" t="s">
        <v>39</v>
      </c>
      <c r="AN38" s="120">
        <v>0</v>
      </c>
      <c r="AO38" s="121">
        <v>6330</v>
      </c>
    </row>
    <row r="39" spans="1:41" ht="22.5" customHeight="1">
      <c r="A39" s="15">
        <v>38</v>
      </c>
      <c r="B39" s="15" t="s">
        <v>70</v>
      </c>
      <c r="C39" s="17" t="s">
        <v>136</v>
      </c>
      <c r="D39" s="18">
        <v>45260</v>
      </c>
      <c r="E39" s="16">
        <v>500</v>
      </c>
      <c r="F39" s="18">
        <v>45260</v>
      </c>
      <c r="G39" s="16">
        <v>1305.4000000000001</v>
      </c>
      <c r="H39" s="16">
        <f ca="1">IFERROR(__xludf.DUMMYFUNCTION("GOOGLEFINANCE(""NSE:""&amp;B39,""price"")"),661.1)</f>
        <v>661.1</v>
      </c>
      <c r="I39" s="15">
        <v>10</v>
      </c>
      <c r="J39" s="16">
        <f t="shared" si="0"/>
        <v>5000</v>
      </c>
      <c r="K39" s="16">
        <f t="shared" si="1"/>
        <v>18054</v>
      </c>
      <c r="L39" s="16" t="e">
        <f t="shared" ca="1" si="19"/>
        <v>#NAME?</v>
      </c>
      <c r="M39" s="19" t="e">
        <f t="shared" ca="1" si="20"/>
        <v>#NAME?</v>
      </c>
      <c r="N39" s="16">
        <f ca="1">IFERROR(__xludf.DUMMYFUNCTION("IFNA(IF(G39&gt;0,0,GOOGLEFINANCE(""NSE:""&amp;B39,""change"")),0)"),0)</f>
        <v>0</v>
      </c>
      <c r="O39" s="16">
        <f t="shared" ca="1" si="4"/>
        <v>0</v>
      </c>
      <c r="P39" s="16">
        <f t="shared" si="5"/>
        <v>8054.0000000000009</v>
      </c>
      <c r="Q39" s="19">
        <f t="shared" si="6"/>
        <v>1.6108000000000002</v>
      </c>
      <c r="R39" s="39"/>
      <c r="S39" s="39"/>
      <c r="T39" s="39"/>
      <c r="U39" s="39"/>
      <c r="V39" s="39"/>
      <c r="W39" s="39"/>
      <c r="X39" s="39"/>
      <c r="Y39" s="39"/>
      <c r="Z39" s="44"/>
      <c r="AA39" s="39"/>
      <c r="AB39" s="27" t="s">
        <v>122</v>
      </c>
      <c r="AC39" s="27"/>
      <c r="AM39" s="138" t="s">
        <v>65</v>
      </c>
      <c r="AN39" s="120">
        <v>0</v>
      </c>
      <c r="AO39" s="121">
        <v>120.99999999999994</v>
      </c>
    </row>
    <row r="40" spans="1:41" ht="22.5" customHeight="1">
      <c r="A40" s="15">
        <v>39</v>
      </c>
      <c r="B40" s="15" t="s">
        <v>70</v>
      </c>
      <c r="C40" s="17" t="s">
        <v>136</v>
      </c>
      <c r="D40" s="18">
        <v>45260</v>
      </c>
      <c r="E40" s="16">
        <v>500</v>
      </c>
      <c r="F40" s="18">
        <v>45404</v>
      </c>
      <c r="G40" s="42">
        <v>1051.75</v>
      </c>
      <c r="H40" s="16">
        <f ca="1">IFERROR(__xludf.DUMMYFUNCTION("GOOGLEFINANCE(""NSE:""&amp;B40,""price"")"),661.1)</f>
        <v>661.1</v>
      </c>
      <c r="I40" s="15">
        <v>20</v>
      </c>
      <c r="J40" s="16">
        <f t="shared" si="0"/>
        <v>10000</v>
      </c>
      <c r="K40" s="16">
        <f t="shared" si="1"/>
        <v>31035</v>
      </c>
      <c r="L40" s="16" t="e">
        <f t="shared" ca="1" si="19"/>
        <v>#NAME?</v>
      </c>
      <c r="M40" s="19" t="e">
        <f t="shared" ca="1" si="20"/>
        <v>#NAME?</v>
      </c>
      <c r="N40" s="16">
        <f ca="1">IFERROR(__xludf.DUMMYFUNCTION("IFNA(IF(G40&gt;0,0,GOOGLEFINANCE(""NSE:""&amp;B40,""change"")),0)"),0)</f>
        <v>0</v>
      </c>
      <c r="O40" s="16">
        <f t="shared" ca="1" si="4"/>
        <v>0</v>
      </c>
      <c r="P40" s="16">
        <f t="shared" si="5"/>
        <v>11035</v>
      </c>
      <c r="Q40" s="19">
        <f t="shared" si="6"/>
        <v>1.1034999999999999</v>
      </c>
      <c r="R40" s="39"/>
      <c r="S40" s="39"/>
      <c r="T40" s="39"/>
      <c r="U40" s="39"/>
      <c r="V40" s="39"/>
      <c r="W40" s="39"/>
      <c r="X40" s="39"/>
      <c r="Y40" s="39"/>
      <c r="Z40" s="44"/>
      <c r="AA40" s="39"/>
      <c r="AB40" s="27" t="s">
        <v>122</v>
      </c>
      <c r="AC40" s="27"/>
      <c r="AM40" s="138" t="s">
        <v>149</v>
      </c>
      <c r="AN40" s="120">
        <v>0</v>
      </c>
      <c r="AO40" s="121">
        <v>629.39999999999986</v>
      </c>
    </row>
    <row r="41" spans="1:41" ht="22.5" customHeight="1">
      <c r="A41" s="15">
        <v>40</v>
      </c>
      <c r="B41" s="15" t="s">
        <v>31</v>
      </c>
      <c r="C41" s="17" t="s">
        <v>131</v>
      </c>
      <c r="D41" s="18">
        <v>45261</v>
      </c>
      <c r="E41" s="16">
        <v>86</v>
      </c>
      <c r="F41" s="18"/>
      <c r="G41" s="16">
        <v>0</v>
      </c>
      <c r="H41" s="16">
        <f ca="1">IFERROR(__xludf.DUMMYFUNCTION("GOOGLEFINANCE(""NSE:""&amp;B41,""price"")"),84.9)</f>
        <v>84.9</v>
      </c>
      <c r="I41" s="15">
        <v>35</v>
      </c>
      <c r="J41" s="16">
        <f t="shared" si="0"/>
        <v>3010</v>
      </c>
      <c r="K41" s="16">
        <f t="shared" si="1"/>
        <v>3010</v>
      </c>
      <c r="L41" s="16" t="e">
        <f t="shared" ca="1" si="19"/>
        <v>#NAME?</v>
      </c>
      <c r="M41" s="19" t="e">
        <f t="shared" ca="1" si="20"/>
        <v>#NAME?</v>
      </c>
      <c r="N41" s="16">
        <f ca="1">IFERROR(__xludf.DUMMYFUNCTION("IFNA(IF(G41&gt;0,0,GOOGLEFINANCE(""NSE:""&amp;B41,""change"")),0)"),-0.45)</f>
        <v>-0.45</v>
      </c>
      <c r="O41" s="16">
        <f t="shared" ca="1" si="4"/>
        <v>-15.75</v>
      </c>
      <c r="P41" s="16">
        <f t="shared" si="5"/>
        <v>0</v>
      </c>
      <c r="Q41" s="19">
        <f t="shared" si="6"/>
        <v>0</v>
      </c>
      <c r="R41" s="39"/>
      <c r="S41" s="39"/>
      <c r="T41" s="39"/>
      <c r="U41" s="39"/>
      <c r="V41" s="39"/>
      <c r="W41" s="39"/>
      <c r="X41" s="39"/>
      <c r="Y41" s="39"/>
      <c r="Z41" s="44"/>
      <c r="AA41" s="39"/>
      <c r="AC41" s="27"/>
      <c r="AM41" s="138" t="s">
        <v>66</v>
      </c>
      <c r="AN41" s="120">
        <v>434.7</v>
      </c>
      <c r="AO41" s="121">
        <v>1537.1</v>
      </c>
    </row>
    <row r="42" spans="1:41" ht="22.5" customHeight="1">
      <c r="A42" s="15">
        <v>41</v>
      </c>
      <c r="B42" s="15" t="s">
        <v>31</v>
      </c>
      <c r="C42" s="17" t="s">
        <v>131</v>
      </c>
      <c r="D42" s="18">
        <v>45289</v>
      </c>
      <c r="E42" s="16">
        <v>88.25</v>
      </c>
      <c r="F42" s="18"/>
      <c r="G42" s="16">
        <v>0</v>
      </c>
      <c r="H42" s="16">
        <f ca="1">IFERROR(__xludf.DUMMYFUNCTION("GOOGLEFINANCE(""NSE:""&amp;B42,""price"")"),84.9)</f>
        <v>84.9</v>
      </c>
      <c r="I42" s="15">
        <v>35</v>
      </c>
      <c r="J42" s="16">
        <f t="shared" si="0"/>
        <v>3088.75</v>
      </c>
      <c r="K42" s="16">
        <f t="shared" si="1"/>
        <v>3088.75</v>
      </c>
      <c r="L42" s="16" t="e">
        <f t="shared" ca="1" si="19"/>
        <v>#NAME?</v>
      </c>
      <c r="M42" s="19" t="e">
        <f t="shared" ca="1" si="20"/>
        <v>#NAME?</v>
      </c>
      <c r="N42" s="16">
        <f ca="1">IFERROR(__xludf.DUMMYFUNCTION("IFNA(IF(G42&gt;0,0,GOOGLEFINANCE(""NSE:""&amp;B42,""change"")),0)"),-0.45)</f>
        <v>-0.45</v>
      </c>
      <c r="O42" s="16">
        <f t="shared" ca="1" si="4"/>
        <v>-15.75</v>
      </c>
      <c r="P42" s="16">
        <f t="shared" si="5"/>
        <v>0</v>
      </c>
      <c r="Q42" s="19">
        <f t="shared" si="6"/>
        <v>0</v>
      </c>
      <c r="R42" s="39"/>
      <c r="S42" s="39"/>
      <c r="T42" s="39"/>
      <c r="U42" s="39"/>
      <c r="V42" s="39"/>
      <c r="W42" s="39"/>
      <c r="X42" s="39"/>
      <c r="Y42" s="39"/>
      <c r="Z42" s="44"/>
      <c r="AA42" s="39"/>
      <c r="AC42" s="27"/>
      <c r="AM42" s="138" t="s">
        <v>67</v>
      </c>
      <c r="AN42" s="120">
        <v>0</v>
      </c>
      <c r="AO42" s="121">
        <v>5012</v>
      </c>
    </row>
    <row r="43" spans="1:41" ht="22.5" customHeight="1">
      <c r="A43" s="15">
        <v>42</v>
      </c>
      <c r="B43" s="15" t="s">
        <v>146</v>
      </c>
      <c r="C43" s="17" t="s">
        <v>136</v>
      </c>
      <c r="D43" s="18">
        <v>45287</v>
      </c>
      <c r="E43" s="16">
        <v>850</v>
      </c>
      <c r="F43" s="18">
        <v>45287</v>
      </c>
      <c r="G43" s="16">
        <v>1010.45</v>
      </c>
      <c r="H43" s="16">
        <f ca="1">IFERROR(__xludf.DUMMYFUNCTION("GOOGLEFINANCE(""NSE:""&amp;B43,""price"")"),1096)</f>
        <v>1096</v>
      </c>
      <c r="I43" s="15">
        <v>17</v>
      </c>
      <c r="J43" s="16">
        <f t="shared" si="0"/>
        <v>14450</v>
      </c>
      <c r="K43" s="16">
        <f t="shared" si="1"/>
        <v>31627.65</v>
      </c>
      <c r="L43" s="16" t="e">
        <f t="shared" ca="1" si="19"/>
        <v>#NAME?</v>
      </c>
      <c r="M43" s="19" t="e">
        <f t="shared" ca="1" si="20"/>
        <v>#NAME?</v>
      </c>
      <c r="N43" s="16">
        <f ca="1">IFERROR(__xludf.DUMMYFUNCTION("IFNA(IF(G43&gt;0,0,GOOGLEFINANCE(""NSE:""&amp;B43,""change"")),0)"),0)</f>
        <v>0</v>
      </c>
      <c r="O43" s="16">
        <f t="shared" ca="1" si="4"/>
        <v>0</v>
      </c>
      <c r="P43" s="16">
        <f t="shared" si="5"/>
        <v>2727.6500000000005</v>
      </c>
      <c r="Q43" s="19">
        <f t="shared" si="6"/>
        <v>0.188764705882353</v>
      </c>
      <c r="R43" s="39"/>
      <c r="S43" s="39"/>
      <c r="T43" s="39"/>
      <c r="U43" s="39"/>
      <c r="V43" s="39"/>
      <c r="W43" s="39"/>
      <c r="X43" s="39"/>
      <c r="Y43" s="39"/>
      <c r="Z43" s="44"/>
      <c r="AA43" s="39"/>
      <c r="AB43" s="27" t="s">
        <v>122</v>
      </c>
      <c r="AC43" s="27"/>
      <c r="AM43" s="138" t="s">
        <v>56</v>
      </c>
      <c r="AN43" s="120">
        <v>0</v>
      </c>
      <c r="AO43" s="121">
        <v>-1192.4000000000001</v>
      </c>
    </row>
    <row r="44" spans="1:41" ht="22.5" customHeight="1">
      <c r="A44" s="15">
        <v>43</v>
      </c>
      <c r="B44" s="16" t="s">
        <v>25</v>
      </c>
      <c r="C44" s="17" t="s">
        <v>131</v>
      </c>
      <c r="D44" s="18">
        <v>45288</v>
      </c>
      <c r="E44" s="16">
        <v>524</v>
      </c>
      <c r="F44" s="18">
        <v>45288</v>
      </c>
      <c r="G44" s="16">
        <v>722.75</v>
      </c>
      <c r="H44" s="16">
        <f ca="1">IFERROR(__xludf.DUMMYFUNCTION("GOOGLEFINANCE(""NSE:""&amp;B44,""price"")"),1658)</f>
        <v>1658</v>
      </c>
      <c r="I44" s="15">
        <v>20</v>
      </c>
      <c r="J44" s="16">
        <f t="shared" si="0"/>
        <v>10480</v>
      </c>
      <c r="K44" s="16">
        <f t="shared" si="1"/>
        <v>24935</v>
      </c>
      <c r="L44" s="16">
        <f t="shared" ref="L44:L88" si="21">IF(G44&gt;0,0,(H44-E44)*I44)</f>
        <v>0</v>
      </c>
      <c r="M44" s="19">
        <f t="shared" ref="M44:M102" si="22">IF(G44&gt;0,0,(H44-E44)/E44)</f>
        <v>0</v>
      </c>
      <c r="N44" s="16">
        <f ca="1">IFERROR(__xludf.DUMMYFUNCTION("IF(G44&gt;0,0,GOOGLEFINANCE(""NSE:""&amp;B44,""change""))"),0)</f>
        <v>0</v>
      </c>
      <c r="O44" s="16">
        <f t="shared" ca="1" si="4"/>
        <v>0</v>
      </c>
      <c r="P44" s="16">
        <f t="shared" si="5"/>
        <v>3975</v>
      </c>
      <c r="Q44" s="19">
        <f t="shared" si="6"/>
        <v>0.37929389312977096</v>
      </c>
      <c r="R44" s="39"/>
      <c r="S44" s="39"/>
      <c r="T44" s="39"/>
      <c r="U44" s="39"/>
      <c r="V44" s="39"/>
      <c r="W44" s="39"/>
      <c r="X44" s="39"/>
      <c r="Y44" s="39"/>
      <c r="Z44" s="44"/>
      <c r="AA44" s="39"/>
      <c r="AB44" s="27" t="s">
        <v>122</v>
      </c>
      <c r="AC44" s="27"/>
      <c r="AM44" s="138" t="s">
        <v>116</v>
      </c>
      <c r="AN44" s="120">
        <v>0</v>
      </c>
      <c r="AO44" s="121">
        <v>3844.7200000000012</v>
      </c>
    </row>
    <row r="45" spans="1:41" ht="22.5" customHeight="1">
      <c r="A45" s="15">
        <v>44</v>
      </c>
      <c r="B45" s="16" t="s">
        <v>25</v>
      </c>
      <c r="C45" s="17" t="s">
        <v>131</v>
      </c>
      <c r="D45" s="18">
        <v>45288</v>
      </c>
      <c r="E45" s="16">
        <v>524</v>
      </c>
      <c r="F45" s="18">
        <v>45852</v>
      </c>
      <c r="G45" s="16">
        <v>1549.15</v>
      </c>
      <c r="H45" s="16">
        <f ca="1">IFERROR(__xludf.DUMMYFUNCTION("GOOGLEFINANCE(""NSE:""&amp;B45,""price"")"),1658)</f>
        <v>1658</v>
      </c>
      <c r="I45" s="15">
        <v>8</v>
      </c>
      <c r="J45" s="16">
        <f t="shared" si="0"/>
        <v>4192</v>
      </c>
      <c r="K45" s="16">
        <f t="shared" si="1"/>
        <v>16585.2</v>
      </c>
      <c r="L45" s="16">
        <f t="shared" si="21"/>
        <v>0</v>
      </c>
      <c r="M45" s="19">
        <f t="shared" si="22"/>
        <v>0</v>
      </c>
      <c r="N45" s="16">
        <f ca="1">IFERROR(__xludf.DUMMYFUNCTION("IF(G45&gt;0,0,GOOGLEFINANCE(""NSE:""&amp;B45,""change""))"),0)</f>
        <v>0</v>
      </c>
      <c r="O45" s="16">
        <f t="shared" ca="1" si="4"/>
        <v>0</v>
      </c>
      <c r="P45" s="16">
        <f t="shared" si="5"/>
        <v>8201.2000000000007</v>
      </c>
      <c r="Q45" s="19">
        <f t="shared" si="6"/>
        <v>1.9563931297709924</v>
      </c>
      <c r="R45" s="39"/>
      <c r="S45" s="39"/>
      <c r="T45" s="39"/>
      <c r="U45" s="39"/>
      <c r="V45" s="39"/>
      <c r="W45" s="39"/>
      <c r="X45" s="39"/>
      <c r="Y45" s="39"/>
      <c r="Z45" s="44"/>
      <c r="AA45" s="39"/>
      <c r="AB45" s="27" t="s">
        <v>122</v>
      </c>
      <c r="AC45" s="27" t="s">
        <v>105</v>
      </c>
      <c r="AM45" s="138" t="s">
        <v>147</v>
      </c>
      <c r="AN45" s="120">
        <v>0</v>
      </c>
      <c r="AO45" s="121" t="e">
        <v>#VALUE!</v>
      </c>
    </row>
    <row r="46" spans="1:41" ht="22.5" customHeight="1">
      <c r="A46" s="15">
        <v>45</v>
      </c>
      <c r="B46" s="16" t="s">
        <v>143</v>
      </c>
      <c r="C46" s="17" t="s">
        <v>140</v>
      </c>
      <c r="D46" s="18">
        <v>45279</v>
      </c>
      <c r="E46" s="16">
        <v>790</v>
      </c>
      <c r="F46" s="18">
        <v>45280</v>
      </c>
      <c r="G46" s="16">
        <v>1405.25</v>
      </c>
      <c r="H46" s="16">
        <f ca="1">IFERROR(__xludf.DUMMYFUNCTION("GOOGLEFINANCE(""NSE:""&amp;B46,""price"")"),2568)</f>
        <v>2568</v>
      </c>
      <c r="I46" s="15">
        <v>10</v>
      </c>
      <c r="J46" s="16">
        <f t="shared" si="0"/>
        <v>7900</v>
      </c>
      <c r="K46" s="16">
        <f t="shared" si="1"/>
        <v>21952.5</v>
      </c>
      <c r="L46" s="16">
        <f t="shared" si="21"/>
        <v>0</v>
      </c>
      <c r="M46" s="19">
        <f t="shared" si="22"/>
        <v>0</v>
      </c>
      <c r="N46" s="16">
        <f ca="1">IFERROR(__xludf.DUMMYFUNCTION("IF(G46&gt;0,0,GOOGLEFINANCE(""NSE:""&amp;B46,""change""))"),0)</f>
        <v>0</v>
      </c>
      <c r="O46" s="16">
        <f t="shared" ca="1" si="4"/>
        <v>0</v>
      </c>
      <c r="P46" s="16">
        <f t="shared" si="5"/>
        <v>6152.5</v>
      </c>
      <c r="Q46" s="19">
        <f t="shared" si="6"/>
        <v>0.77879746835443042</v>
      </c>
      <c r="R46" s="39"/>
      <c r="S46" s="39"/>
      <c r="T46" s="39"/>
      <c r="U46" s="39"/>
      <c r="V46" s="39"/>
      <c r="W46" s="39"/>
      <c r="X46" s="39"/>
      <c r="Y46" s="39"/>
      <c r="Z46" s="44"/>
      <c r="AA46" s="39"/>
      <c r="AB46" s="27" t="s">
        <v>122</v>
      </c>
      <c r="AC46" s="27"/>
      <c r="AM46" s="138" t="s">
        <v>68</v>
      </c>
      <c r="AN46" s="120">
        <v>0</v>
      </c>
      <c r="AO46" s="121">
        <v>4245.7499999999991</v>
      </c>
    </row>
    <row r="47" spans="1:41" ht="22.5" customHeight="1">
      <c r="A47" s="15">
        <v>46</v>
      </c>
      <c r="B47" s="16" t="s">
        <v>143</v>
      </c>
      <c r="C47" s="17" t="s">
        <v>140</v>
      </c>
      <c r="D47" s="18">
        <v>45279</v>
      </c>
      <c r="E47" s="16">
        <v>790</v>
      </c>
      <c r="F47" s="18"/>
      <c r="G47" s="16">
        <v>0</v>
      </c>
      <c r="H47" s="16">
        <f ca="1">IFERROR(__xludf.DUMMYFUNCTION("GOOGLEFINANCE(""NSE:""&amp;B47,""price"")"),2568)</f>
        <v>2568</v>
      </c>
      <c r="I47" s="15">
        <v>8</v>
      </c>
      <c r="J47" s="16">
        <f t="shared" si="0"/>
        <v>6320</v>
      </c>
      <c r="K47" s="16">
        <f t="shared" si="1"/>
        <v>6320</v>
      </c>
      <c r="L47" s="16">
        <f t="shared" ca="1" si="21"/>
        <v>14224</v>
      </c>
      <c r="M47" s="19">
        <f t="shared" ca="1" si="22"/>
        <v>2.2506329113924051</v>
      </c>
      <c r="N47" s="16">
        <f ca="1">IFERROR(__xludf.DUMMYFUNCTION("IF(G47&gt;0,0,GOOGLEFINANCE(""NSE:""&amp;B47,""change""))"),-9.2)</f>
        <v>-9.1999999999999993</v>
      </c>
      <c r="O47" s="16">
        <f t="shared" ca="1" si="4"/>
        <v>-73.599999999999994</v>
      </c>
      <c r="P47" s="16">
        <f t="shared" si="5"/>
        <v>0</v>
      </c>
      <c r="Q47" s="19">
        <f t="shared" si="6"/>
        <v>0</v>
      </c>
      <c r="R47" s="39"/>
      <c r="S47" s="39"/>
      <c r="T47" s="39"/>
      <c r="U47" s="39"/>
      <c r="V47" s="39"/>
      <c r="W47" s="39"/>
      <c r="X47" s="39"/>
      <c r="Y47" s="39"/>
      <c r="Z47" s="44"/>
      <c r="AA47" s="39"/>
      <c r="AB47" s="27" t="s">
        <v>122</v>
      </c>
      <c r="AC47" s="27"/>
      <c r="AM47" s="138" t="s">
        <v>69</v>
      </c>
      <c r="AN47" s="120">
        <v>6523.7000000000007</v>
      </c>
      <c r="AO47" s="121">
        <v>3596.2399999999984</v>
      </c>
    </row>
    <row r="48" spans="1:41" ht="22.5" customHeight="1">
      <c r="A48" s="15">
        <v>47</v>
      </c>
      <c r="B48" s="16" t="s">
        <v>59</v>
      </c>
      <c r="C48" s="17" t="s">
        <v>131</v>
      </c>
      <c r="D48" s="18">
        <v>45293</v>
      </c>
      <c r="E48" s="16">
        <v>3480</v>
      </c>
      <c r="F48" s="18"/>
      <c r="G48" s="16">
        <v>0</v>
      </c>
      <c r="H48" s="16">
        <f ca="1">IFERROR(__xludf.DUMMYFUNCTION("GOOGLEFINANCE(""NSE:""&amp;B48,""price"")"),4070)</f>
        <v>4070</v>
      </c>
      <c r="I48" s="15">
        <v>1</v>
      </c>
      <c r="J48" s="16">
        <f t="shared" si="0"/>
        <v>3480</v>
      </c>
      <c r="K48" s="16">
        <f t="shared" si="1"/>
        <v>3480</v>
      </c>
      <c r="L48" s="16">
        <f t="shared" ca="1" si="21"/>
        <v>590</v>
      </c>
      <c r="M48" s="19">
        <f t="shared" ca="1" si="22"/>
        <v>0.16954022988505746</v>
      </c>
      <c r="N48" s="16">
        <f ca="1">IFERROR(__xludf.DUMMYFUNCTION("IF(G48&gt;0,0,GOOGLEFINANCE(""NSE:""&amp;B48,""change""))"),-2.4)</f>
        <v>-2.4</v>
      </c>
      <c r="O48" s="16">
        <f t="shared" ca="1" si="4"/>
        <v>-2.4</v>
      </c>
      <c r="P48" s="16">
        <f t="shared" si="5"/>
        <v>0</v>
      </c>
      <c r="Q48" s="19">
        <f t="shared" si="6"/>
        <v>0</v>
      </c>
      <c r="AC48" s="27"/>
      <c r="AM48" s="138" t="s">
        <v>70</v>
      </c>
      <c r="AN48" s="120">
        <v>19089</v>
      </c>
      <c r="AO48" s="121" t="e">
        <v>#NAME?</v>
      </c>
    </row>
    <row r="49" spans="1:41" ht="22.5" customHeight="1">
      <c r="A49" s="15">
        <v>48</v>
      </c>
      <c r="B49" s="16" t="s">
        <v>64</v>
      </c>
      <c r="C49" s="17" t="s">
        <v>131</v>
      </c>
      <c r="D49" s="18">
        <v>45307</v>
      </c>
      <c r="E49" s="16">
        <v>4322</v>
      </c>
      <c r="F49" s="18"/>
      <c r="G49" s="16">
        <v>0</v>
      </c>
      <c r="H49" s="16">
        <f ca="1">IFERROR(__xludf.DUMMYFUNCTION("GOOGLEFINANCE(""NSE:""&amp;B49,""price"")"),7638)</f>
        <v>7638</v>
      </c>
      <c r="I49" s="15">
        <v>1</v>
      </c>
      <c r="J49" s="16">
        <f t="shared" si="0"/>
        <v>4322</v>
      </c>
      <c r="K49" s="16">
        <f t="shared" si="1"/>
        <v>4322</v>
      </c>
      <c r="L49" s="16">
        <f t="shared" ca="1" si="21"/>
        <v>3316</v>
      </c>
      <c r="M49" s="19">
        <f t="shared" ca="1" si="22"/>
        <v>0.76723739009717729</v>
      </c>
      <c r="N49" s="16">
        <f ca="1">IFERROR(__xludf.DUMMYFUNCTION("IF(G49&gt;0,0,GOOGLEFINANCE(""NSE:""&amp;B49,""change""))"),35)</f>
        <v>35</v>
      </c>
      <c r="O49" s="16">
        <f t="shared" ca="1" si="4"/>
        <v>35</v>
      </c>
      <c r="P49" s="16">
        <f t="shared" si="5"/>
        <v>0</v>
      </c>
      <c r="Q49" s="19">
        <f t="shared" si="6"/>
        <v>0</v>
      </c>
      <c r="AB49" s="27" t="s">
        <v>150</v>
      </c>
      <c r="AC49" s="27"/>
      <c r="AM49" s="138" t="s">
        <v>57</v>
      </c>
      <c r="AN49" s="120">
        <v>0</v>
      </c>
      <c r="AO49" s="121">
        <v>2912.8000000000011</v>
      </c>
    </row>
    <row r="50" spans="1:41" ht="22.5" customHeight="1">
      <c r="A50" s="15">
        <v>49</v>
      </c>
      <c r="B50" s="16" t="s">
        <v>59</v>
      </c>
      <c r="C50" s="17" t="s">
        <v>131</v>
      </c>
      <c r="D50" s="18">
        <v>45311</v>
      </c>
      <c r="E50" s="16">
        <v>3639.15</v>
      </c>
      <c r="F50" s="18"/>
      <c r="G50" s="16">
        <v>0</v>
      </c>
      <c r="H50" s="16">
        <f ca="1">IFERROR(__xludf.DUMMYFUNCTION("GOOGLEFINANCE(""NSE:""&amp;B50,""price"")"),4070)</f>
        <v>4070</v>
      </c>
      <c r="I50" s="15">
        <v>1</v>
      </c>
      <c r="J50" s="16">
        <f t="shared" si="0"/>
        <v>3639.15</v>
      </c>
      <c r="K50" s="16">
        <f t="shared" si="1"/>
        <v>3639.15</v>
      </c>
      <c r="L50" s="16">
        <f t="shared" ca="1" si="21"/>
        <v>430.84999999999991</v>
      </c>
      <c r="M50" s="19">
        <f t="shared" ca="1" si="22"/>
        <v>0.1183930313397359</v>
      </c>
      <c r="N50" s="16">
        <f ca="1">IFERROR(__xludf.DUMMYFUNCTION("IF(G50&gt;0,0,GOOGLEFINANCE(""NSE:""&amp;B50,""change""))"),-2.4)</f>
        <v>-2.4</v>
      </c>
      <c r="O50" s="16">
        <f t="shared" ca="1" si="4"/>
        <v>-2.4</v>
      </c>
      <c r="P50" s="16">
        <f t="shared" si="5"/>
        <v>0</v>
      </c>
      <c r="Q50" s="19">
        <f t="shared" si="6"/>
        <v>0</v>
      </c>
      <c r="AC50" s="27"/>
      <c r="AM50" s="138" t="s">
        <v>51</v>
      </c>
      <c r="AN50" s="120">
        <v>-3947.4</v>
      </c>
      <c r="AO50" s="121" t="e">
        <v>#NAME?</v>
      </c>
    </row>
    <row r="51" spans="1:41" ht="22.5" customHeight="1">
      <c r="A51" s="15">
        <v>50</v>
      </c>
      <c r="B51" s="16" t="s">
        <v>59</v>
      </c>
      <c r="C51" s="17" t="s">
        <v>131</v>
      </c>
      <c r="D51" s="18">
        <v>45322</v>
      </c>
      <c r="E51" s="16">
        <v>3429.9</v>
      </c>
      <c r="F51" s="18"/>
      <c r="G51" s="16">
        <v>0</v>
      </c>
      <c r="H51" s="16">
        <f ca="1">IFERROR(__xludf.DUMMYFUNCTION("GOOGLEFINANCE(""NSE:""&amp;B51,""price"")"),4070)</f>
        <v>4070</v>
      </c>
      <c r="I51" s="15">
        <v>1</v>
      </c>
      <c r="J51" s="16">
        <f t="shared" si="0"/>
        <v>3429.9</v>
      </c>
      <c r="K51" s="16">
        <f t="shared" si="1"/>
        <v>3429.9</v>
      </c>
      <c r="L51" s="16">
        <f t="shared" ca="1" si="21"/>
        <v>640.09999999999991</v>
      </c>
      <c r="M51" s="19">
        <f t="shared" ca="1" si="22"/>
        <v>0.18662351672060407</v>
      </c>
      <c r="N51" s="16">
        <f ca="1">IFERROR(__xludf.DUMMYFUNCTION("IF(G51&gt;0,0,GOOGLEFINANCE(""NSE:""&amp;B51,""change""))"),-2.4)</f>
        <v>-2.4</v>
      </c>
      <c r="O51" s="16">
        <f t="shared" ca="1" si="4"/>
        <v>-2.4</v>
      </c>
      <c r="P51" s="16">
        <f t="shared" si="5"/>
        <v>0</v>
      </c>
      <c r="Q51" s="19">
        <f t="shared" si="6"/>
        <v>0</v>
      </c>
      <c r="AC51" s="27"/>
      <c r="AM51" s="138" t="s">
        <v>151</v>
      </c>
      <c r="AN51" s="120">
        <v>0</v>
      </c>
      <c r="AO51" s="121" t="e">
        <v>#VALUE!</v>
      </c>
    </row>
    <row r="52" spans="1:41" ht="22.5" customHeight="1">
      <c r="A52" s="15">
        <v>51</v>
      </c>
      <c r="B52" s="16" t="s">
        <v>59</v>
      </c>
      <c r="C52" s="17" t="s">
        <v>131</v>
      </c>
      <c r="D52" s="18">
        <v>45335</v>
      </c>
      <c r="E52" s="16">
        <v>3328.75</v>
      </c>
      <c r="F52" s="18"/>
      <c r="G52" s="16">
        <v>0</v>
      </c>
      <c r="H52" s="16">
        <f ca="1">IFERROR(__xludf.DUMMYFUNCTION("GOOGLEFINANCE(""NSE:""&amp;B52,""price"")"),4070)</f>
        <v>4070</v>
      </c>
      <c r="I52" s="15">
        <v>1</v>
      </c>
      <c r="J52" s="16">
        <f t="shared" si="0"/>
        <v>3328.75</v>
      </c>
      <c r="K52" s="16">
        <f t="shared" si="1"/>
        <v>3328.75</v>
      </c>
      <c r="L52" s="16">
        <f t="shared" ca="1" si="21"/>
        <v>741.25</v>
      </c>
      <c r="M52" s="19">
        <f t="shared" ca="1" si="22"/>
        <v>0.22268118663161848</v>
      </c>
      <c r="N52" s="16">
        <f ca="1">IFERROR(__xludf.DUMMYFUNCTION("IF(G52&gt;0,0,GOOGLEFINANCE(""NSE:""&amp;B52,""change""))"),-2.4)</f>
        <v>-2.4</v>
      </c>
      <c r="O52" s="16">
        <f t="shared" ca="1" si="4"/>
        <v>-2.4</v>
      </c>
      <c r="P52" s="16">
        <f t="shared" si="5"/>
        <v>0</v>
      </c>
      <c r="Q52" s="19">
        <f t="shared" si="6"/>
        <v>0</v>
      </c>
      <c r="AC52" s="27"/>
      <c r="AM52" s="140" t="s">
        <v>48</v>
      </c>
      <c r="AN52" s="123">
        <v>164400.50000000003</v>
      </c>
      <c r="AO52" s="124" t="e">
        <v>#NAME?</v>
      </c>
    </row>
    <row r="53" spans="1:41" ht="22.5" customHeight="1">
      <c r="A53" s="15">
        <v>52</v>
      </c>
      <c r="B53" s="16" t="s">
        <v>23</v>
      </c>
      <c r="C53" s="17" t="s">
        <v>136</v>
      </c>
      <c r="D53" s="18">
        <v>45331</v>
      </c>
      <c r="E53" s="16">
        <v>1405.95</v>
      </c>
      <c r="F53" s="18"/>
      <c r="G53" s="16">
        <v>0</v>
      </c>
      <c r="H53" s="16">
        <f ca="1">IFERROR(__xludf.DUMMYFUNCTION("GOOGLEFINANCE(""NSE:""&amp;B53,""price"")"),997)</f>
        <v>997</v>
      </c>
      <c r="I53" s="15">
        <v>3</v>
      </c>
      <c r="J53" s="16">
        <f t="shared" si="0"/>
        <v>4217.8500000000004</v>
      </c>
      <c r="K53" s="16">
        <f t="shared" si="1"/>
        <v>4217.8500000000004</v>
      </c>
      <c r="L53" s="16">
        <f t="shared" ca="1" si="21"/>
        <v>-1226.8500000000001</v>
      </c>
      <c r="M53" s="19">
        <f t="shared" ca="1" si="22"/>
        <v>-0.29087094135637825</v>
      </c>
      <c r="N53" s="16">
        <f ca="1">IFERROR(__xludf.DUMMYFUNCTION("IF(G53&gt;0,0,GOOGLEFINANCE(""NSE:""&amp;B53,""change""))"),9.3)</f>
        <v>9.3000000000000007</v>
      </c>
      <c r="O53" s="16">
        <f t="shared" ca="1" si="4"/>
        <v>27.900000000000002</v>
      </c>
      <c r="P53" s="16">
        <f t="shared" si="5"/>
        <v>0</v>
      </c>
      <c r="Q53" s="19">
        <f t="shared" si="6"/>
        <v>0</v>
      </c>
      <c r="AC53" s="27"/>
    </row>
    <row r="54" spans="1:41" ht="22.5" customHeight="1">
      <c r="A54" s="15">
        <v>53</v>
      </c>
      <c r="B54" s="16" t="s">
        <v>65</v>
      </c>
      <c r="C54" s="17" t="s">
        <v>97</v>
      </c>
      <c r="D54" s="18">
        <v>45334</v>
      </c>
      <c r="E54" s="16">
        <v>126.95</v>
      </c>
      <c r="F54" s="18"/>
      <c r="G54" s="16">
        <v>0</v>
      </c>
      <c r="H54" s="16">
        <f ca="1">IFERROR(__xludf.DUMMYFUNCTION("GOOGLEFINANCE(""NSE:""&amp;B54,""price"")"),133)</f>
        <v>133</v>
      </c>
      <c r="I54" s="15">
        <v>20</v>
      </c>
      <c r="J54" s="16">
        <f t="shared" si="0"/>
        <v>2539</v>
      </c>
      <c r="K54" s="16">
        <f t="shared" si="1"/>
        <v>2539</v>
      </c>
      <c r="L54" s="16">
        <f t="shared" ca="1" si="21"/>
        <v>120.99999999999994</v>
      </c>
      <c r="M54" s="19">
        <f t="shared" ca="1" si="22"/>
        <v>4.7656557699881821E-2</v>
      </c>
      <c r="N54" s="16">
        <f ca="1">IFERROR(__xludf.DUMMYFUNCTION("IF(G54&gt;0,0,GOOGLEFINANCE(""NSE:""&amp;B54,""change""))"),2.94)</f>
        <v>2.94</v>
      </c>
      <c r="O54" s="16">
        <f t="shared" ca="1" si="4"/>
        <v>58.8</v>
      </c>
      <c r="P54" s="16">
        <f t="shared" si="5"/>
        <v>0</v>
      </c>
      <c r="Q54" s="19">
        <f t="shared" si="6"/>
        <v>0</v>
      </c>
      <c r="AC54" s="27"/>
    </row>
    <row r="55" spans="1:41" ht="22.5" customHeight="1">
      <c r="A55" s="15">
        <v>54</v>
      </c>
      <c r="B55" s="16" t="s">
        <v>27</v>
      </c>
      <c r="C55" s="17" t="s">
        <v>97</v>
      </c>
      <c r="D55" s="18">
        <v>45345</v>
      </c>
      <c r="E55" s="16">
        <v>101.2</v>
      </c>
      <c r="F55" s="18"/>
      <c r="G55" s="16">
        <v>0</v>
      </c>
      <c r="H55" s="16">
        <f ca="1">IFERROR(__xludf.DUMMYFUNCTION("GOOGLEFINANCE(""NSE:""&amp;B55,""price"")"),116.72)</f>
        <v>116.72</v>
      </c>
      <c r="I55" s="15">
        <v>100</v>
      </c>
      <c r="J55" s="16">
        <f t="shared" si="0"/>
        <v>10120</v>
      </c>
      <c r="K55" s="16">
        <f t="shared" si="1"/>
        <v>10120</v>
      </c>
      <c r="L55" s="16">
        <f t="shared" ca="1" si="21"/>
        <v>1551.9999999999995</v>
      </c>
      <c r="M55" s="19">
        <f t="shared" ca="1" si="22"/>
        <v>0.15335968379446635</v>
      </c>
      <c r="N55" s="16">
        <f ca="1">IFERROR(__xludf.DUMMYFUNCTION("IF(G55&gt;0,0,GOOGLEFINANCE(""NSE:""&amp;B55,""change""))"),0.58)</f>
        <v>0.57999999999999996</v>
      </c>
      <c r="O55" s="16">
        <f t="shared" ca="1" si="4"/>
        <v>57.999999999999993</v>
      </c>
      <c r="P55" s="16">
        <f t="shared" si="5"/>
        <v>0</v>
      </c>
      <c r="Q55" s="19">
        <f t="shared" si="6"/>
        <v>0</v>
      </c>
      <c r="AB55" s="27" t="s">
        <v>152</v>
      </c>
      <c r="AC55" s="27"/>
    </row>
    <row r="56" spans="1:41" ht="22.5" customHeight="1">
      <c r="A56" s="15">
        <v>55</v>
      </c>
      <c r="B56" s="16" t="s">
        <v>59</v>
      </c>
      <c r="C56" s="17" t="s">
        <v>131</v>
      </c>
      <c r="D56" s="18">
        <v>45349</v>
      </c>
      <c r="E56" s="16">
        <v>3495</v>
      </c>
      <c r="F56" s="18"/>
      <c r="G56" s="16">
        <v>0</v>
      </c>
      <c r="H56" s="16">
        <f ca="1">IFERROR(__xludf.DUMMYFUNCTION("GOOGLEFINANCE(""NSE:""&amp;B56,""price"")"),4070)</f>
        <v>4070</v>
      </c>
      <c r="I56" s="15">
        <v>1</v>
      </c>
      <c r="J56" s="16">
        <f t="shared" si="0"/>
        <v>3495</v>
      </c>
      <c r="K56" s="16">
        <f t="shared" si="1"/>
        <v>3495</v>
      </c>
      <c r="L56" s="16">
        <f t="shared" ca="1" si="21"/>
        <v>575</v>
      </c>
      <c r="M56" s="19">
        <f t="shared" ca="1" si="22"/>
        <v>0.16452074391988555</v>
      </c>
      <c r="N56" s="16">
        <f ca="1">IFERROR(__xludf.DUMMYFUNCTION("IF(G56&gt;0,0,GOOGLEFINANCE(""NSE:""&amp;B56,""change""))"),-2.4)</f>
        <v>-2.4</v>
      </c>
      <c r="O56" s="16">
        <f t="shared" ca="1" si="4"/>
        <v>-2.4</v>
      </c>
      <c r="P56" s="16">
        <f t="shared" si="5"/>
        <v>0</v>
      </c>
      <c r="Q56" s="19">
        <f t="shared" si="6"/>
        <v>0</v>
      </c>
      <c r="AB56" s="27"/>
      <c r="AC56" s="27"/>
    </row>
    <row r="57" spans="1:41" ht="22.5" customHeight="1">
      <c r="A57" s="15">
        <v>56</v>
      </c>
      <c r="B57" s="16" t="s">
        <v>56</v>
      </c>
      <c r="C57" s="17" t="s">
        <v>97</v>
      </c>
      <c r="D57" s="18">
        <v>45357</v>
      </c>
      <c r="E57" s="16">
        <v>1075</v>
      </c>
      <c r="F57" s="18"/>
      <c r="G57" s="16">
        <v>0</v>
      </c>
      <c r="H57" s="16">
        <f ca="1">IFERROR(__xludf.DUMMYFUNCTION("GOOGLEFINANCE(""NSE:""&amp;B57,""price"")"),776.9)</f>
        <v>776.9</v>
      </c>
      <c r="I57" s="15">
        <v>4</v>
      </c>
      <c r="J57" s="16">
        <f t="shared" si="0"/>
        <v>4300</v>
      </c>
      <c r="K57" s="16">
        <f t="shared" si="1"/>
        <v>4300</v>
      </c>
      <c r="L57" s="16">
        <f t="shared" ca="1" si="21"/>
        <v>-1192.4000000000001</v>
      </c>
      <c r="M57" s="19">
        <f t="shared" ca="1" si="22"/>
        <v>-0.27730232558139539</v>
      </c>
      <c r="N57" s="16">
        <f ca="1">IFERROR(__xludf.DUMMYFUNCTION("IF(G57&gt;0,0,GOOGLEFINANCE(""NSE:""&amp;B57,""change""))"),8.4)</f>
        <v>8.4</v>
      </c>
      <c r="O57" s="16">
        <f t="shared" ca="1" si="4"/>
        <v>33.6</v>
      </c>
      <c r="P57" s="16">
        <f t="shared" si="5"/>
        <v>0</v>
      </c>
      <c r="Q57" s="19">
        <f t="shared" si="6"/>
        <v>0</v>
      </c>
      <c r="AB57" s="27" t="s">
        <v>152</v>
      </c>
      <c r="AC57" s="27"/>
    </row>
    <row r="58" spans="1:41" ht="22.5" customHeight="1">
      <c r="A58" s="15">
        <v>57</v>
      </c>
      <c r="B58" s="16" t="s">
        <v>27</v>
      </c>
      <c r="C58" s="17" t="s">
        <v>97</v>
      </c>
      <c r="D58" s="18">
        <v>45377</v>
      </c>
      <c r="E58" s="16">
        <v>99.5</v>
      </c>
      <c r="F58" s="18"/>
      <c r="G58" s="16">
        <v>0</v>
      </c>
      <c r="H58" s="16">
        <f ca="1">IFERROR(__xludf.DUMMYFUNCTION("GOOGLEFINANCE(""NSE:""&amp;B58,""price"")"),116.72)</f>
        <v>116.72</v>
      </c>
      <c r="I58" s="15">
        <v>50</v>
      </c>
      <c r="J58" s="16">
        <f t="shared" si="0"/>
        <v>4975</v>
      </c>
      <c r="K58" s="16">
        <f t="shared" si="1"/>
        <v>4975</v>
      </c>
      <c r="L58" s="16">
        <f t="shared" ca="1" si="21"/>
        <v>861</v>
      </c>
      <c r="M58" s="19">
        <f t="shared" ca="1" si="22"/>
        <v>0.17306532663316582</v>
      </c>
      <c r="N58" s="16">
        <f ca="1">IFERROR(__xludf.DUMMYFUNCTION("IF(G58&gt;0,0,GOOGLEFINANCE(""NSE:""&amp;B58,""change""))"),0.58)</f>
        <v>0.57999999999999996</v>
      </c>
      <c r="O58" s="16">
        <f t="shared" ca="1" si="4"/>
        <v>28.999999999999996</v>
      </c>
      <c r="P58" s="16">
        <f t="shared" si="5"/>
        <v>0</v>
      </c>
      <c r="Q58" s="19">
        <f t="shared" si="6"/>
        <v>0</v>
      </c>
      <c r="AB58" s="27" t="s">
        <v>152</v>
      </c>
      <c r="AC58" s="27"/>
    </row>
    <row r="59" spans="1:41" ht="22.5" customHeight="1">
      <c r="A59" s="15">
        <v>58</v>
      </c>
      <c r="B59" s="16" t="s">
        <v>148</v>
      </c>
      <c r="C59" s="17" t="s">
        <v>97</v>
      </c>
      <c r="D59" s="18">
        <v>45379</v>
      </c>
      <c r="E59" s="16">
        <v>5600</v>
      </c>
      <c r="F59" s="18">
        <v>45572</v>
      </c>
      <c r="G59" s="16">
        <v>7983.95</v>
      </c>
      <c r="H59" s="16">
        <f ca="1">IFERROR(__xludf.DUMMYFUNCTION("GOOGLEFINANCE(""NSE:""&amp;B59,""price"")"),1365.9)</f>
        <v>1365.9</v>
      </c>
      <c r="I59" s="15">
        <v>2</v>
      </c>
      <c r="J59" s="16">
        <f t="shared" si="0"/>
        <v>11200</v>
      </c>
      <c r="K59" s="16">
        <f t="shared" si="1"/>
        <v>27167.9</v>
      </c>
      <c r="L59" s="16">
        <f t="shared" si="21"/>
        <v>0</v>
      </c>
      <c r="M59" s="19">
        <f t="shared" si="22"/>
        <v>0</v>
      </c>
      <c r="N59" s="16">
        <f ca="1">IFERROR(__xludf.DUMMYFUNCTION("IF(G59&gt;0,0,GOOGLEFINANCE(""NSE:""&amp;B59,""change""))"),0)</f>
        <v>0</v>
      </c>
      <c r="O59" s="16">
        <f t="shared" ca="1" si="4"/>
        <v>0</v>
      </c>
      <c r="P59" s="16">
        <f t="shared" si="5"/>
        <v>4767.8999999999996</v>
      </c>
      <c r="Q59" s="19">
        <f t="shared" si="6"/>
        <v>0.42570535714285712</v>
      </c>
      <c r="AB59" s="27" t="s">
        <v>152</v>
      </c>
      <c r="AC59" s="27"/>
    </row>
    <row r="60" spans="1:41" ht="22.5" customHeight="1">
      <c r="A60" s="15">
        <v>59</v>
      </c>
      <c r="B60" s="16" t="s">
        <v>28</v>
      </c>
      <c r="C60" s="17" t="s">
        <v>131</v>
      </c>
      <c r="D60" s="18">
        <v>45425</v>
      </c>
      <c r="E60" s="16">
        <v>452</v>
      </c>
      <c r="F60" s="18">
        <v>45476</v>
      </c>
      <c r="G60" s="16">
        <v>556</v>
      </c>
      <c r="H60" s="16">
        <f ca="1">IFERROR(__xludf.DUMMYFUNCTION("GOOGLEFINANCE(""NSE:""&amp;B60,""price"")"),532)</f>
        <v>532</v>
      </c>
      <c r="I60" s="15">
        <v>10</v>
      </c>
      <c r="J60" s="16">
        <f t="shared" si="0"/>
        <v>4520</v>
      </c>
      <c r="K60" s="16">
        <f t="shared" si="1"/>
        <v>10080</v>
      </c>
      <c r="L60" s="16">
        <f t="shared" si="21"/>
        <v>0</v>
      </c>
      <c r="M60" s="19">
        <f t="shared" si="22"/>
        <v>0</v>
      </c>
      <c r="N60" s="16">
        <f ca="1">IFERROR(__xludf.DUMMYFUNCTION("IF(G60&gt;0,0,GOOGLEFINANCE(""NSE:""&amp;B60,""change""))"),0)</f>
        <v>0</v>
      </c>
      <c r="O60" s="16">
        <f t="shared" ca="1" si="4"/>
        <v>0</v>
      </c>
      <c r="P60" s="16">
        <f t="shared" si="5"/>
        <v>1040</v>
      </c>
      <c r="Q60" s="19">
        <f t="shared" si="6"/>
        <v>0.23008849557522124</v>
      </c>
      <c r="AB60" s="27" t="s">
        <v>122</v>
      </c>
      <c r="AC60" s="27"/>
    </row>
    <row r="61" spans="1:41" ht="22.5" customHeight="1">
      <c r="A61" s="15">
        <v>60</v>
      </c>
      <c r="B61" s="16" t="s">
        <v>15</v>
      </c>
      <c r="C61" s="17" t="s">
        <v>131</v>
      </c>
      <c r="D61" s="18">
        <v>45428</v>
      </c>
      <c r="E61" s="16">
        <v>11.77</v>
      </c>
      <c r="F61" s="18"/>
      <c r="G61" s="16">
        <v>0</v>
      </c>
      <c r="H61" s="16">
        <f ca="1">IFERROR(__xludf.DUMMYFUNCTION("GOOGLEFINANCE(""NSE:""&amp;B61,""price"")"),21.49)</f>
        <v>21.49</v>
      </c>
      <c r="I61" s="15">
        <v>500</v>
      </c>
      <c r="J61" s="16">
        <f t="shared" si="0"/>
        <v>5885</v>
      </c>
      <c r="K61" s="16">
        <f t="shared" si="1"/>
        <v>5885</v>
      </c>
      <c r="L61" s="16">
        <f t="shared" ca="1" si="21"/>
        <v>4859.9999999999991</v>
      </c>
      <c r="M61" s="19">
        <f t="shared" ca="1" si="22"/>
        <v>0.82582837723024627</v>
      </c>
      <c r="N61" s="16">
        <f ca="1">IFERROR(__xludf.DUMMYFUNCTION("IF(G61&gt;0,0,GOOGLEFINANCE(""NSE:""&amp;B61,""change""))"),0.34)</f>
        <v>0.34</v>
      </c>
      <c r="O61" s="16">
        <f t="shared" ca="1" si="4"/>
        <v>170</v>
      </c>
      <c r="P61" s="16">
        <f t="shared" si="5"/>
        <v>0</v>
      </c>
      <c r="Q61" s="19">
        <f t="shared" si="6"/>
        <v>0</v>
      </c>
      <c r="AC61" s="27"/>
    </row>
    <row r="62" spans="1:41" ht="22.5" customHeight="1">
      <c r="A62" s="15">
        <v>61</v>
      </c>
      <c r="B62" s="42" t="s">
        <v>61</v>
      </c>
      <c r="C62" s="45" t="s">
        <v>97</v>
      </c>
      <c r="D62" s="43">
        <v>45434</v>
      </c>
      <c r="E62" s="42">
        <v>102.62</v>
      </c>
      <c r="F62" s="43"/>
      <c r="G62" s="42">
        <v>0</v>
      </c>
      <c r="H62" s="16">
        <f ca="1">IFERROR(__xludf.DUMMYFUNCTION("GOOGLEFINANCE(""NSE:""&amp;B62,""price"")"),114.45)</f>
        <v>114.45</v>
      </c>
      <c r="I62" s="46">
        <v>50</v>
      </c>
      <c r="J62" s="16">
        <f t="shared" si="0"/>
        <v>5131</v>
      </c>
      <c r="K62" s="16">
        <f t="shared" si="1"/>
        <v>5131</v>
      </c>
      <c r="L62" s="16">
        <f t="shared" ca="1" si="21"/>
        <v>591.49999999999989</v>
      </c>
      <c r="M62" s="19">
        <f t="shared" ca="1" si="22"/>
        <v>0.11527967257844472</v>
      </c>
      <c r="N62" s="16">
        <f ca="1">IFERROR(__xludf.DUMMYFUNCTION("IF(G62&gt;0,0,GOOGLEFINANCE(""NSE:""&amp;B62,""change""))"),0.42)</f>
        <v>0.42</v>
      </c>
      <c r="O62" s="16">
        <f t="shared" ca="1" si="4"/>
        <v>21</v>
      </c>
      <c r="P62" s="16">
        <f t="shared" si="5"/>
        <v>0</v>
      </c>
      <c r="Q62" s="19">
        <f t="shared" si="6"/>
        <v>0</v>
      </c>
      <c r="AC62" s="27"/>
    </row>
    <row r="63" spans="1:41" ht="22.5" customHeight="1">
      <c r="A63" s="15">
        <v>62</v>
      </c>
      <c r="B63" s="42" t="s">
        <v>52</v>
      </c>
      <c r="C63" s="45" t="s">
        <v>131</v>
      </c>
      <c r="D63" s="43">
        <v>45404</v>
      </c>
      <c r="E63" s="42">
        <v>95.89</v>
      </c>
      <c r="F63" s="43"/>
      <c r="G63" s="42">
        <v>0</v>
      </c>
      <c r="H63" s="16">
        <f ca="1">IFERROR(__xludf.DUMMYFUNCTION("GOOGLEFINANCE(""NSE:""&amp;B63,""price"")"),168.98)</f>
        <v>168.98</v>
      </c>
      <c r="I63" s="46">
        <v>190</v>
      </c>
      <c r="J63" s="16">
        <f t="shared" si="0"/>
        <v>18219.099999999999</v>
      </c>
      <c r="K63" s="16">
        <f t="shared" si="1"/>
        <v>18219.099999999999</v>
      </c>
      <c r="L63" s="16">
        <f t="shared" ca="1" si="21"/>
        <v>13887.099999999999</v>
      </c>
      <c r="M63" s="19">
        <f t="shared" ca="1" si="22"/>
        <v>0.76222755240379592</v>
      </c>
      <c r="N63" s="16">
        <f ca="1">IFERROR(__xludf.DUMMYFUNCTION("IF(G63&gt;0,0,GOOGLEFINANCE(""NSE:""&amp;B63,""change""))"),2.12)</f>
        <v>2.12</v>
      </c>
      <c r="O63" s="16">
        <f t="shared" ca="1" si="4"/>
        <v>402.8</v>
      </c>
      <c r="P63" s="16">
        <f t="shared" si="5"/>
        <v>0</v>
      </c>
      <c r="Q63" s="19">
        <f t="shared" si="6"/>
        <v>0</v>
      </c>
      <c r="AC63" s="27"/>
    </row>
    <row r="64" spans="1:41" ht="22.5" customHeight="1">
      <c r="A64" s="15">
        <v>63</v>
      </c>
      <c r="B64" s="42" t="s">
        <v>21</v>
      </c>
      <c r="C64" s="45" t="s">
        <v>131</v>
      </c>
      <c r="D64" s="43">
        <v>45404</v>
      </c>
      <c r="E64" s="42">
        <v>1053.95</v>
      </c>
      <c r="F64" s="43"/>
      <c r="G64" s="42">
        <v>0</v>
      </c>
      <c r="H64" s="16">
        <f ca="1">IFERROR(__xludf.DUMMYFUNCTION("GOOGLEFINANCE(""NSE:""&amp;B64,""price"")"),1224.5)</f>
        <v>1224.5</v>
      </c>
      <c r="I64" s="46">
        <v>10</v>
      </c>
      <c r="J64" s="16">
        <f t="shared" si="0"/>
        <v>10539.5</v>
      </c>
      <c r="K64" s="16">
        <f t="shared" si="1"/>
        <v>10539.5</v>
      </c>
      <c r="L64" s="16">
        <f t="shared" ca="1" si="21"/>
        <v>1705.4999999999995</v>
      </c>
      <c r="M64" s="19">
        <f t="shared" ca="1" si="22"/>
        <v>0.16181982067460501</v>
      </c>
      <c r="N64" s="16">
        <f ca="1">IFERROR(__xludf.DUMMYFUNCTION("IF(G64&gt;0,0,GOOGLEFINANCE(""NSE:""&amp;B64,""change""))"),-8.7)</f>
        <v>-8.6999999999999993</v>
      </c>
      <c r="O64" s="16">
        <f t="shared" ca="1" si="4"/>
        <v>-87</v>
      </c>
      <c r="P64" s="16">
        <f t="shared" si="5"/>
        <v>0</v>
      </c>
      <c r="Q64" s="19">
        <f t="shared" si="6"/>
        <v>0</v>
      </c>
      <c r="AC64" s="27"/>
    </row>
    <row r="65" spans="1:29" ht="22.5" customHeight="1">
      <c r="A65" s="15">
        <v>64</v>
      </c>
      <c r="B65" s="42" t="s">
        <v>35</v>
      </c>
      <c r="C65" s="45" t="s">
        <v>131</v>
      </c>
      <c r="D65" s="43">
        <v>45404</v>
      </c>
      <c r="E65" s="42">
        <v>1000.05</v>
      </c>
      <c r="F65" s="43"/>
      <c r="G65" s="42">
        <v>0</v>
      </c>
      <c r="H65" s="16">
        <f ca="1">IFERROR(__xludf.DUMMYFUNCTION("GOOGLEFINANCE(""NSE:""&amp;B65,""price"")"),680.5)</f>
        <v>680.5</v>
      </c>
      <c r="I65" s="46">
        <v>10</v>
      </c>
      <c r="J65" s="16">
        <f t="shared" si="0"/>
        <v>10000.5</v>
      </c>
      <c r="K65" s="16">
        <f t="shared" si="1"/>
        <v>10000.5</v>
      </c>
      <c r="L65" s="16">
        <f t="shared" ca="1" si="21"/>
        <v>-3195.4999999999995</v>
      </c>
      <c r="M65" s="19">
        <f t="shared" ca="1" si="22"/>
        <v>-0.31953402329883501</v>
      </c>
      <c r="N65" s="16">
        <f ca="1">IFERROR(__xludf.DUMMYFUNCTION("IF(G65&gt;0,0,GOOGLEFINANCE(""NSE:""&amp;B65,""change""))"),-1.15)</f>
        <v>-1.1499999999999999</v>
      </c>
      <c r="O65" s="16">
        <f t="shared" ca="1" si="4"/>
        <v>-11.5</v>
      </c>
      <c r="P65" s="16">
        <f t="shared" si="5"/>
        <v>0</v>
      </c>
      <c r="Q65" s="19">
        <f t="shared" si="6"/>
        <v>0</v>
      </c>
      <c r="AC65" s="27"/>
    </row>
    <row r="66" spans="1:29" ht="22.5" customHeight="1">
      <c r="A66" s="15">
        <v>65</v>
      </c>
      <c r="B66" s="42" t="s">
        <v>38</v>
      </c>
      <c r="C66" s="45" t="s">
        <v>131</v>
      </c>
      <c r="D66" s="43">
        <v>45348</v>
      </c>
      <c r="E66" s="42">
        <v>443</v>
      </c>
      <c r="F66" s="43"/>
      <c r="G66" s="42">
        <v>0</v>
      </c>
      <c r="H66" s="16">
        <f ca="1">IFERROR(__xludf.DUMMYFUNCTION("GOOGLEFINANCE(""NSE:""&amp;B66,""price"")"),400.65)</f>
        <v>400.65</v>
      </c>
      <c r="I66" s="46">
        <v>33</v>
      </c>
      <c r="J66" s="16">
        <f t="shared" si="0"/>
        <v>14619</v>
      </c>
      <c r="K66" s="16">
        <f t="shared" si="1"/>
        <v>14619</v>
      </c>
      <c r="L66" s="16">
        <f t="shared" ca="1" si="21"/>
        <v>-1397.5500000000006</v>
      </c>
      <c r="M66" s="19">
        <f t="shared" ca="1" si="22"/>
        <v>-9.559819413092556E-2</v>
      </c>
      <c r="N66" s="16">
        <f ca="1">IFERROR(__xludf.DUMMYFUNCTION("IF(G66&gt;0,0,GOOGLEFINANCE(""NSE:""&amp;B66,""change""))"),14.4)</f>
        <v>14.4</v>
      </c>
      <c r="O66" s="16">
        <f t="shared" ca="1" si="4"/>
        <v>475.2</v>
      </c>
      <c r="P66" s="16">
        <f t="shared" si="5"/>
        <v>0</v>
      </c>
      <c r="Q66" s="19">
        <f t="shared" si="6"/>
        <v>0</v>
      </c>
      <c r="AC66" s="27"/>
    </row>
    <row r="67" spans="1:29" ht="22.5" customHeight="1">
      <c r="A67" s="15">
        <v>66</v>
      </c>
      <c r="B67" s="42" t="s">
        <v>32</v>
      </c>
      <c r="C67" s="45" t="s">
        <v>131</v>
      </c>
      <c r="D67" s="43">
        <v>45348</v>
      </c>
      <c r="E67" s="42">
        <v>151.5</v>
      </c>
      <c r="F67" s="43">
        <v>45485</v>
      </c>
      <c r="G67" s="42">
        <v>294.77999999999997</v>
      </c>
      <c r="H67" s="16">
        <f ca="1">IFERROR(__xludf.DUMMYFUNCTION("GOOGLEFINANCE(""NSE:""&amp;B67,""price"")"),139)</f>
        <v>139</v>
      </c>
      <c r="I67" s="46">
        <v>150</v>
      </c>
      <c r="J67" s="16">
        <f t="shared" si="0"/>
        <v>22725</v>
      </c>
      <c r="K67" s="16">
        <f t="shared" si="1"/>
        <v>66942</v>
      </c>
      <c r="L67" s="16">
        <f t="shared" si="21"/>
        <v>0</v>
      </c>
      <c r="M67" s="19">
        <f t="shared" si="22"/>
        <v>0</v>
      </c>
      <c r="N67" s="16">
        <f ca="1">IFERROR(__xludf.DUMMYFUNCTION("IF(G67&gt;0,0,GOOGLEFINANCE(""NSE:""&amp;B67,""change""))"),0)</f>
        <v>0</v>
      </c>
      <c r="O67" s="16">
        <f t="shared" ca="1" si="4"/>
        <v>0</v>
      </c>
      <c r="P67" s="16">
        <f t="shared" si="5"/>
        <v>21491.999999999996</v>
      </c>
      <c r="Q67" s="19">
        <f t="shared" si="6"/>
        <v>0.94574257425742558</v>
      </c>
      <c r="AC67" s="27"/>
    </row>
    <row r="68" spans="1:29" ht="22.5" customHeight="1">
      <c r="A68" s="15">
        <v>67</v>
      </c>
      <c r="B68" s="42" t="s">
        <v>70</v>
      </c>
      <c r="C68" s="45" t="s">
        <v>131</v>
      </c>
      <c r="D68" s="43">
        <v>45404</v>
      </c>
      <c r="E68" s="42">
        <v>1051.75</v>
      </c>
      <c r="F68" s="43"/>
      <c r="G68" s="42">
        <v>0</v>
      </c>
      <c r="H68" s="16">
        <f ca="1">IFERROR(__xludf.DUMMYFUNCTION("GOOGLEFINANCE(""NSE:""&amp;B68,""price"")"),661.1)</f>
        <v>661.1</v>
      </c>
      <c r="I68" s="46">
        <v>20</v>
      </c>
      <c r="J68" s="16">
        <f t="shared" si="0"/>
        <v>21035</v>
      </c>
      <c r="K68" s="16">
        <f t="shared" si="1"/>
        <v>21035</v>
      </c>
      <c r="L68" s="16">
        <f t="shared" ca="1" si="21"/>
        <v>-7813</v>
      </c>
      <c r="M68" s="19">
        <f t="shared" ca="1" si="22"/>
        <v>-0.37142857142857139</v>
      </c>
      <c r="N68" s="16">
        <f ca="1">IFERROR(__xludf.DUMMYFUNCTION("IF(G68&gt;0,0,GOOGLEFINANCE(""NSE:""&amp;B68,""change""))"),-2.3)</f>
        <v>-2.2999999999999998</v>
      </c>
      <c r="O68" s="16">
        <f t="shared" ca="1" si="4"/>
        <v>-46</v>
      </c>
      <c r="P68" s="16">
        <f t="shared" si="5"/>
        <v>0</v>
      </c>
      <c r="Q68" s="19">
        <f t="shared" si="6"/>
        <v>0</v>
      </c>
      <c r="AC68" s="27"/>
    </row>
    <row r="69" spans="1:29" ht="22.5" customHeight="1">
      <c r="A69" s="15">
        <v>68</v>
      </c>
      <c r="B69" s="42" t="s">
        <v>41</v>
      </c>
      <c r="C69" s="45" t="s">
        <v>131</v>
      </c>
      <c r="D69" s="43">
        <v>45404</v>
      </c>
      <c r="E69" s="42">
        <v>1087.05</v>
      </c>
      <c r="F69" s="43"/>
      <c r="G69" s="42">
        <v>0</v>
      </c>
      <c r="H69" s="16">
        <f ca="1">IFERROR(__xludf.DUMMYFUNCTION("GOOGLEFINANCE(""NSE:""&amp;B69,""price"")"),1362.4)</f>
        <v>1362.4</v>
      </c>
      <c r="I69" s="46">
        <v>20</v>
      </c>
      <c r="J69" s="16">
        <f t="shared" si="0"/>
        <v>21741</v>
      </c>
      <c r="K69" s="16">
        <f t="shared" si="1"/>
        <v>21741</v>
      </c>
      <c r="L69" s="16">
        <f t="shared" ca="1" si="21"/>
        <v>5507.0000000000027</v>
      </c>
      <c r="M69" s="19">
        <f t="shared" ca="1" si="22"/>
        <v>0.25330021618140852</v>
      </c>
      <c r="N69" s="16">
        <f ca="1">IFERROR(__xludf.DUMMYFUNCTION("IF(G69&gt;0,0,GOOGLEFINANCE(""NSE:""&amp;B69,""change""))"),-6.1)</f>
        <v>-6.1</v>
      </c>
      <c r="O69" s="16">
        <f t="shared" ca="1" si="4"/>
        <v>-122</v>
      </c>
      <c r="P69" s="16">
        <f t="shared" si="5"/>
        <v>0</v>
      </c>
      <c r="Q69" s="19">
        <f t="shared" si="6"/>
        <v>0</v>
      </c>
      <c r="AC69" s="27"/>
    </row>
    <row r="70" spans="1:29" ht="22.5" customHeight="1">
      <c r="A70" s="15">
        <v>69</v>
      </c>
      <c r="B70" s="42" t="s">
        <v>66</v>
      </c>
      <c r="C70" s="45" t="s">
        <v>131</v>
      </c>
      <c r="D70" s="43">
        <v>45345</v>
      </c>
      <c r="E70" s="42">
        <v>759.4</v>
      </c>
      <c r="F70" s="43"/>
      <c r="G70" s="42">
        <v>0</v>
      </c>
      <c r="H70" s="16">
        <f ca="1">IFERROR(__xludf.DUMMYFUNCTION("GOOGLEFINANCE(""NSE:""&amp;B70,""price"")"),971.25)</f>
        <v>971.25</v>
      </c>
      <c r="I70" s="46">
        <v>1</v>
      </c>
      <c r="J70" s="16">
        <f t="shared" si="0"/>
        <v>759.4</v>
      </c>
      <c r="K70" s="16">
        <f t="shared" si="1"/>
        <v>759.4</v>
      </c>
      <c r="L70" s="16">
        <f t="shared" ca="1" si="21"/>
        <v>211.85000000000002</v>
      </c>
      <c r="M70" s="19">
        <f t="shared" ca="1" si="22"/>
        <v>0.27897023966289181</v>
      </c>
      <c r="N70" s="16">
        <f ca="1">IFERROR(__xludf.DUMMYFUNCTION("IF(G70&gt;0,0,GOOGLEFINANCE(""NSE:""&amp;B70,""change""))"),-3.05)</f>
        <v>-3.05</v>
      </c>
      <c r="O70" s="16">
        <f t="shared" ca="1" si="4"/>
        <v>-3.05</v>
      </c>
      <c r="P70" s="16">
        <f t="shared" si="5"/>
        <v>0</v>
      </c>
      <c r="Q70" s="19">
        <f t="shared" si="6"/>
        <v>0</v>
      </c>
      <c r="AC70" s="27"/>
    </row>
    <row r="71" spans="1:29" ht="22.5" customHeight="1">
      <c r="A71" s="15">
        <v>70</v>
      </c>
      <c r="B71" s="42" t="s">
        <v>69</v>
      </c>
      <c r="C71" s="45" t="s">
        <v>131</v>
      </c>
      <c r="D71" s="43">
        <v>45348</v>
      </c>
      <c r="E71" s="42">
        <v>142.65</v>
      </c>
      <c r="F71" s="43"/>
      <c r="G71" s="42">
        <v>0</v>
      </c>
      <c r="H71" s="16">
        <f ca="1">IFERROR(__xludf.DUMMYFUNCTION("GOOGLEFINANCE(""NSE:""&amp;B71,""price"")"),170.82)</f>
        <v>170.82</v>
      </c>
      <c r="I71" s="46">
        <v>106</v>
      </c>
      <c r="J71" s="16">
        <f t="shared" si="0"/>
        <v>15120.900000000001</v>
      </c>
      <c r="K71" s="16">
        <f t="shared" si="1"/>
        <v>15120.900000000001</v>
      </c>
      <c r="L71" s="16">
        <f t="shared" ca="1" si="21"/>
        <v>2986.0199999999986</v>
      </c>
      <c r="M71" s="19">
        <f t="shared" ca="1" si="22"/>
        <v>0.19747634069400621</v>
      </c>
      <c r="N71" s="16">
        <f ca="1">IFERROR(__xludf.DUMMYFUNCTION("IF(G71&gt;0,0,GOOGLEFINANCE(""NSE:""&amp;B71,""change""))"),1.6)</f>
        <v>1.6</v>
      </c>
      <c r="O71" s="16">
        <f t="shared" ca="1" si="4"/>
        <v>169.60000000000002</v>
      </c>
      <c r="P71" s="16">
        <f t="shared" si="5"/>
        <v>0</v>
      </c>
      <c r="Q71" s="19">
        <f t="shared" si="6"/>
        <v>0</v>
      </c>
      <c r="AC71" s="27"/>
    </row>
    <row r="72" spans="1:29" ht="22.5" customHeight="1">
      <c r="A72" s="15">
        <v>71</v>
      </c>
      <c r="B72" s="42" t="s">
        <v>66</v>
      </c>
      <c r="C72" s="45" t="s">
        <v>131</v>
      </c>
      <c r="D72" s="43">
        <v>45449</v>
      </c>
      <c r="E72" s="42">
        <v>824</v>
      </c>
      <c r="F72" s="43"/>
      <c r="G72" s="42">
        <v>0</v>
      </c>
      <c r="H72" s="16">
        <f ca="1">IFERROR(__xludf.DUMMYFUNCTION("GOOGLEFINANCE(""NSE:""&amp;B72,""price"")"),971.25)</f>
        <v>971.25</v>
      </c>
      <c r="I72" s="46">
        <v>9</v>
      </c>
      <c r="J72" s="16">
        <f t="shared" si="0"/>
        <v>7416</v>
      </c>
      <c r="K72" s="16">
        <f t="shared" si="1"/>
        <v>7416</v>
      </c>
      <c r="L72" s="16">
        <f t="shared" ca="1" si="21"/>
        <v>1325.25</v>
      </c>
      <c r="M72" s="19">
        <f t="shared" ca="1" si="22"/>
        <v>0.1787014563106796</v>
      </c>
      <c r="N72" s="16">
        <f ca="1">IFERROR(__xludf.DUMMYFUNCTION("IF(G72&gt;0,0,GOOGLEFINANCE(""NSE:""&amp;B72,""change""))"),-3.05)</f>
        <v>-3.05</v>
      </c>
      <c r="O72" s="16">
        <f t="shared" ca="1" si="4"/>
        <v>-27.45</v>
      </c>
      <c r="P72" s="16">
        <f t="shared" si="5"/>
        <v>0</v>
      </c>
      <c r="Q72" s="19">
        <f t="shared" si="6"/>
        <v>0</v>
      </c>
      <c r="AC72" s="27"/>
    </row>
    <row r="73" spans="1:29" ht="22.5" customHeight="1">
      <c r="A73" s="15">
        <v>72</v>
      </c>
      <c r="B73" s="42" t="s">
        <v>31</v>
      </c>
      <c r="C73" s="45" t="s">
        <v>131</v>
      </c>
      <c r="D73" s="43">
        <v>45477</v>
      </c>
      <c r="E73" s="42">
        <v>80.989999999999995</v>
      </c>
      <c r="F73" s="43"/>
      <c r="G73" s="42">
        <v>0</v>
      </c>
      <c r="H73" s="16">
        <f ca="1">IFERROR(__xludf.DUMMYFUNCTION("GOOGLEFINANCE(""NSE:""&amp;B73,""price"")"),84.9)</f>
        <v>84.9</v>
      </c>
      <c r="I73" s="46">
        <v>70</v>
      </c>
      <c r="J73" s="16">
        <f t="shared" si="0"/>
        <v>5669.2999999999993</v>
      </c>
      <c r="K73" s="16">
        <f t="shared" si="1"/>
        <v>5669.2999999999993</v>
      </c>
      <c r="L73" s="16">
        <f t="shared" ca="1" si="21"/>
        <v>273.70000000000073</v>
      </c>
      <c r="M73" s="19">
        <f t="shared" ca="1" si="22"/>
        <v>4.8277565131497849E-2</v>
      </c>
      <c r="N73" s="16">
        <f ca="1">IFERROR(__xludf.DUMMYFUNCTION("IF(G73&gt;0,0,GOOGLEFINANCE(""NSE:""&amp;B73,""change""))"),-0.45)</f>
        <v>-0.45</v>
      </c>
      <c r="O73" s="16">
        <f t="shared" ca="1" si="4"/>
        <v>-31.5</v>
      </c>
      <c r="P73" s="16">
        <f t="shared" si="5"/>
        <v>0</v>
      </c>
      <c r="Q73" s="19">
        <f t="shared" si="6"/>
        <v>0</v>
      </c>
      <c r="AC73" s="27"/>
    </row>
    <row r="74" spans="1:29" ht="22.5" customHeight="1">
      <c r="A74" s="15">
        <v>73</v>
      </c>
      <c r="B74" s="42" t="s">
        <v>151</v>
      </c>
      <c r="C74" s="45" t="s">
        <v>131</v>
      </c>
      <c r="D74" s="43">
        <v>45477</v>
      </c>
      <c r="E74" s="42">
        <v>207.45</v>
      </c>
      <c r="F74" s="43"/>
      <c r="G74" s="42">
        <v>0</v>
      </c>
      <c r="H74" s="16" t="str">
        <f ca="1">IFERROR(__xludf.DUMMYFUNCTION("GOOGLEFINANCE(""NSE:""&amp;B74,""price"")"),"#N/A")</f>
        <v>#N/A</v>
      </c>
      <c r="I74" s="46">
        <v>27</v>
      </c>
      <c r="J74" s="16">
        <f t="shared" si="0"/>
        <v>5601.15</v>
      </c>
      <c r="K74" s="16">
        <f t="shared" si="1"/>
        <v>5601.15</v>
      </c>
      <c r="L74" s="16" t="e">
        <f t="shared" ca="1" si="21"/>
        <v>#VALUE!</v>
      </c>
      <c r="M74" s="19" t="e">
        <f t="shared" ca="1" si="22"/>
        <v>#VALUE!</v>
      </c>
      <c r="N74" s="16" t="str">
        <f ca="1">IFERROR(__xludf.DUMMYFUNCTION("IF(G74&gt;0,0,GOOGLEFINANCE(""NSE:""&amp;B74,""change""))"),"#N/A")</f>
        <v>#N/A</v>
      </c>
      <c r="O74" s="16" t="e">
        <f t="shared" ca="1" si="4"/>
        <v>#VALUE!</v>
      </c>
      <c r="P74" s="16">
        <f t="shared" si="5"/>
        <v>0</v>
      </c>
      <c r="Q74" s="19">
        <f t="shared" si="6"/>
        <v>0</v>
      </c>
      <c r="AC74" s="27"/>
    </row>
    <row r="75" spans="1:29" ht="22.5" customHeight="1">
      <c r="A75" s="15">
        <v>74</v>
      </c>
      <c r="B75" s="42" t="s">
        <v>11</v>
      </c>
      <c r="C75" s="45" t="s">
        <v>131</v>
      </c>
      <c r="D75" s="43">
        <v>45482</v>
      </c>
      <c r="E75" s="42">
        <v>28.68</v>
      </c>
      <c r="F75" s="43"/>
      <c r="G75" s="42">
        <v>0</v>
      </c>
      <c r="H75" s="16">
        <f ca="1">IFERROR(__xludf.DUMMYFUNCTION("GOOGLEFINANCE(""NSE:""&amp;B75,""price"")"),25.31)</f>
        <v>25.31</v>
      </c>
      <c r="I75" s="46">
        <v>200</v>
      </c>
      <c r="J75" s="16">
        <f t="shared" si="0"/>
        <v>5736</v>
      </c>
      <c r="K75" s="16">
        <f t="shared" si="1"/>
        <v>5736</v>
      </c>
      <c r="L75" s="16">
        <f t="shared" ca="1" si="21"/>
        <v>-674.00000000000023</v>
      </c>
      <c r="M75" s="19">
        <f t="shared" ca="1" si="22"/>
        <v>-0.1175034867503487</v>
      </c>
      <c r="N75" s="16">
        <f ca="1">IFERROR(__xludf.DUMMYFUNCTION("IF(G75&gt;0,0,GOOGLEFINANCE(""NSE:""&amp;B75,""change""))"),-0.05)</f>
        <v>-0.05</v>
      </c>
      <c r="O75" s="16">
        <f t="shared" ca="1" si="4"/>
        <v>-10</v>
      </c>
      <c r="P75" s="16">
        <f t="shared" si="5"/>
        <v>0</v>
      </c>
      <c r="Q75" s="19">
        <f t="shared" si="6"/>
        <v>0</v>
      </c>
      <c r="AC75" s="27"/>
    </row>
    <row r="76" spans="1:29" ht="22.5" customHeight="1">
      <c r="A76" s="15">
        <v>75</v>
      </c>
      <c r="B76" s="42" t="s">
        <v>11</v>
      </c>
      <c r="C76" s="45" t="s">
        <v>136</v>
      </c>
      <c r="D76" s="43">
        <v>45482</v>
      </c>
      <c r="E76" s="42">
        <v>28.7</v>
      </c>
      <c r="F76" s="43"/>
      <c r="G76" s="42">
        <v>0</v>
      </c>
      <c r="H76" s="16">
        <f ca="1">IFERROR(__xludf.DUMMYFUNCTION("GOOGLEFINANCE(""NSE:""&amp;B76,""price"")"),25.31)</f>
        <v>25.31</v>
      </c>
      <c r="I76" s="46">
        <v>100</v>
      </c>
      <c r="J76" s="16">
        <f t="shared" si="0"/>
        <v>2870</v>
      </c>
      <c r="K76" s="16">
        <f t="shared" si="1"/>
        <v>2870</v>
      </c>
      <c r="L76" s="16">
        <f t="shared" ca="1" si="21"/>
        <v>-339.00000000000006</v>
      </c>
      <c r="M76" s="19">
        <f t="shared" ca="1" si="22"/>
        <v>-0.11811846689895472</v>
      </c>
      <c r="N76" s="16">
        <f ca="1">IFERROR(__xludf.DUMMYFUNCTION("IF(G76&gt;0,0,GOOGLEFINANCE(""NSE:""&amp;B76,""change""))"),-0.05)</f>
        <v>-0.05</v>
      </c>
      <c r="O76" s="16">
        <f t="shared" ca="1" si="4"/>
        <v>-5</v>
      </c>
      <c r="P76" s="16">
        <f t="shared" si="5"/>
        <v>0</v>
      </c>
      <c r="Q76" s="19">
        <f t="shared" si="6"/>
        <v>0</v>
      </c>
      <c r="AC76" s="27"/>
    </row>
    <row r="77" spans="1:29" ht="22.5" customHeight="1">
      <c r="A77" s="15">
        <v>76</v>
      </c>
      <c r="B77" s="42" t="s">
        <v>12</v>
      </c>
      <c r="C77" s="45" t="s">
        <v>136</v>
      </c>
      <c r="D77" s="43">
        <v>45482</v>
      </c>
      <c r="E77" s="42">
        <v>56.83</v>
      </c>
      <c r="F77" s="43"/>
      <c r="G77" s="42">
        <v>0</v>
      </c>
      <c r="H77" s="16">
        <f ca="1">IFERROR(__xludf.DUMMYFUNCTION("GOOGLEFINANCE(""NSE:""&amp;B77,""price"")"),48.97)</f>
        <v>48.97</v>
      </c>
      <c r="I77" s="46">
        <v>50</v>
      </c>
      <c r="J77" s="16">
        <f t="shared" si="0"/>
        <v>2841.5</v>
      </c>
      <c r="K77" s="16">
        <f t="shared" si="1"/>
        <v>2841.5</v>
      </c>
      <c r="L77" s="16">
        <f t="shared" ca="1" si="21"/>
        <v>-393</v>
      </c>
      <c r="M77" s="19">
        <f t="shared" ca="1" si="22"/>
        <v>-0.13830723209572407</v>
      </c>
      <c r="N77" s="16">
        <f ca="1">IFERROR(__xludf.DUMMYFUNCTION("IF(G77&gt;0,0,GOOGLEFINANCE(""NSE:""&amp;B77,""change""))"),-0.01)</f>
        <v>-0.01</v>
      </c>
      <c r="O77" s="16">
        <f t="shared" ca="1" si="4"/>
        <v>-0.5</v>
      </c>
      <c r="P77" s="16">
        <f t="shared" si="5"/>
        <v>0</v>
      </c>
      <c r="Q77" s="19">
        <f t="shared" si="6"/>
        <v>0</v>
      </c>
      <c r="AC77" s="27"/>
    </row>
    <row r="78" spans="1:29" ht="22.5" customHeight="1">
      <c r="A78" s="15">
        <v>77</v>
      </c>
      <c r="B78" s="42" t="s">
        <v>32</v>
      </c>
      <c r="C78" s="45" t="s">
        <v>131</v>
      </c>
      <c r="D78" s="43">
        <v>45348</v>
      </c>
      <c r="E78" s="42">
        <v>151.5</v>
      </c>
      <c r="F78" s="43"/>
      <c r="G78" s="42">
        <v>0</v>
      </c>
      <c r="H78" s="16">
        <f ca="1">IFERROR(__xludf.DUMMYFUNCTION("GOOGLEFINANCE(""NSE:""&amp;B78,""price"")"),139)</f>
        <v>139</v>
      </c>
      <c r="I78" s="46">
        <v>150</v>
      </c>
      <c r="J78" s="16">
        <f t="shared" si="0"/>
        <v>22725</v>
      </c>
      <c r="K78" s="16">
        <f t="shared" si="1"/>
        <v>22725</v>
      </c>
      <c r="L78" s="16">
        <f t="shared" ca="1" si="21"/>
        <v>-1875</v>
      </c>
      <c r="M78" s="19">
        <f t="shared" ca="1" si="22"/>
        <v>-8.2508250825082508E-2</v>
      </c>
      <c r="N78" s="16">
        <f ca="1">IFERROR(__xludf.DUMMYFUNCTION("IF(G78&gt;0,0,GOOGLEFINANCE(""NSE:""&amp;B78,""change""))"),3.33)</f>
        <v>3.33</v>
      </c>
      <c r="O78" s="16">
        <f t="shared" ca="1" si="4"/>
        <v>499.5</v>
      </c>
      <c r="P78" s="16">
        <f t="shared" si="5"/>
        <v>0</v>
      </c>
      <c r="Q78" s="19">
        <f t="shared" si="6"/>
        <v>0</v>
      </c>
      <c r="AC78" s="27"/>
    </row>
    <row r="79" spans="1:29" ht="22.5" customHeight="1">
      <c r="A79" s="15">
        <v>78</v>
      </c>
      <c r="B79" s="42" t="s">
        <v>11</v>
      </c>
      <c r="C79" s="45" t="s">
        <v>131</v>
      </c>
      <c r="D79" s="43">
        <v>45488</v>
      </c>
      <c r="E79" s="42">
        <v>28.91</v>
      </c>
      <c r="F79" s="43"/>
      <c r="G79" s="42">
        <v>0</v>
      </c>
      <c r="H79" s="16">
        <f ca="1">IFERROR(__xludf.DUMMYFUNCTION("GOOGLEFINANCE(""NSE:""&amp;B79,""price"")"),25.31)</f>
        <v>25.31</v>
      </c>
      <c r="I79" s="46">
        <v>400</v>
      </c>
      <c r="J79" s="16">
        <f t="shared" si="0"/>
        <v>11564</v>
      </c>
      <c r="K79" s="16">
        <f t="shared" si="1"/>
        <v>11564</v>
      </c>
      <c r="L79" s="16">
        <f t="shared" ca="1" si="21"/>
        <v>-1440.0000000000005</v>
      </c>
      <c r="M79" s="19">
        <f t="shared" ca="1" si="22"/>
        <v>-0.12452438602559673</v>
      </c>
      <c r="N79" s="16">
        <f ca="1">IFERROR(__xludf.DUMMYFUNCTION("IF(G79&gt;0,0,GOOGLEFINANCE(""NSE:""&amp;B79,""change""))"),-0.05)</f>
        <v>-0.05</v>
      </c>
      <c r="O79" s="16">
        <f t="shared" ca="1" si="4"/>
        <v>-20</v>
      </c>
      <c r="P79" s="16">
        <f t="shared" si="5"/>
        <v>0</v>
      </c>
      <c r="Q79" s="19">
        <f t="shared" si="6"/>
        <v>0</v>
      </c>
      <c r="AC79" s="27"/>
    </row>
    <row r="80" spans="1:29" ht="22.5" customHeight="1">
      <c r="A80" s="15">
        <v>79</v>
      </c>
      <c r="B80" s="42" t="s">
        <v>27</v>
      </c>
      <c r="C80" s="45" t="s">
        <v>131</v>
      </c>
      <c r="D80" s="43">
        <v>45488</v>
      </c>
      <c r="E80" s="42">
        <v>118.15</v>
      </c>
      <c r="F80" s="43"/>
      <c r="G80" s="42">
        <v>0</v>
      </c>
      <c r="H80" s="16">
        <f ca="1">IFERROR(__xludf.DUMMYFUNCTION("GOOGLEFINANCE(""NSE:""&amp;B80,""price"")"),116.72)</f>
        <v>116.72</v>
      </c>
      <c r="I80" s="46">
        <v>100</v>
      </c>
      <c r="J80" s="16">
        <f t="shared" si="0"/>
        <v>11815</v>
      </c>
      <c r="K80" s="16">
        <f t="shared" si="1"/>
        <v>11815</v>
      </c>
      <c r="L80" s="16">
        <f t="shared" ca="1" si="21"/>
        <v>-143.00000000000068</v>
      </c>
      <c r="M80" s="19">
        <f t="shared" ca="1" si="22"/>
        <v>-1.2103258569614953E-2</v>
      </c>
      <c r="N80" s="16">
        <f ca="1">IFERROR(__xludf.DUMMYFUNCTION("IF(G80&gt;0,0,GOOGLEFINANCE(""NSE:""&amp;B80,""change""))"),0.58)</f>
        <v>0.57999999999999996</v>
      </c>
      <c r="O80" s="16">
        <f t="shared" ca="1" si="4"/>
        <v>57.999999999999993</v>
      </c>
      <c r="P80" s="16">
        <f t="shared" si="5"/>
        <v>0</v>
      </c>
      <c r="Q80" s="19">
        <f t="shared" si="6"/>
        <v>0</v>
      </c>
      <c r="AC80" s="27"/>
    </row>
    <row r="81" spans="1:29" ht="22.5" customHeight="1">
      <c r="A81" s="15">
        <v>80</v>
      </c>
      <c r="B81" s="42" t="s">
        <v>69</v>
      </c>
      <c r="C81" s="45" t="s">
        <v>139</v>
      </c>
      <c r="D81" s="43">
        <v>45489</v>
      </c>
      <c r="E81" s="42">
        <v>169.45</v>
      </c>
      <c r="F81" s="43"/>
      <c r="G81" s="42">
        <v>0</v>
      </c>
      <c r="H81" s="16">
        <f ca="1">IFERROR(__xludf.DUMMYFUNCTION("GOOGLEFINANCE(""NSE:""&amp;B81,""price"")"),170.82)</f>
        <v>170.82</v>
      </c>
      <c r="I81" s="46">
        <v>1</v>
      </c>
      <c r="J81" s="16">
        <f t="shared" si="0"/>
        <v>169.45</v>
      </c>
      <c r="K81" s="16">
        <f t="shared" si="1"/>
        <v>169.45</v>
      </c>
      <c r="L81" s="16">
        <f t="shared" ca="1" si="21"/>
        <v>1.3700000000000045</v>
      </c>
      <c r="M81" s="19">
        <f t="shared" ca="1" si="22"/>
        <v>8.084980820301001E-3</v>
      </c>
      <c r="N81" s="16">
        <f ca="1">IFERROR(__xludf.DUMMYFUNCTION("IF(G81&gt;0,0,GOOGLEFINANCE(""NSE:""&amp;B81,""change""))"),1.6)</f>
        <v>1.6</v>
      </c>
      <c r="O81" s="16">
        <f t="shared" ca="1" si="4"/>
        <v>1.6</v>
      </c>
      <c r="P81" s="16">
        <f t="shared" si="5"/>
        <v>0</v>
      </c>
      <c r="Q81" s="19">
        <f t="shared" si="6"/>
        <v>0</v>
      </c>
      <c r="AC81" s="27"/>
    </row>
    <row r="82" spans="1:29" ht="22.5" customHeight="1">
      <c r="A82" s="15">
        <v>81</v>
      </c>
      <c r="B82" s="42" t="s">
        <v>111</v>
      </c>
      <c r="C82" s="45" t="s">
        <v>139</v>
      </c>
      <c r="D82" s="43">
        <v>45489</v>
      </c>
      <c r="E82" s="42">
        <v>36.72</v>
      </c>
      <c r="F82" s="43"/>
      <c r="G82" s="42">
        <v>0</v>
      </c>
      <c r="H82" s="16">
        <f ca="1">IFERROR(__xludf.DUMMYFUNCTION("GOOGLEFINANCE(""NSE:""&amp;B82,""price"")"),31.69)</f>
        <v>31.69</v>
      </c>
      <c r="I82" s="46">
        <v>100</v>
      </c>
      <c r="J82" s="16">
        <f t="shared" si="0"/>
        <v>3672</v>
      </c>
      <c r="K82" s="16">
        <f t="shared" si="1"/>
        <v>3672</v>
      </c>
      <c r="L82" s="16">
        <f t="shared" ca="1" si="21"/>
        <v>-502.99999999999977</v>
      </c>
      <c r="M82" s="19">
        <f t="shared" ca="1" si="22"/>
        <v>-0.13698257080610016</v>
      </c>
      <c r="N82" s="16">
        <f ca="1">IFERROR(__xludf.DUMMYFUNCTION("IF(G82&gt;0,0,GOOGLEFINANCE(""NSE:""&amp;B82,""change""))"),-0.12)</f>
        <v>-0.12</v>
      </c>
      <c r="O82" s="16">
        <f t="shared" ca="1" si="4"/>
        <v>-12</v>
      </c>
      <c r="P82" s="16">
        <f t="shared" si="5"/>
        <v>0</v>
      </c>
      <c r="Q82" s="19">
        <f t="shared" si="6"/>
        <v>0</v>
      </c>
      <c r="AC82" s="27"/>
    </row>
    <row r="83" spans="1:29" ht="22.5" customHeight="1">
      <c r="A83" s="15">
        <v>82</v>
      </c>
      <c r="B83" s="15" t="s">
        <v>22</v>
      </c>
      <c r="C83" s="17" t="s">
        <v>131</v>
      </c>
      <c r="D83" s="18"/>
      <c r="E83" s="16">
        <v>223.25</v>
      </c>
      <c r="F83" s="18"/>
      <c r="G83" s="16">
        <v>0</v>
      </c>
      <c r="H83" s="16">
        <f ca="1">IFERROR(__xludf.DUMMYFUNCTION("GOOGLEFINANCE(""NSE:""&amp;B83,""price"")"),369.7)</f>
        <v>369.7</v>
      </c>
      <c r="I83" s="15">
        <v>23</v>
      </c>
      <c r="J83" s="16">
        <f t="shared" si="0"/>
        <v>5134.75</v>
      </c>
      <c r="K83" s="16">
        <f t="shared" si="1"/>
        <v>5134.75</v>
      </c>
      <c r="L83" s="16">
        <f t="shared" ca="1" si="21"/>
        <v>3368.35</v>
      </c>
      <c r="M83" s="19">
        <f t="shared" ca="1" si="22"/>
        <v>0.65599104143337061</v>
      </c>
      <c r="N83" s="16">
        <f ca="1">IFERROR(__xludf.DUMMYFUNCTION("IF(G83&gt;0,0,GOOGLEFINANCE(""NSE:""&amp;B83,""change""))"),-0.2)</f>
        <v>-0.2</v>
      </c>
      <c r="O83" s="16">
        <f t="shared" ca="1" si="4"/>
        <v>-4.6000000000000005</v>
      </c>
      <c r="P83" s="16">
        <f t="shared" si="5"/>
        <v>0</v>
      </c>
      <c r="Q83" s="19">
        <f t="shared" si="6"/>
        <v>0</v>
      </c>
      <c r="AC83" s="27"/>
    </row>
    <row r="84" spans="1:29" ht="22.5" customHeight="1">
      <c r="A84" s="15">
        <v>83</v>
      </c>
      <c r="B84" s="42" t="s">
        <v>17</v>
      </c>
      <c r="C84" s="45" t="s">
        <v>131</v>
      </c>
      <c r="D84" s="43">
        <v>45499</v>
      </c>
      <c r="E84" s="42">
        <v>247</v>
      </c>
      <c r="F84" s="43"/>
      <c r="G84" s="42">
        <v>0</v>
      </c>
      <c r="H84" s="16">
        <f ca="1">IFERROR(__xludf.DUMMYFUNCTION("GOOGLEFINANCE(""NSE:""&amp;B84,""price"")"),178.1)</f>
        <v>178.1</v>
      </c>
      <c r="I84" s="46">
        <v>14</v>
      </c>
      <c r="J84" s="16">
        <f t="shared" si="0"/>
        <v>3458</v>
      </c>
      <c r="K84" s="16">
        <f t="shared" si="1"/>
        <v>3458</v>
      </c>
      <c r="L84" s="16">
        <f t="shared" ca="1" si="21"/>
        <v>-964.60000000000014</v>
      </c>
      <c r="M84" s="19">
        <f t="shared" ca="1" si="22"/>
        <v>-0.27894736842105267</v>
      </c>
      <c r="N84" s="16">
        <f ca="1">IFERROR(__xludf.DUMMYFUNCTION("IF(G84&gt;0,0,GOOGLEFINANCE(""NSE:""&amp;B84,""change""))"),1.05)</f>
        <v>1.05</v>
      </c>
      <c r="O84" s="16">
        <f t="shared" ca="1" si="4"/>
        <v>14.700000000000001</v>
      </c>
      <c r="P84" s="16">
        <f t="shared" si="5"/>
        <v>0</v>
      </c>
      <c r="Q84" s="19">
        <f t="shared" si="6"/>
        <v>0</v>
      </c>
      <c r="AC84" s="27"/>
    </row>
    <row r="85" spans="1:29" ht="22.5" customHeight="1">
      <c r="A85" s="15">
        <v>84</v>
      </c>
      <c r="B85" s="42" t="s">
        <v>114</v>
      </c>
      <c r="C85" s="45" t="s">
        <v>139</v>
      </c>
      <c r="D85" s="43">
        <v>45524</v>
      </c>
      <c r="E85" s="42">
        <v>42.36</v>
      </c>
      <c r="F85" s="43"/>
      <c r="G85" s="42">
        <v>0</v>
      </c>
      <c r="H85" s="16">
        <f ca="1">IFERROR(__xludf.DUMMYFUNCTION("GOOGLEFINANCE(""NSE:""&amp;B85,""price"")"),40.99)</f>
        <v>40.99</v>
      </c>
      <c r="I85" s="46">
        <v>50</v>
      </c>
      <c r="J85" s="16">
        <f t="shared" si="0"/>
        <v>2118</v>
      </c>
      <c r="K85" s="16">
        <f t="shared" si="1"/>
        <v>2118</v>
      </c>
      <c r="L85" s="16">
        <f t="shared" ca="1" si="21"/>
        <v>-68.499999999999872</v>
      </c>
      <c r="M85" s="19">
        <f t="shared" ca="1" si="22"/>
        <v>-3.234183191690268E-2</v>
      </c>
      <c r="N85" s="16">
        <f ca="1">IFERROR(__xludf.DUMMYFUNCTION("IF(G85&gt;0,0,GOOGLEFINANCE(""NSE:""&amp;B85,""change""))"),-0.34)</f>
        <v>-0.34</v>
      </c>
      <c r="O85" s="16">
        <f t="shared" ca="1" si="4"/>
        <v>-17</v>
      </c>
      <c r="P85" s="16">
        <f t="shared" si="5"/>
        <v>0</v>
      </c>
      <c r="Q85" s="19">
        <f t="shared" si="6"/>
        <v>0</v>
      </c>
      <c r="AC85" s="27"/>
    </row>
    <row r="86" spans="1:29" ht="22.5" customHeight="1">
      <c r="A86" s="15">
        <v>85</v>
      </c>
      <c r="B86" s="42" t="s">
        <v>114</v>
      </c>
      <c r="C86" s="45" t="s">
        <v>131</v>
      </c>
      <c r="D86" s="43">
        <v>45525</v>
      </c>
      <c r="E86" s="42">
        <v>42.26</v>
      </c>
      <c r="F86" s="43">
        <v>45813</v>
      </c>
      <c r="G86" s="42">
        <v>38.46</v>
      </c>
      <c r="H86" s="16">
        <f ca="1">IFERROR(__xludf.DUMMYFUNCTION("GOOGLEFINANCE(""NSE:""&amp;B86,""price"")"),40.99)</f>
        <v>40.99</v>
      </c>
      <c r="I86" s="46">
        <v>50</v>
      </c>
      <c r="J86" s="16">
        <f t="shared" si="0"/>
        <v>2113</v>
      </c>
      <c r="K86" s="16">
        <f t="shared" si="1"/>
        <v>4036</v>
      </c>
      <c r="L86" s="16">
        <f t="shared" si="21"/>
        <v>0</v>
      </c>
      <c r="M86" s="19">
        <f t="shared" si="22"/>
        <v>0</v>
      </c>
      <c r="N86" s="16">
        <f ca="1">IFERROR(__xludf.DUMMYFUNCTION("IF(G86&gt;0,0,GOOGLEFINANCE(""NSE:""&amp;B86,""change""))"),0)</f>
        <v>0</v>
      </c>
      <c r="O86" s="16">
        <f t="shared" ca="1" si="4"/>
        <v>0</v>
      </c>
      <c r="P86" s="16">
        <f t="shared" si="5"/>
        <v>-189.99999999999986</v>
      </c>
      <c r="Q86" s="19">
        <f t="shared" si="6"/>
        <v>-8.9919545669663925E-2</v>
      </c>
      <c r="AC86" s="27"/>
    </row>
    <row r="87" spans="1:29" ht="22.5" customHeight="1">
      <c r="A87" s="15">
        <v>86</v>
      </c>
      <c r="B87" s="42" t="s">
        <v>57</v>
      </c>
      <c r="C87" s="45" t="s">
        <v>136</v>
      </c>
      <c r="D87" s="43">
        <v>45533</v>
      </c>
      <c r="E87" s="42">
        <v>574.5</v>
      </c>
      <c r="F87" s="43"/>
      <c r="G87" s="42">
        <v>0</v>
      </c>
      <c r="H87" s="16">
        <f ca="1">IFERROR(__xludf.DUMMYFUNCTION("GOOGLEFINANCE(""NSE:""&amp;B87,""price"")"),780.7)</f>
        <v>780.7</v>
      </c>
      <c r="I87" s="46">
        <v>8</v>
      </c>
      <c r="J87" s="16">
        <f t="shared" si="0"/>
        <v>4596</v>
      </c>
      <c r="K87" s="16">
        <f t="shared" si="1"/>
        <v>4596</v>
      </c>
      <c r="L87" s="16">
        <f t="shared" ca="1" si="21"/>
        <v>1649.6000000000004</v>
      </c>
      <c r="M87" s="19">
        <f t="shared" ca="1" si="22"/>
        <v>0.3589208006962577</v>
      </c>
      <c r="N87" s="16">
        <f ca="1">IFERROR(__xludf.DUMMYFUNCTION("IF(G87&gt;0,0,GOOGLEFINANCE(""NSE:""&amp;B87,""change""))"),4.15)</f>
        <v>4.1500000000000004</v>
      </c>
      <c r="O87" s="16">
        <f t="shared" ca="1" si="4"/>
        <v>33.200000000000003</v>
      </c>
      <c r="P87" s="16">
        <f t="shared" si="5"/>
        <v>0</v>
      </c>
      <c r="Q87" s="19">
        <f t="shared" si="6"/>
        <v>0</v>
      </c>
      <c r="AC87" s="27"/>
    </row>
    <row r="88" spans="1:29" ht="22.5" customHeight="1">
      <c r="A88" s="15">
        <v>87</v>
      </c>
      <c r="B88" s="42" t="s">
        <v>114</v>
      </c>
      <c r="C88" s="45" t="s">
        <v>136</v>
      </c>
      <c r="D88" s="43">
        <v>45533</v>
      </c>
      <c r="E88" s="42">
        <v>43.27</v>
      </c>
      <c r="F88" s="43"/>
      <c r="G88" s="42">
        <v>0</v>
      </c>
      <c r="H88" s="16">
        <f ca="1">IFERROR(__xludf.DUMMYFUNCTION("GOOGLEFINANCE(""NSE:""&amp;B88,""price"")"),40.99)</f>
        <v>40.99</v>
      </c>
      <c r="I88" s="46">
        <v>8</v>
      </c>
      <c r="J88" s="16">
        <f t="shared" si="0"/>
        <v>346.16</v>
      </c>
      <c r="K88" s="16">
        <f t="shared" si="1"/>
        <v>346.16</v>
      </c>
      <c r="L88" s="16">
        <f t="shared" ca="1" si="21"/>
        <v>-18.240000000000009</v>
      </c>
      <c r="M88" s="19">
        <f t="shared" ca="1" si="22"/>
        <v>-5.2692396579616385E-2</v>
      </c>
      <c r="N88" s="16">
        <f ca="1">IFERROR(__xludf.DUMMYFUNCTION("IF(G88&gt;0,0,GOOGLEFINANCE(""NSE:""&amp;B88,""change""))"),-0.34)</f>
        <v>-0.34</v>
      </c>
      <c r="O88" s="16">
        <f t="shared" ca="1" si="4"/>
        <v>-2.72</v>
      </c>
      <c r="P88" s="16">
        <f t="shared" si="5"/>
        <v>0</v>
      </c>
      <c r="Q88" s="19">
        <f t="shared" si="6"/>
        <v>0</v>
      </c>
      <c r="AC88" s="27"/>
    </row>
    <row r="89" spans="1:29" ht="22.5" customHeight="1">
      <c r="A89" s="15">
        <v>88</v>
      </c>
      <c r="B89" s="42" t="s">
        <v>149</v>
      </c>
      <c r="C89" s="45" t="s">
        <v>136</v>
      </c>
      <c r="D89" s="43">
        <v>45539</v>
      </c>
      <c r="E89" s="42">
        <v>764.1</v>
      </c>
      <c r="F89" s="43"/>
      <c r="G89" s="42">
        <v>0</v>
      </c>
      <c r="H89" s="16">
        <f ca="1">IFERROR(__xludf.DUMMYFUNCTION("GOOGLEFINANCE(""NSE:""&amp;B89,""price"")"),869)</f>
        <v>869</v>
      </c>
      <c r="I89" s="46">
        <v>6</v>
      </c>
      <c r="J89" s="16">
        <f t="shared" si="0"/>
        <v>4584.6000000000004</v>
      </c>
      <c r="K89" s="16">
        <f t="shared" si="1"/>
        <v>4584.6000000000004</v>
      </c>
      <c r="L89" s="16">
        <f t="shared" ref="L89:L102" ca="1" si="23">IF(G89&gt;0,0,(H89-E89)*I89)</f>
        <v>629.39999999999986</v>
      </c>
      <c r="M89" s="19">
        <f t="shared" ca="1" si="22"/>
        <v>0.13728569558958248</v>
      </c>
      <c r="N89" s="16">
        <f ca="1">IFERROR(__xludf.DUMMYFUNCTION("IF(G89&gt;0,0,GOOGLEFINANCE(""NSE:""&amp;B89,""change""))"),-3.2)</f>
        <v>-3.2</v>
      </c>
      <c r="O89" s="16">
        <f t="shared" ca="1" si="4"/>
        <v>-19.200000000000003</v>
      </c>
      <c r="P89" s="16">
        <f t="shared" si="5"/>
        <v>0</v>
      </c>
      <c r="Q89" s="19">
        <f t="shared" si="6"/>
        <v>0</v>
      </c>
      <c r="AB89" s="27" t="s">
        <v>153</v>
      </c>
      <c r="AC89" s="27"/>
    </row>
    <row r="90" spans="1:29" ht="22.5" customHeight="1">
      <c r="A90" s="15">
        <v>89</v>
      </c>
      <c r="B90" s="42" t="s">
        <v>57</v>
      </c>
      <c r="C90" s="45" t="s">
        <v>136</v>
      </c>
      <c r="D90" s="43">
        <v>45566</v>
      </c>
      <c r="E90" s="42">
        <v>622.79999999999995</v>
      </c>
      <c r="F90" s="43"/>
      <c r="G90" s="42">
        <v>0</v>
      </c>
      <c r="H90" s="16">
        <f ca="1">IFERROR(__xludf.DUMMYFUNCTION("GOOGLEFINANCE(""NSE:""&amp;B90,""price"")"),780.7)</f>
        <v>780.7</v>
      </c>
      <c r="I90" s="46">
        <v>8</v>
      </c>
      <c r="J90" s="16">
        <f t="shared" si="0"/>
        <v>4982.3999999999996</v>
      </c>
      <c r="K90" s="16">
        <f t="shared" si="1"/>
        <v>4982.3999999999996</v>
      </c>
      <c r="L90" s="16">
        <f t="shared" ca="1" si="23"/>
        <v>1263.2000000000007</v>
      </c>
      <c r="M90" s="19">
        <f t="shared" ca="1" si="22"/>
        <v>0.25353243416827248</v>
      </c>
      <c r="N90" s="16">
        <f ca="1">IFERROR(__xludf.DUMMYFUNCTION("IF(G90&gt;0,0,GOOGLEFINANCE(""NSE:""&amp;B90,""change""))"),4.15)</f>
        <v>4.1500000000000004</v>
      </c>
      <c r="O90" s="16">
        <f t="shared" ca="1" si="4"/>
        <v>33.200000000000003</v>
      </c>
      <c r="P90" s="16">
        <f t="shared" si="5"/>
        <v>0</v>
      </c>
      <c r="Q90" s="19">
        <f t="shared" si="6"/>
        <v>0</v>
      </c>
      <c r="AC90" s="27"/>
    </row>
    <row r="91" spans="1:29" ht="22.5" customHeight="1">
      <c r="A91" s="15">
        <v>90</v>
      </c>
      <c r="B91" s="42" t="s">
        <v>61</v>
      </c>
      <c r="C91" s="45" t="s">
        <v>136</v>
      </c>
      <c r="D91" s="43">
        <v>45566</v>
      </c>
      <c r="E91" s="42">
        <v>110.76</v>
      </c>
      <c r="F91" s="43"/>
      <c r="G91" s="42">
        <v>0</v>
      </c>
      <c r="H91" s="16">
        <f ca="1">IFERROR(__xludf.DUMMYFUNCTION("GOOGLEFINANCE(""NSE:""&amp;B91,""price"")"),114.45)</f>
        <v>114.45</v>
      </c>
      <c r="I91" s="46">
        <v>4</v>
      </c>
      <c r="J91" s="16">
        <f t="shared" si="0"/>
        <v>443.04</v>
      </c>
      <c r="K91" s="16">
        <f t="shared" si="1"/>
        <v>443.04</v>
      </c>
      <c r="L91" s="16">
        <f t="shared" ca="1" si="23"/>
        <v>14.759999999999991</v>
      </c>
      <c r="M91" s="19">
        <f t="shared" ca="1" si="22"/>
        <v>3.3315276273022727E-2</v>
      </c>
      <c r="N91" s="16">
        <f ca="1">IFERROR(__xludf.DUMMYFUNCTION("IF(G91&gt;0,0,GOOGLEFINANCE(""NSE:""&amp;B91,""change""))"),0.42)</f>
        <v>0.42</v>
      </c>
      <c r="O91" s="16">
        <f t="shared" ca="1" si="4"/>
        <v>1.68</v>
      </c>
      <c r="P91" s="16">
        <f t="shared" si="5"/>
        <v>0</v>
      </c>
      <c r="Q91" s="19">
        <f t="shared" si="6"/>
        <v>0</v>
      </c>
      <c r="AC91" s="27"/>
    </row>
    <row r="92" spans="1:29" ht="22.5" customHeight="1">
      <c r="A92" s="15">
        <v>91</v>
      </c>
      <c r="B92" s="42" t="s">
        <v>39</v>
      </c>
      <c r="C92" s="45" t="s">
        <v>131</v>
      </c>
      <c r="D92" s="43">
        <v>45593</v>
      </c>
      <c r="E92" s="42">
        <v>1242.675</v>
      </c>
      <c r="F92" s="43"/>
      <c r="G92" s="42">
        <v>0</v>
      </c>
      <c r="H92" s="16">
        <f ca="1">IFERROR(__xludf.DUMMYFUNCTION("GOOGLEFINANCE(""NSE:""&amp;B92,""price"")"),1569)</f>
        <v>1569</v>
      </c>
      <c r="I92" s="46">
        <v>5</v>
      </c>
      <c r="J92" s="16">
        <f t="shared" si="0"/>
        <v>6213.375</v>
      </c>
      <c r="K92" s="16">
        <f t="shared" si="1"/>
        <v>6213.375</v>
      </c>
      <c r="L92" s="16">
        <f t="shared" ca="1" si="23"/>
        <v>1631.6250000000002</v>
      </c>
      <c r="M92" s="19">
        <f t="shared" ca="1" si="22"/>
        <v>0.26259882913875315</v>
      </c>
      <c r="N92" s="16">
        <f ca="1">IFERROR(__xludf.DUMMYFUNCTION("IF(G92&gt;0,0,GOOGLEFINANCE(""NSE:""&amp;B92,""change""))"),-6.4)</f>
        <v>-6.4</v>
      </c>
      <c r="O92" s="16">
        <f t="shared" ca="1" si="4"/>
        <v>-32</v>
      </c>
      <c r="P92" s="16">
        <f t="shared" si="5"/>
        <v>0</v>
      </c>
      <c r="Q92" s="19">
        <f t="shared" si="6"/>
        <v>0</v>
      </c>
      <c r="AB92" s="22" t="s">
        <v>132</v>
      </c>
      <c r="AC92" s="22"/>
    </row>
    <row r="93" spans="1:29" ht="22.5" customHeight="1">
      <c r="A93" s="15">
        <v>92</v>
      </c>
      <c r="B93" s="42" t="s">
        <v>39</v>
      </c>
      <c r="C93" s="45" t="s">
        <v>131</v>
      </c>
      <c r="D93" s="43">
        <v>45593</v>
      </c>
      <c r="E93" s="42">
        <v>1167.375</v>
      </c>
      <c r="F93" s="43"/>
      <c r="G93" s="42">
        <v>0</v>
      </c>
      <c r="H93" s="16">
        <f ca="1">IFERROR(__xludf.DUMMYFUNCTION("GOOGLEFINANCE(""NSE:""&amp;B93,""price"")"),1569)</f>
        <v>1569</v>
      </c>
      <c r="I93" s="46">
        <v>2</v>
      </c>
      <c r="J93" s="16">
        <f t="shared" si="0"/>
        <v>2334.75</v>
      </c>
      <c r="K93" s="16">
        <f t="shared" si="1"/>
        <v>2334.75</v>
      </c>
      <c r="L93" s="16">
        <f t="shared" ca="1" si="23"/>
        <v>803.25</v>
      </c>
      <c r="M93" s="19">
        <f t="shared" ca="1" si="22"/>
        <v>0.34404111789270803</v>
      </c>
      <c r="N93" s="16">
        <f ca="1">IFERROR(__xludf.DUMMYFUNCTION("IF(G93&gt;0,0,GOOGLEFINANCE(""NSE:""&amp;B93,""change""))"),-6.4)</f>
        <v>-6.4</v>
      </c>
      <c r="O93" s="16">
        <f t="shared" ca="1" si="4"/>
        <v>-12.8</v>
      </c>
      <c r="P93" s="16">
        <f t="shared" si="5"/>
        <v>0</v>
      </c>
      <c r="Q93" s="19">
        <f t="shared" si="6"/>
        <v>0</v>
      </c>
      <c r="AB93" s="22" t="s">
        <v>132</v>
      </c>
      <c r="AC93" s="22"/>
    </row>
    <row r="94" spans="1:29" ht="22.5" customHeight="1">
      <c r="A94" s="15">
        <v>93</v>
      </c>
      <c r="B94" s="42" t="s">
        <v>11</v>
      </c>
      <c r="C94" s="45" t="s">
        <v>131</v>
      </c>
      <c r="D94" s="43">
        <v>45597</v>
      </c>
      <c r="E94" s="42">
        <v>26.57</v>
      </c>
      <c r="F94" s="43"/>
      <c r="G94" s="42">
        <v>0</v>
      </c>
      <c r="H94" s="16">
        <f ca="1">IFERROR(__xludf.DUMMYFUNCTION("GOOGLEFINANCE(""NSE:""&amp;B94,""price"")"),25.31)</f>
        <v>25.31</v>
      </c>
      <c r="I94" s="46">
        <v>151</v>
      </c>
      <c r="J94" s="16">
        <f t="shared" si="0"/>
        <v>4012.07</v>
      </c>
      <c r="K94" s="16">
        <f t="shared" si="1"/>
        <v>4012.07</v>
      </c>
      <c r="L94" s="16">
        <f t="shared" ca="1" si="23"/>
        <v>-190.26000000000025</v>
      </c>
      <c r="M94" s="19">
        <f t="shared" ca="1" si="22"/>
        <v>-4.7421904403462611E-2</v>
      </c>
      <c r="N94" s="16">
        <f ca="1">IFERROR(__xludf.DUMMYFUNCTION("IF(G94&gt;0,0,GOOGLEFINANCE(""NSE:""&amp;B94,""change""))"),-0.05)</f>
        <v>-0.05</v>
      </c>
      <c r="O94" s="16">
        <f t="shared" ca="1" si="4"/>
        <v>-7.5500000000000007</v>
      </c>
      <c r="P94" s="16">
        <f t="shared" si="5"/>
        <v>0</v>
      </c>
      <c r="Q94" s="19">
        <f t="shared" si="6"/>
        <v>0</v>
      </c>
      <c r="AB94" s="27" t="s">
        <v>123</v>
      </c>
      <c r="AC94" s="27"/>
    </row>
    <row r="95" spans="1:29" ht="22.5" customHeight="1">
      <c r="A95" s="15">
        <v>94</v>
      </c>
      <c r="B95" s="42" t="s">
        <v>111</v>
      </c>
      <c r="C95" s="45" t="s">
        <v>139</v>
      </c>
      <c r="D95" s="43">
        <v>45597</v>
      </c>
      <c r="E95" s="42">
        <v>35.159999999999997</v>
      </c>
      <c r="F95" s="43"/>
      <c r="G95" s="42">
        <v>0</v>
      </c>
      <c r="H95" s="16">
        <f ca="1">IFERROR(__xludf.DUMMYFUNCTION("GOOGLEFINANCE(""NSE:""&amp;B95,""price"")"),31.69)</f>
        <v>31.69</v>
      </c>
      <c r="I95" s="46">
        <v>151</v>
      </c>
      <c r="J95" s="16">
        <f t="shared" si="0"/>
        <v>5309.16</v>
      </c>
      <c r="K95" s="16">
        <f t="shared" si="1"/>
        <v>5309.16</v>
      </c>
      <c r="L95" s="16">
        <f t="shared" ca="1" si="23"/>
        <v>-523.96999999999935</v>
      </c>
      <c r="M95" s="19">
        <f t="shared" ca="1" si="22"/>
        <v>-9.8691695108077238E-2</v>
      </c>
      <c r="N95" s="16">
        <f ca="1">IFERROR(__xludf.DUMMYFUNCTION("IF(G95&gt;0,0,GOOGLEFINANCE(""NSE:""&amp;B95,""change""))"),-0.12)</f>
        <v>-0.12</v>
      </c>
      <c r="O95" s="16">
        <f t="shared" ca="1" si="4"/>
        <v>-18.12</v>
      </c>
      <c r="P95" s="16">
        <f t="shared" si="5"/>
        <v>0</v>
      </c>
      <c r="Q95" s="19">
        <f t="shared" si="6"/>
        <v>0</v>
      </c>
      <c r="AB95" s="27" t="s">
        <v>123</v>
      </c>
      <c r="AC95" s="27"/>
    </row>
    <row r="96" spans="1:29" ht="22.5" customHeight="1">
      <c r="A96" s="15">
        <v>95</v>
      </c>
      <c r="B96" s="42" t="s">
        <v>39</v>
      </c>
      <c r="C96" s="45" t="s">
        <v>136</v>
      </c>
      <c r="D96" s="43">
        <v>45597</v>
      </c>
      <c r="E96" s="42">
        <v>1339.6</v>
      </c>
      <c r="F96" s="43"/>
      <c r="G96" s="42">
        <v>0</v>
      </c>
      <c r="H96" s="16">
        <f ca="1">IFERROR(__xludf.DUMMYFUNCTION("GOOGLEFINANCE(""NSE:""&amp;B96,""price"")"),1569)</f>
        <v>1569</v>
      </c>
      <c r="I96" s="46">
        <v>3</v>
      </c>
      <c r="J96" s="16">
        <f t="shared" si="0"/>
        <v>4018.7999999999997</v>
      </c>
      <c r="K96" s="16">
        <f t="shared" si="1"/>
        <v>4018.7999999999997</v>
      </c>
      <c r="L96" s="16">
        <f t="shared" ca="1" si="23"/>
        <v>688.20000000000027</v>
      </c>
      <c r="M96" s="19">
        <f t="shared" ca="1" si="22"/>
        <v>0.17124514780531511</v>
      </c>
      <c r="N96" s="16">
        <f ca="1">IFERROR(__xludf.DUMMYFUNCTION("IF(G96&gt;0,0,GOOGLEFINANCE(""NSE:""&amp;B96,""change""))"),-6.4)</f>
        <v>-6.4</v>
      </c>
      <c r="O96" s="16">
        <f t="shared" ca="1" si="4"/>
        <v>-19.200000000000003</v>
      </c>
      <c r="P96" s="16">
        <f t="shared" si="5"/>
        <v>0</v>
      </c>
      <c r="Q96" s="19">
        <f t="shared" si="6"/>
        <v>0</v>
      </c>
      <c r="AB96" s="27" t="s">
        <v>123</v>
      </c>
      <c r="AC96" s="27"/>
    </row>
    <row r="97" spans="1:29" ht="22.5" customHeight="1">
      <c r="A97" s="15">
        <v>96</v>
      </c>
      <c r="B97" s="42" t="s">
        <v>61</v>
      </c>
      <c r="C97" s="45" t="s">
        <v>136</v>
      </c>
      <c r="D97" s="43">
        <v>45597</v>
      </c>
      <c r="E97" s="42">
        <v>102</v>
      </c>
      <c r="F97" s="43"/>
      <c r="G97" s="42">
        <v>0</v>
      </c>
      <c r="H97" s="16">
        <f ca="1">IFERROR(__xludf.DUMMYFUNCTION("GOOGLEFINANCE(""NSE:""&amp;B97,""price"")"),114.45)</f>
        <v>114.45</v>
      </c>
      <c r="I97" s="46">
        <v>6</v>
      </c>
      <c r="J97" s="16">
        <f t="shared" si="0"/>
        <v>612</v>
      </c>
      <c r="K97" s="16">
        <f t="shared" si="1"/>
        <v>612</v>
      </c>
      <c r="L97" s="16">
        <f t="shared" ca="1" si="23"/>
        <v>74.700000000000017</v>
      </c>
      <c r="M97" s="19">
        <f t="shared" ca="1" si="22"/>
        <v>0.12205882352941179</v>
      </c>
      <c r="N97" s="16">
        <f ca="1">IFERROR(__xludf.DUMMYFUNCTION("IF(G97&gt;0,0,GOOGLEFINANCE(""NSE:""&amp;B97,""change""))"),0.42)</f>
        <v>0.42</v>
      </c>
      <c r="O97" s="16">
        <f t="shared" ca="1" si="4"/>
        <v>2.52</v>
      </c>
      <c r="P97" s="16">
        <f t="shared" si="5"/>
        <v>0</v>
      </c>
      <c r="Q97" s="19">
        <f t="shared" si="6"/>
        <v>0</v>
      </c>
      <c r="AB97" s="27" t="s">
        <v>123</v>
      </c>
      <c r="AC97" s="27"/>
    </row>
    <row r="98" spans="1:29" ht="22.5" customHeight="1">
      <c r="A98" s="15">
        <v>97</v>
      </c>
      <c r="B98" s="42" t="s">
        <v>61</v>
      </c>
      <c r="C98" s="45" t="s">
        <v>140</v>
      </c>
      <c r="D98" s="43">
        <v>45597</v>
      </c>
      <c r="E98" s="42">
        <v>102</v>
      </c>
      <c r="F98" s="43"/>
      <c r="G98" s="42">
        <v>0</v>
      </c>
      <c r="H98" s="16">
        <f ca="1">IFERROR(__xludf.DUMMYFUNCTION("GOOGLEFINANCE(""NSE:""&amp;B98,""price"")"),114.45)</f>
        <v>114.45</v>
      </c>
      <c r="I98" s="46">
        <v>51</v>
      </c>
      <c r="J98" s="16">
        <f t="shared" si="0"/>
        <v>5202</v>
      </c>
      <c r="K98" s="16">
        <f t="shared" si="1"/>
        <v>5202</v>
      </c>
      <c r="L98" s="16">
        <f t="shared" ca="1" si="23"/>
        <v>634.95000000000016</v>
      </c>
      <c r="M98" s="19">
        <f t="shared" ca="1" si="22"/>
        <v>0.12205882352941179</v>
      </c>
      <c r="N98" s="16">
        <f ca="1">IFERROR(__xludf.DUMMYFUNCTION("IF(G98&gt;0,0,GOOGLEFINANCE(""NSE:""&amp;B98,""change""))"),0.42)</f>
        <v>0.42</v>
      </c>
      <c r="O98" s="16">
        <f t="shared" ca="1" si="4"/>
        <v>21.419999999999998</v>
      </c>
      <c r="P98" s="16">
        <f t="shared" si="5"/>
        <v>0</v>
      </c>
      <c r="Q98" s="19">
        <f t="shared" si="6"/>
        <v>0</v>
      </c>
      <c r="AB98" s="27" t="s">
        <v>123</v>
      </c>
      <c r="AC98" s="27"/>
    </row>
    <row r="99" spans="1:29" ht="22.5" customHeight="1">
      <c r="A99" s="15">
        <v>98</v>
      </c>
      <c r="B99" s="15" t="s">
        <v>67</v>
      </c>
      <c r="C99" s="45" t="s">
        <v>131</v>
      </c>
      <c r="D99" s="43">
        <v>45617</v>
      </c>
      <c r="E99" s="16">
        <v>66.56</v>
      </c>
      <c r="F99" s="18"/>
      <c r="G99" s="16">
        <v>0</v>
      </c>
      <c r="H99" s="16">
        <f ca="1">IFERROR(__xludf.DUMMYFUNCTION("GOOGLEFINANCE(""NSE:""&amp;B99,""price"")"),116.68)</f>
        <v>116.68</v>
      </c>
      <c r="I99" s="15">
        <v>100</v>
      </c>
      <c r="J99" s="16">
        <f t="shared" si="0"/>
        <v>6656</v>
      </c>
      <c r="K99" s="16">
        <f t="shared" si="1"/>
        <v>6656</v>
      </c>
      <c r="L99" s="16">
        <f t="shared" ca="1" si="23"/>
        <v>5012</v>
      </c>
      <c r="M99" s="19">
        <f t="shared" ca="1" si="22"/>
        <v>0.75300480769230771</v>
      </c>
      <c r="N99" s="16">
        <f ca="1">IFERROR(__xludf.DUMMYFUNCTION("IF(G99&gt;0,0,GOOGLEFINANCE(""NSE:""&amp;B99,""change""))"),1.7)</f>
        <v>1.7</v>
      </c>
      <c r="O99" s="16">
        <f t="shared" ca="1" si="4"/>
        <v>170</v>
      </c>
      <c r="P99" s="16">
        <f t="shared" si="5"/>
        <v>0</v>
      </c>
      <c r="Q99" s="19">
        <f t="shared" si="6"/>
        <v>0</v>
      </c>
      <c r="AB99" s="27" t="s">
        <v>154</v>
      </c>
      <c r="AC99" s="27"/>
    </row>
    <row r="100" spans="1:29" ht="22.5" customHeight="1">
      <c r="A100" s="15">
        <v>99</v>
      </c>
      <c r="B100" s="42" t="s">
        <v>39</v>
      </c>
      <c r="C100" s="45" t="s">
        <v>131</v>
      </c>
      <c r="D100" s="43">
        <v>45630</v>
      </c>
      <c r="E100" s="42">
        <v>1311.65</v>
      </c>
      <c r="F100" s="43"/>
      <c r="G100" s="16">
        <v>0</v>
      </c>
      <c r="H100" s="16">
        <f ca="1">IFERROR(__xludf.DUMMYFUNCTION("GOOGLEFINANCE(""NSE:""&amp;B100,""price"")"),1569)</f>
        <v>1569</v>
      </c>
      <c r="I100" s="46">
        <v>3</v>
      </c>
      <c r="J100" s="16">
        <f t="shared" si="0"/>
        <v>3934.9500000000003</v>
      </c>
      <c r="K100" s="16">
        <f t="shared" si="1"/>
        <v>3934.9500000000003</v>
      </c>
      <c r="L100" s="16">
        <f t="shared" ca="1" si="23"/>
        <v>772.04999999999973</v>
      </c>
      <c r="M100" s="19">
        <f t="shared" ca="1" si="22"/>
        <v>0.19620325544161926</v>
      </c>
      <c r="N100" s="16">
        <f ca="1">IFERROR(__xludf.DUMMYFUNCTION("IF(G100&gt;0,0,GOOGLEFINANCE(""NSE:""&amp;B100,""change""))"),-6.4)</f>
        <v>-6.4</v>
      </c>
      <c r="O100" s="16">
        <f t="shared" ca="1" si="4"/>
        <v>-19.200000000000003</v>
      </c>
      <c r="P100" s="16">
        <f t="shared" si="5"/>
        <v>0</v>
      </c>
      <c r="Q100" s="19">
        <f t="shared" si="6"/>
        <v>0</v>
      </c>
      <c r="AC100" s="27"/>
    </row>
    <row r="101" spans="1:29" ht="22.5" customHeight="1">
      <c r="A101" s="15">
        <v>100</v>
      </c>
      <c r="B101" s="42" t="s">
        <v>15</v>
      </c>
      <c r="C101" s="45" t="s">
        <v>97</v>
      </c>
      <c r="D101" s="43">
        <v>45812</v>
      </c>
      <c r="E101" s="42">
        <v>15.38</v>
      </c>
      <c r="F101" s="43"/>
      <c r="G101" s="42">
        <v>0</v>
      </c>
      <c r="H101" s="16">
        <f ca="1">IFERROR(__xludf.DUMMYFUNCTION("GOOGLEFINANCE(""NSE:""&amp;B101,""price"")"),21.49)</f>
        <v>21.49</v>
      </c>
      <c r="I101" s="46">
        <v>200</v>
      </c>
      <c r="J101" s="16">
        <f t="shared" si="0"/>
        <v>3076</v>
      </c>
      <c r="K101" s="16">
        <f t="shared" si="1"/>
        <v>3076</v>
      </c>
      <c r="L101" s="16">
        <f t="shared" ca="1" si="23"/>
        <v>1221.9999999999995</v>
      </c>
      <c r="M101" s="19">
        <f t="shared" ca="1" si="22"/>
        <v>0.39726918075422607</v>
      </c>
      <c r="N101" s="16">
        <f ca="1">IFERROR(__xludf.DUMMYFUNCTION("IF(G101&gt;0,0,GOOGLEFINANCE(""NSE:""&amp;B101,""change""))"),0.34)</f>
        <v>0.34</v>
      </c>
      <c r="O101" s="16">
        <f t="shared" ca="1" si="4"/>
        <v>68</v>
      </c>
      <c r="P101" s="16">
        <f t="shared" si="5"/>
        <v>0</v>
      </c>
      <c r="Q101" s="19">
        <f t="shared" si="6"/>
        <v>0</v>
      </c>
      <c r="AC101" s="27"/>
    </row>
    <row r="102" spans="1:29" ht="22.5" customHeight="1">
      <c r="A102" s="47">
        <v>101</v>
      </c>
      <c r="B102" s="42" t="s">
        <v>27</v>
      </c>
      <c r="C102" s="45" t="s">
        <v>97</v>
      </c>
      <c r="D102" s="43">
        <v>45813</v>
      </c>
      <c r="E102" s="42">
        <v>109.33</v>
      </c>
      <c r="F102" s="43"/>
      <c r="G102" s="42">
        <v>0</v>
      </c>
      <c r="H102" s="16">
        <f ca="1">IFERROR(__xludf.DUMMYFUNCTION("GOOGLEFINANCE(""NSE:""&amp;B102,""price"")"),116.72)</f>
        <v>116.72</v>
      </c>
      <c r="I102" s="46">
        <v>40</v>
      </c>
      <c r="J102" s="16">
        <f t="shared" si="0"/>
        <v>4373.2</v>
      </c>
      <c r="K102" s="16">
        <f t="shared" si="1"/>
        <v>4373.2</v>
      </c>
      <c r="L102" s="16">
        <f t="shared" ca="1" si="23"/>
        <v>295.60000000000002</v>
      </c>
      <c r="M102" s="19">
        <f t="shared" ca="1" si="22"/>
        <v>6.7593524192810769E-2</v>
      </c>
      <c r="N102" s="16">
        <f ca="1">IFERROR(__xludf.DUMMYFUNCTION("IF(G102&gt;0,0,GOOGLEFINANCE(""NSE:""&amp;B102,""change""))"),0.58)</f>
        <v>0.57999999999999996</v>
      </c>
      <c r="O102" s="16">
        <f t="shared" ca="1" si="4"/>
        <v>23.2</v>
      </c>
      <c r="P102" s="16">
        <f t="shared" si="5"/>
        <v>0</v>
      </c>
      <c r="Q102" s="19">
        <f t="shared" si="6"/>
        <v>0</v>
      </c>
      <c r="AC102" s="27"/>
    </row>
    <row r="103" spans="1:29" ht="22.5" customHeight="1">
      <c r="A103" s="47"/>
      <c r="B103" s="42"/>
      <c r="C103" s="45"/>
      <c r="D103" s="43"/>
      <c r="E103" s="42"/>
      <c r="F103" s="43"/>
      <c r="G103" s="42"/>
      <c r="H103" s="16"/>
      <c r="I103" s="46"/>
      <c r="J103" s="16"/>
      <c r="K103" s="16"/>
      <c r="L103" s="16"/>
      <c r="M103" s="19"/>
      <c r="N103" s="16"/>
      <c r="O103" s="16"/>
      <c r="P103" s="16"/>
      <c r="Q103" s="19"/>
      <c r="AC103" s="27"/>
    </row>
  </sheetData>
  <conditionalFormatting sqref="Y2:Z58 L2:Q103 AS3:AU3 AN3:AP3 AP4:AP50 AU4:AU9">
    <cfRule type="cellIs" dxfId="15" priority="1" operator="lessThan">
      <formula>0</formula>
    </cfRule>
    <cfRule type="cellIs" dxfId="14" priority="2" operator="greaterThan">
      <formula>0</formula>
    </cfRule>
  </conditionalFormatting>
  <dataValidations count="3">
    <dataValidation type="custom" allowBlank="1" showDropDown="1" sqref="D2:D103 F2:F103" xr:uid="{00000000-0002-0000-0700-000000000000}">
      <formula1>OR(NOT(ISERROR(DATEVALUE(D2))), AND(ISNUMBER(D2), LEFT(CELL("format", D2))="D"))</formula1>
    </dataValidation>
    <dataValidation type="custom" allowBlank="1" showDropDown="1" sqref="E2:E103 G2:H103 J2:Q103" xr:uid="{00000000-0002-0000-0700-000001000000}">
      <formula1>AND(ISNUMBER(E2),(NOT(OR(NOT(ISERROR(DATEVALUE(E2))), AND(ISNUMBER(E2), LEFT(CELL("format", E2))="D")))))</formula1>
    </dataValidation>
    <dataValidation type="list" allowBlank="1" showErrorMessage="1" sqref="C2:C103" xr:uid="{00000000-0002-0000-0700-000002000000}">
      <formula1>"ESPRESSO,Savitri,DHAN,Paytm,Kamal,Ramkishor"</formula1>
    </dataValidation>
  </dataValidations>
  <pageMargins left="0.7" right="0.7" top="0.75" bottom="0.75" header="0.3" footer="0.3"/>
  <legacyDrawing r:id="rId5"/>
  <tableParts count="1"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8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16.21875" customWidth="1"/>
    <col min="3" max="3" width="17.21875" customWidth="1"/>
    <col min="4" max="4" width="13.109375" customWidth="1"/>
    <col min="5" max="5" width="14.6640625" customWidth="1"/>
  </cols>
  <sheetData>
    <row r="1" spans="1:25" ht="22.5" customHeight="1">
      <c r="A1" s="11" t="s">
        <v>155</v>
      </c>
      <c r="B1" s="11" t="s">
        <v>156</v>
      </c>
      <c r="C1" s="11" t="s">
        <v>73</v>
      </c>
      <c r="D1" s="11" t="s">
        <v>157</v>
      </c>
      <c r="E1" s="11" t="s">
        <v>158</v>
      </c>
      <c r="J1" s="114" t="s">
        <v>159</v>
      </c>
      <c r="K1" s="114" t="s">
        <v>73</v>
      </c>
      <c r="L1" s="134"/>
      <c r="M1" s="134"/>
      <c r="N1" s="134"/>
      <c r="O1" s="134"/>
      <c r="P1" s="115"/>
      <c r="S1" s="114" t="s">
        <v>159</v>
      </c>
      <c r="T1" s="114" t="s">
        <v>73</v>
      </c>
      <c r="U1" s="134"/>
      <c r="V1" s="134"/>
      <c r="W1" s="134"/>
      <c r="X1" s="134"/>
      <c r="Y1" s="115"/>
    </row>
    <row r="2" spans="1:25" ht="22.5" customHeight="1">
      <c r="A2" s="48">
        <v>44631</v>
      </c>
      <c r="B2" s="48"/>
      <c r="C2" s="27" t="s">
        <v>160</v>
      </c>
      <c r="D2" s="27" t="s">
        <v>34</v>
      </c>
      <c r="E2" s="39">
        <v>306</v>
      </c>
      <c r="J2" s="114" t="s">
        <v>157</v>
      </c>
      <c r="K2" s="113" t="s">
        <v>160</v>
      </c>
      <c r="L2" s="135" t="s">
        <v>97</v>
      </c>
      <c r="M2" s="135" t="s">
        <v>131</v>
      </c>
      <c r="N2" s="135" t="s">
        <v>161</v>
      </c>
      <c r="O2" s="135" t="s">
        <v>162</v>
      </c>
      <c r="P2" s="125" t="s">
        <v>48</v>
      </c>
      <c r="S2" s="114" t="s">
        <v>155</v>
      </c>
      <c r="T2" s="113" t="s">
        <v>160</v>
      </c>
      <c r="U2" s="135" t="s">
        <v>97</v>
      </c>
      <c r="V2" s="135" t="s">
        <v>131</v>
      </c>
      <c r="W2" s="135" t="s">
        <v>161</v>
      </c>
      <c r="X2" s="135" t="s">
        <v>162</v>
      </c>
      <c r="Y2" s="125" t="s">
        <v>48</v>
      </c>
    </row>
    <row r="3" spans="1:25" ht="22.5" customHeight="1">
      <c r="A3" s="48">
        <v>44741</v>
      </c>
      <c r="B3" s="48"/>
      <c r="C3" s="27" t="s">
        <v>160</v>
      </c>
      <c r="D3" s="27" t="s">
        <v>116</v>
      </c>
      <c r="E3" s="39">
        <v>72.599999999999994</v>
      </c>
      <c r="J3" s="113" t="s">
        <v>21</v>
      </c>
      <c r="K3" s="117"/>
      <c r="L3" s="137"/>
      <c r="M3" s="137">
        <v>10</v>
      </c>
      <c r="N3" s="137">
        <v>10</v>
      </c>
      <c r="O3" s="137"/>
      <c r="P3" s="127">
        <v>20</v>
      </c>
      <c r="S3" s="126">
        <v>44631</v>
      </c>
      <c r="T3" s="117">
        <v>306</v>
      </c>
      <c r="U3" s="137"/>
      <c r="V3" s="137"/>
      <c r="W3" s="137"/>
      <c r="X3" s="137"/>
      <c r="Y3" s="127">
        <v>306</v>
      </c>
    </row>
    <row r="4" spans="1:25" ht="22.5" customHeight="1">
      <c r="A4" s="48">
        <v>44750</v>
      </c>
      <c r="B4" s="48"/>
      <c r="C4" s="27" t="s">
        <v>160</v>
      </c>
      <c r="D4" s="27" t="s">
        <v>163</v>
      </c>
      <c r="E4" s="39">
        <v>36</v>
      </c>
      <c r="J4" s="119" t="s">
        <v>164</v>
      </c>
      <c r="K4" s="120"/>
      <c r="L4" s="139">
        <v>137.5</v>
      </c>
      <c r="M4" s="139"/>
      <c r="N4" s="139"/>
      <c r="O4" s="139"/>
      <c r="P4" s="129">
        <v>137.5</v>
      </c>
      <c r="S4" s="128">
        <v>44741</v>
      </c>
      <c r="T4" s="120">
        <v>72.599999999999994</v>
      </c>
      <c r="U4" s="139"/>
      <c r="V4" s="139"/>
      <c r="W4" s="139"/>
      <c r="X4" s="139"/>
      <c r="Y4" s="129">
        <v>72.599999999999994</v>
      </c>
    </row>
    <row r="5" spans="1:25" ht="22.5" customHeight="1">
      <c r="A5" s="48">
        <v>44775</v>
      </c>
      <c r="B5" s="48"/>
      <c r="C5" s="27" t="s">
        <v>160</v>
      </c>
      <c r="D5" s="27" t="s">
        <v>34</v>
      </c>
      <c r="E5" s="39">
        <v>170</v>
      </c>
      <c r="J5" s="119" t="s">
        <v>22</v>
      </c>
      <c r="K5" s="120"/>
      <c r="L5" s="139"/>
      <c r="M5" s="139">
        <v>1518</v>
      </c>
      <c r="N5" s="139"/>
      <c r="O5" s="139">
        <v>1500</v>
      </c>
      <c r="P5" s="129">
        <v>3018</v>
      </c>
      <c r="S5" s="128">
        <v>44750</v>
      </c>
      <c r="T5" s="120">
        <v>36</v>
      </c>
      <c r="U5" s="139"/>
      <c r="V5" s="139"/>
      <c r="W5" s="139"/>
      <c r="X5" s="139"/>
      <c r="Y5" s="129">
        <v>36</v>
      </c>
    </row>
    <row r="6" spans="1:25" ht="22.5" customHeight="1">
      <c r="A6" s="48">
        <v>44799</v>
      </c>
      <c r="B6" s="48"/>
      <c r="C6" s="27" t="s">
        <v>160</v>
      </c>
      <c r="D6" s="27" t="s">
        <v>163</v>
      </c>
      <c r="E6" s="39">
        <v>20.25</v>
      </c>
      <c r="J6" s="119" t="s">
        <v>163</v>
      </c>
      <c r="K6" s="120">
        <v>173.25</v>
      </c>
      <c r="L6" s="139"/>
      <c r="M6" s="139"/>
      <c r="N6" s="139"/>
      <c r="O6" s="139"/>
      <c r="P6" s="129">
        <v>173.25</v>
      </c>
      <c r="S6" s="128">
        <v>44775</v>
      </c>
      <c r="T6" s="120">
        <v>170</v>
      </c>
      <c r="U6" s="139"/>
      <c r="V6" s="139"/>
      <c r="W6" s="139"/>
      <c r="X6" s="139"/>
      <c r="Y6" s="129">
        <v>170</v>
      </c>
    </row>
    <row r="7" spans="1:25" ht="22.5" customHeight="1">
      <c r="A7" s="48">
        <v>44867</v>
      </c>
      <c r="B7" s="48"/>
      <c r="C7" s="27" t="s">
        <v>160</v>
      </c>
      <c r="D7" s="27" t="s">
        <v>34</v>
      </c>
      <c r="E7" s="39">
        <v>170</v>
      </c>
      <c r="J7" s="119" t="s">
        <v>165</v>
      </c>
      <c r="K7" s="120"/>
      <c r="L7" s="139">
        <v>7</v>
      </c>
      <c r="M7" s="139"/>
      <c r="N7" s="139"/>
      <c r="O7" s="139"/>
      <c r="P7" s="129">
        <v>7</v>
      </c>
      <c r="S7" s="128">
        <v>44799</v>
      </c>
      <c r="T7" s="120">
        <v>20.25</v>
      </c>
      <c r="U7" s="139"/>
      <c r="V7" s="139"/>
      <c r="W7" s="139"/>
      <c r="X7" s="139"/>
      <c r="Y7" s="129">
        <v>20.25</v>
      </c>
    </row>
    <row r="8" spans="1:25" ht="22.5" customHeight="1">
      <c r="A8" s="48">
        <v>44893</v>
      </c>
      <c r="B8" s="48"/>
      <c r="C8" s="27" t="s">
        <v>160</v>
      </c>
      <c r="D8" s="27" t="s">
        <v>163</v>
      </c>
      <c r="E8" s="39">
        <v>25.5</v>
      </c>
      <c r="J8" s="119" t="s">
        <v>166</v>
      </c>
      <c r="K8" s="120"/>
      <c r="L8" s="139">
        <v>34</v>
      </c>
      <c r="M8" s="139"/>
      <c r="N8" s="139"/>
      <c r="O8" s="139"/>
      <c r="P8" s="129">
        <v>34</v>
      </c>
      <c r="S8" s="128">
        <v>44867</v>
      </c>
      <c r="T8" s="120">
        <v>170</v>
      </c>
      <c r="U8" s="139"/>
      <c r="V8" s="139"/>
      <c r="W8" s="139"/>
      <c r="X8" s="139"/>
      <c r="Y8" s="129">
        <v>170</v>
      </c>
    </row>
    <row r="9" spans="1:25" ht="22.5" customHeight="1">
      <c r="A9" s="48">
        <v>44958</v>
      </c>
      <c r="B9" s="48"/>
      <c r="C9" s="27" t="s">
        <v>160</v>
      </c>
      <c r="D9" s="27" t="s">
        <v>34</v>
      </c>
      <c r="E9" s="39">
        <v>170</v>
      </c>
      <c r="J9" s="119" t="s">
        <v>38</v>
      </c>
      <c r="K9" s="120"/>
      <c r="L9" s="139"/>
      <c r="M9" s="139">
        <v>685</v>
      </c>
      <c r="N9" s="139">
        <v>808</v>
      </c>
      <c r="O9" s="139"/>
      <c r="P9" s="129">
        <v>1493</v>
      </c>
      <c r="S9" s="128">
        <v>44893</v>
      </c>
      <c r="T9" s="120">
        <v>25.5</v>
      </c>
      <c r="U9" s="139"/>
      <c r="V9" s="139"/>
      <c r="W9" s="139"/>
      <c r="X9" s="139"/>
      <c r="Y9" s="129">
        <v>25.5</v>
      </c>
    </row>
    <row r="10" spans="1:25" ht="22.5" customHeight="1">
      <c r="A10" s="48">
        <v>44981</v>
      </c>
      <c r="B10" s="48"/>
      <c r="C10" s="27" t="s">
        <v>160</v>
      </c>
      <c r="D10" s="27" t="s">
        <v>163</v>
      </c>
      <c r="E10" s="39">
        <v>31.5</v>
      </c>
      <c r="J10" s="119" t="s">
        <v>44</v>
      </c>
      <c r="K10" s="120"/>
      <c r="L10" s="139">
        <v>20</v>
      </c>
      <c r="M10" s="139"/>
      <c r="N10" s="139"/>
      <c r="O10" s="139"/>
      <c r="P10" s="129">
        <v>20</v>
      </c>
      <c r="S10" s="128">
        <v>44958</v>
      </c>
      <c r="T10" s="120">
        <v>170</v>
      </c>
      <c r="U10" s="139"/>
      <c r="V10" s="139"/>
      <c r="W10" s="139"/>
      <c r="X10" s="139"/>
      <c r="Y10" s="129">
        <v>170</v>
      </c>
    </row>
    <row r="11" spans="1:25" ht="22.5" customHeight="1">
      <c r="A11" s="48">
        <v>45055</v>
      </c>
      <c r="B11" s="48"/>
      <c r="C11" s="27" t="s">
        <v>162</v>
      </c>
      <c r="D11" s="27" t="s">
        <v>34</v>
      </c>
      <c r="E11" s="39">
        <v>198</v>
      </c>
      <c r="J11" s="119" t="s">
        <v>167</v>
      </c>
      <c r="K11" s="120"/>
      <c r="L11" s="139">
        <v>51</v>
      </c>
      <c r="M11" s="139"/>
      <c r="N11" s="139"/>
      <c r="O11" s="139"/>
      <c r="P11" s="129">
        <v>51</v>
      </c>
      <c r="S11" s="128">
        <v>44981</v>
      </c>
      <c r="T11" s="120">
        <v>31.5</v>
      </c>
      <c r="U11" s="139"/>
      <c r="V11" s="139"/>
      <c r="W11" s="139"/>
      <c r="X11" s="139"/>
      <c r="Y11" s="129">
        <v>31.5</v>
      </c>
    </row>
    <row r="12" spans="1:25" ht="22.5" customHeight="1">
      <c r="A12" s="48">
        <v>45055</v>
      </c>
      <c r="B12" s="48"/>
      <c r="C12" s="27" t="s">
        <v>160</v>
      </c>
      <c r="D12" s="27" t="s">
        <v>34</v>
      </c>
      <c r="E12" s="39">
        <v>306</v>
      </c>
      <c r="J12" s="119" t="s">
        <v>168</v>
      </c>
      <c r="K12" s="120"/>
      <c r="L12" s="139"/>
      <c r="M12" s="139">
        <v>200</v>
      </c>
      <c r="N12" s="139"/>
      <c r="O12" s="139"/>
      <c r="P12" s="129">
        <v>200</v>
      </c>
      <c r="S12" s="128">
        <v>45055</v>
      </c>
      <c r="T12" s="120">
        <v>306</v>
      </c>
      <c r="U12" s="139"/>
      <c r="V12" s="139"/>
      <c r="W12" s="139"/>
      <c r="X12" s="139">
        <v>198</v>
      </c>
      <c r="Y12" s="129">
        <v>504</v>
      </c>
    </row>
    <row r="13" spans="1:25" ht="22.5" customHeight="1">
      <c r="A13" s="48">
        <v>45085</v>
      </c>
      <c r="B13" s="48"/>
      <c r="C13" s="27" t="s">
        <v>160</v>
      </c>
      <c r="D13" s="27" t="s">
        <v>116</v>
      </c>
      <c r="E13" s="39">
        <v>101.4</v>
      </c>
      <c r="J13" s="119" t="s">
        <v>133</v>
      </c>
      <c r="K13" s="120"/>
      <c r="L13" s="139"/>
      <c r="M13" s="139">
        <v>100</v>
      </c>
      <c r="N13" s="139"/>
      <c r="O13" s="139"/>
      <c r="P13" s="129">
        <v>100</v>
      </c>
      <c r="S13" s="128">
        <v>45085</v>
      </c>
      <c r="T13" s="120">
        <v>101.4</v>
      </c>
      <c r="U13" s="139"/>
      <c r="V13" s="139"/>
      <c r="W13" s="139"/>
      <c r="X13" s="139"/>
      <c r="Y13" s="129">
        <v>101.4</v>
      </c>
    </row>
    <row r="14" spans="1:25" ht="22.5" customHeight="1">
      <c r="A14" s="48">
        <v>45098</v>
      </c>
      <c r="B14" s="48"/>
      <c r="C14" s="27" t="s">
        <v>131</v>
      </c>
      <c r="D14" s="27" t="s">
        <v>68</v>
      </c>
      <c r="E14" s="39">
        <v>54</v>
      </c>
      <c r="J14" s="119" t="s">
        <v>34</v>
      </c>
      <c r="K14" s="120">
        <v>2414</v>
      </c>
      <c r="L14" s="139"/>
      <c r="M14" s="139"/>
      <c r="N14" s="139"/>
      <c r="O14" s="139">
        <v>572</v>
      </c>
      <c r="P14" s="129">
        <v>2986</v>
      </c>
      <c r="S14" s="128">
        <v>45091</v>
      </c>
      <c r="T14" s="120"/>
      <c r="U14" s="139"/>
      <c r="V14" s="139"/>
      <c r="W14" s="139">
        <v>11.3</v>
      </c>
      <c r="X14" s="139"/>
      <c r="Y14" s="129">
        <v>11.3</v>
      </c>
    </row>
    <row r="15" spans="1:25" ht="22.5" customHeight="1">
      <c r="A15" s="48">
        <v>45099</v>
      </c>
      <c r="B15" s="48"/>
      <c r="C15" s="27" t="s">
        <v>97</v>
      </c>
      <c r="D15" s="27" t="s">
        <v>69</v>
      </c>
      <c r="E15" s="39">
        <v>144</v>
      </c>
      <c r="J15" s="119" t="s">
        <v>23</v>
      </c>
      <c r="K15" s="120"/>
      <c r="L15" s="139">
        <v>195.5</v>
      </c>
      <c r="M15" s="139"/>
      <c r="N15" s="139"/>
      <c r="O15" s="139">
        <v>171</v>
      </c>
      <c r="P15" s="129">
        <v>366.5</v>
      </c>
      <c r="S15" s="128">
        <v>45098</v>
      </c>
      <c r="T15" s="120"/>
      <c r="U15" s="139"/>
      <c r="V15" s="139">
        <v>54</v>
      </c>
      <c r="W15" s="139"/>
      <c r="X15" s="139"/>
      <c r="Y15" s="129">
        <v>54</v>
      </c>
    </row>
    <row r="16" spans="1:25" ht="22.5" customHeight="1">
      <c r="A16" s="48">
        <v>45107</v>
      </c>
      <c r="B16" s="48"/>
      <c r="C16" s="27" t="s">
        <v>162</v>
      </c>
      <c r="D16" s="27" t="s">
        <v>56</v>
      </c>
      <c r="E16" s="39">
        <v>262.5</v>
      </c>
      <c r="J16" s="119" t="s">
        <v>110</v>
      </c>
      <c r="K16" s="120">
        <v>22</v>
      </c>
      <c r="L16" s="139">
        <v>60</v>
      </c>
      <c r="M16" s="139"/>
      <c r="N16" s="139"/>
      <c r="O16" s="139"/>
      <c r="P16" s="129">
        <v>82</v>
      </c>
      <c r="S16" s="128">
        <v>45099</v>
      </c>
      <c r="T16" s="120"/>
      <c r="U16" s="139">
        <v>144</v>
      </c>
      <c r="V16" s="139"/>
      <c r="W16" s="139"/>
      <c r="X16" s="139"/>
      <c r="Y16" s="129">
        <v>144</v>
      </c>
    </row>
    <row r="17" spans="1:25" ht="22.5" customHeight="1">
      <c r="A17" s="48">
        <v>45107</v>
      </c>
      <c r="B17" s="48">
        <v>45126</v>
      </c>
      <c r="C17" s="27" t="s">
        <v>97</v>
      </c>
      <c r="D17" s="27" t="s">
        <v>164</v>
      </c>
      <c r="E17" s="39">
        <v>137.5</v>
      </c>
      <c r="J17" s="119" t="s">
        <v>53</v>
      </c>
      <c r="K17" s="120"/>
      <c r="L17" s="139">
        <v>35</v>
      </c>
      <c r="M17" s="139"/>
      <c r="N17" s="139"/>
      <c r="O17" s="139"/>
      <c r="P17" s="129">
        <v>35</v>
      </c>
      <c r="S17" s="128">
        <v>45107</v>
      </c>
      <c r="T17" s="120"/>
      <c r="U17" s="139">
        <v>137.5</v>
      </c>
      <c r="V17" s="139"/>
      <c r="W17" s="139"/>
      <c r="X17" s="139">
        <v>262.5</v>
      </c>
      <c r="Y17" s="129">
        <v>400</v>
      </c>
    </row>
    <row r="18" spans="1:25" ht="22.5" customHeight="1">
      <c r="A18" s="48">
        <v>45139</v>
      </c>
      <c r="B18" s="48"/>
      <c r="C18" s="27" t="s">
        <v>162</v>
      </c>
      <c r="D18" s="27" t="s">
        <v>34</v>
      </c>
      <c r="E18" s="39">
        <v>110</v>
      </c>
      <c r="J18" s="119" t="s">
        <v>41</v>
      </c>
      <c r="K18" s="120"/>
      <c r="L18" s="139"/>
      <c r="M18" s="139">
        <v>200</v>
      </c>
      <c r="N18" s="139">
        <v>160</v>
      </c>
      <c r="O18" s="139">
        <v>176</v>
      </c>
      <c r="P18" s="129">
        <v>536</v>
      </c>
      <c r="S18" s="128">
        <v>45117</v>
      </c>
      <c r="T18" s="120"/>
      <c r="U18" s="139"/>
      <c r="V18" s="139"/>
      <c r="W18" s="139">
        <v>363.6</v>
      </c>
      <c r="X18" s="139"/>
      <c r="Y18" s="129">
        <v>363.6</v>
      </c>
    </row>
    <row r="19" spans="1:25" ht="22.5" customHeight="1">
      <c r="A19" s="48">
        <v>45139</v>
      </c>
      <c r="B19" s="48"/>
      <c r="C19" s="27" t="s">
        <v>160</v>
      </c>
      <c r="D19" s="27" t="s">
        <v>34</v>
      </c>
      <c r="E19" s="39">
        <v>170</v>
      </c>
      <c r="J19" s="119" t="s">
        <v>169</v>
      </c>
      <c r="K19" s="120"/>
      <c r="L19" s="139">
        <v>24</v>
      </c>
      <c r="M19" s="139"/>
      <c r="N19" s="139"/>
      <c r="O19" s="139"/>
      <c r="P19" s="129">
        <v>24</v>
      </c>
      <c r="S19" s="128">
        <v>45128</v>
      </c>
      <c r="T19" s="120"/>
      <c r="U19" s="139">
        <v>34</v>
      </c>
      <c r="V19" s="139"/>
      <c r="W19" s="139"/>
      <c r="X19" s="139"/>
      <c r="Y19" s="129">
        <v>34</v>
      </c>
    </row>
    <row r="20" spans="1:25" ht="22.5" customHeight="1">
      <c r="A20" s="48">
        <v>45128</v>
      </c>
      <c r="B20" s="48">
        <v>45149</v>
      </c>
      <c r="C20" s="27" t="s">
        <v>97</v>
      </c>
      <c r="D20" s="27" t="s">
        <v>166</v>
      </c>
      <c r="E20" s="39">
        <v>34</v>
      </c>
      <c r="J20" s="119" t="s">
        <v>35</v>
      </c>
      <c r="K20" s="120"/>
      <c r="L20" s="139"/>
      <c r="M20" s="139">
        <v>80</v>
      </c>
      <c r="N20" s="139">
        <v>49.5</v>
      </c>
      <c r="O20" s="139">
        <v>99</v>
      </c>
      <c r="P20" s="129">
        <v>228.5</v>
      </c>
      <c r="S20" s="128">
        <v>45139</v>
      </c>
      <c r="T20" s="120">
        <v>170</v>
      </c>
      <c r="U20" s="139"/>
      <c r="V20" s="139"/>
      <c r="W20" s="139"/>
      <c r="X20" s="139">
        <v>110</v>
      </c>
      <c r="Y20" s="129">
        <v>280</v>
      </c>
    </row>
    <row r="21" spans="1:25" ht="22.5" customHeight="1">
      <c r="A21" s="48">
        <v>45149</v>
      </c>
      <c r="B21" s="48"/>
      <c r="C21" s="27" t="s">
        <v>131</v>
      </c>
      <c r="D21" s="27" t="s">
        <v>147</v>
      </c>
      <c r="E21" s="39">
        <v>8</v>
      </c>
      <c r="J21" s="119" t="s">
        <v>170</v>
      </c>
      <c r="K21" s="120"/>
      <c r="L21" s="139">
        <v>146</v>
      </c>
      <c r="M21" s="139"/>
      <c r="N21" s="139"/>
      <c r="O21" s="139"/>
      <c r="P21" s="129">
        <v>146</v>
      </c>
      <c r="S21" s="128">
        <v>45140</v>
      </c>
      <c r="T21" s="120"/>
      <c r="U21" s="139"/>
      <c r="V21" s="139"/>
      <c r="W21" s="139">
        <v>10</v>
      </c>
      <c r="X21" s="139"/>
      <c r="Y21" s="129">
        <v>10</v>
      </c>
    </row>
    <row r="22" spans="1:25" ht="22.5" customHeight="1">
      <c r="A22" s="48">
        <v>45149</v>
      </c>
      <c r="B22" s="48"/>
      <c r="C22" s="27" t="s">
        <v>131</v>
      </c>
      <c r="D22" s="27" t="s">
        <v>168</v>
      </c>
      <c r="E22" s="39">
        <v>100</v>
      </c>
      <c r="J22" s="119" t="s">
        <v>171</v>
      </c>
      <c r="K22" s="120"/>
      <c r="L22" s="139">
        <v>6</v>
      </c>
      <c r="M22" s="139"/>
      <c r="N22" s="139"/>
      <c r="O22" s="139"/>
      <c r="P22" s="129">
        <v>6</v>
      </c>
      <c r="S22" s="128">
        <v>45149</v>
      </c>
      <c r="T22" s="120"/>
      <c r="U22" s="139"/>
      <c r="V22" s="139">
        <v>108</v>
      </c>
      <c r="W22" s="139"/>
      <c r="X22" s="139"/>
      <c r="Y22" s="129">
        <v>108</v>
      </c>
    </row>
    <row r="23" spans="1:25" ht="22.5" customHeight="1">
      <c r="A23" s="48">
        <v>45152</v>
      </c>
      <c r="B23" s="48"/>
      <c r="C23" s="27" t="s">
        <v>162</v>
      </c>
      <c r="D23" s="27" t="s">
        <v>23</v>
      </c>
      <c r="E23" s="39">
        <v>171</v>
      </c>
      <c r="J23" s="119" t="s">
        <v>59</v>
      </c>
      <c r="K23" s="120"/>
      <c r="L23" s="139"/>
      <c r="M23" s="139">
        <v>140</v>
      </c>
      <c r="N23" s="139"/>
      <c r="O23" s="139"/>
      <c r="P23" s="129">
        <v>140</v>
      </c>
      <c r="S23" s="128">
        <v>45152</v>
      </c>
      <c r="T23" s="120"/>
      <c r="U23" s="139"/>
      <c r="V23" s="139"/>
      <c r="W23" s="139"/>
      <c r="X23" s="139">
        <v>171</v>
      </c>
      <c r="Y23" s="129">
        <v>171</v>
      </c>
    </row>
    <row r="24" spans="1:25" ht="22.5" customHeight="1">
      <c r="A24" s="48">
        <v>45163</v>
      </c>
      <c r="B24" s="48"/>
      <c r="C24" s="27" t="s">
        <v>160</v>
      </c>
      <c r="D24" s="27" t="s">
        <v>163</v>
      </c>
      <c r="E24" s="39">
        <v>24</v>
      </c>
      <c r="J24" s="119" t="s">
        <v>64</v>
      </c>
      <c r="K24" s="120"/>
      <c r="L24" s="139"/>
      <c r="M24" s="139">
        <v>30</v>
      </c>
      <c r="N24" s="139"/>
      <c r="O24" s="139"/>
      <c r="P24" s="129">
        <v>30</v>
      </c>
      <c r="S24" s="128">
        <v>45163</v>
      </c>
      <c r="T24" s="120">
        <v>24</v>
      </c>
      <c r="U24" s="139"/>
      <c r="V24" s="139"/>
      <c r="W24" s="139"/>
      <c r="X24" s="139"/>
      <c r="Y24" s="129">
        <v>24</v>
      </c>
    </row>
    <row r="25" spans="1:25" ht="22.5" customHeight="1">
      <c r="A25" s="48">
        <v>45166</v>
      </c>
      <c r="B25" s="48"/>
      <c r="C25" s="27" t="s">
        <v>131</v>
      </c>
      <c r="D25" s="27" t="s">
        <v>133</v>
      </c>
      <c r="E25" s="39">
        <v>100</v>
      </c>
      <c r="J25" s="119" t="s">
        <v>55</v>
      </c>
      <c r="K25" s="120"/>
      <c r="L25" s="139"/>
      <c r="M25" s="139"/>
      <c r="N25" s="139"/>
      <c r="O25" s="139">
        <v>126.75</v>
      </c>
      <c r="P25" s="129">
        <v>126.75</v>
      </c>
      <c r="S25" s="128">
        <v>45166</v>
      </c>
      <c r="T25" s="120"/>
      <c r="U25" s="139"/>
      <c r="V25" s="139">
        <v>163</v>
      </c>
      <c r="W25" s="139"/>
      <c r="X25" s="139"/>
      <c r="Y25" s="129">
        <v>163</v>
      </c>
    </row>
    <row r="26" spans="1:25" ht="22.5" customHeight="1">
      <c r="A26" s="48">
        <v>45166</v>
      </c>
      <c r="B26" s="48"/>
      <c r="C26" s="27" t="s">
        <v>131</v>
      </c>
      <c r="D26" s="27" t="s">
        <v>39</v>
      </c>
      <c r="E26" s="39">
        <v>63</v>
      </c>
      <c r="J26" s="119" t="s">
        <v>39</v>
      </c>
      <c r="K26" s="120"/>
      <c r="L26" s="139"/>
      <c r="M26" s="139">
        <v>133</v>
      </c>
      <c r="N26" s="139"/>
      <c r="O26" s="139"/>
      <c r="P26" s="129">
        <v>133</v>
      </c>
      <c r="S26" s="128">
        <v>45167</v>
      </c>
      <c r="T26" s="120">
        <v>36</v>
      </c>
      <c r="U26" s="139"/>
      <c r="V26" s="139"/>
      <c r="W26" s="139"/>
      <c r="X26" s="139"/>
      <c r="Y26" s="129">
        <v>36</v>
      </c>
    </row>
    <row r="27" spans="1:25" ht="22.5" customHeight="1">
      <c r="A27" s="48">
        <v>45167</v>
      </c>
      <c r="B27" s="48"/>
      <c r="C27" s="27" t="s">
        <v>160</v>
      </c>
      <c r="D27" s="27" t="s">
        <v>163</v>
      </c>
      <c r="E27" s="39">
        <v>36</v>
      </c>
      <c r="J27" s="119" t="s">
        <v>65</v>
      </c>
      <c r="K27" s="120"/>
      <c r="L27" s="139">
        <v>40</v>
      </c>
      <c r="M27" s="139"/>
      <c r="N27" s="139"/>
      <c r="O27" s="139"/>
      <c r="P27" s="129">
        <v>40</v>
      </c>
      <c r="S27" s="128">
        <v>45170</v>
      </c>
      <c r="T27" s="120"/>
      <c r="U27" s="139"/>
      <c r="V27" s="139"/>
      <c r="W27" s="139">
        <v>160</v>
      </c>
      <c r="X27" s="139">
        <v>176</v>
      </c>
      <c r="Y27" s="129">
        <v>336</v>
      </c>
    </row>
    <row r="28" spans="1:25" ht="22.5" customHeight="1">
      <c r="A28" s="48">
        <v>45170</v>
      </c>
      <c r="B28" s="48"/>
      <c r="C28" s="27" t="s">
        <v>162</v>
      </c>
      <c r="D28" s="27" t="s">
        <v>41</v>
      </c>
      <c r="E28" s="39">
        <v>176</v>
      </c>
      <c r="J28" s="119" t="s">
        <v>172</v>
      </c>
      <c r="K28" s="120"/>
      <c r="L28" s="139"/>
      <c r="M28" s="139"/>
      <c r="N28" s="139">
        <v>11.3</v>
      </c>
      <c r="O28" s="139"/>
      <c r="P28" s="129">
        <v>11.3</v>
      </c>
      <c r="S28" s="128">
        <v>45174</v>
      </c>
      <c r="T28" s="120"/>
      <c r="U28" s="139"/>
      <c r="V28" s="139">
        <v>132</v>
      </c>
      <c r="W28" s="139"/>
      <c r="X28" s="139">
        <v>240</v>
      </c>
      <c r="Y28" s="129">
        <v>372</v>
      </c>
    </row>
    <row r="29" spans="1:25" ht="22.5" customHeight="1">
      <c r="A29" s="48">
        <v>45174</v>
      </c>
      <c r="B29" s="48"/>
      <c r="C29" s="27" t="s">
        <v>162</v>
      </c>
      <c r="D29" s="27" t="s">
        <v>22</v>
      </c>
      <c r="E29" s="39">
        <v>240</v>
      </c>
      <c r="J29" s="119" t="s">
        <v>66</v>
      </c>
      <c r="K29" s="120"/>
      <c r="L29" s="139"/>
      <c r="M29" s="139">
        <v>13.7</v>
      </c>
      <c r="N29" s="139"/>
      <c r="O29" s="139"/>
      <c r="P29" s="129">
        <v>13.7</v>
      </c>
      <c r="S29" s="128">
        <v>45187</v>
      </c>
      <c r="T29" s="120"/>
      <c r="U29" s="139"/>
      <c r="V29" s="139"/>
      <c r="W29" s="139">
        <v>154</v>
      </c>
      <c r="X29" s="139">
        <v>44</v>
      </c>
      <c r="Y29" s="129">
        <v>198</v>
      </c>
    </row>
    <row r="30" spans="1:25" ht="22.5" customHeight="1">
      <c r="A30" s="48">
        <v>45174</v>
      </c>
      <c r="B30" s="48"/>
      <c r="C30" s="27" t="s">
        <v>131</v>
      </c>
      <c r="D30" s="27" t="s">
        <v>22</v>
      </c>
      <c r="E30" s="39">
        <v>132</v>
      </c>
      <c r="J30" s="119" t="s">
        <v>56</v>
      </c>
      <c r="K30" s="120"/>
      <c r="L30" s="139">
        <v>60</v>
      </c>
      <c r="M30" s="139"/>
      <c r="N30" s="139"/>
      <c r="O30" s="139">
        <v>262.5</v>
      </c>
      <c r="P30" s="129">
        <v>322.5</v>
      </c>
      <c r="S30" s="128">
        <v>45194</v>
      </c>
      <c r="T30" s="120"/>
      <c r="U30" s="139"/>
      <c r="V30" s="139"/>
      <c r="W30" s="139"/>
      <c r="X30" s="139">
        <v>78.75</v>
      </c>
      <c r="Y30" s="129">
        <v>78.75</v>
      </c>
    </row>
    <row r="31" spans="1:25" ht="22.5" customHeight="1">
      <c r="A31" s="48">
        <v>45187</v>
      </c>
      <c r="B31" s="48"/>
      <c r="C31" s="27" t="s">
        <v>162</v>
      </c>
      <c r="D31" s="27" t="s">
        <v>35</v>
      </c>
      <c r="E31" s="39">
        <v>44</v>
      </c>
      <c r="J31" s="119" t="s">
        <v>116</v>
      </c>
      <c r="K31" s="120">
        <v>267</v>
      </c>
      <c r="L31" s="139"/>
      <c r="M31" s="139"/>
      <c r="N31" s="139"/>
      <c r="O31" s="139"/>
      <c r="P31" s="129">
        <v>267</v>
      </c>
      <c r="S31" s="128">
        <v>45218</v>
      </c>
      <c r="T31" s="120"/>
      <c r="U31" s="139">
        <v>99</v>
      </c>
      <c r="V31" s="139"/>
      <c r="W31" s="139"/>
      <c r="X31" s="139"/>
      <c r="Y31" s="129">
        <v>99</v>
      </c>
    </row>
    <row r="32" spans="1:25" ht="22.5" customHeight="1">
      <c r="A32" s="48">
        <v>45194</v>
      </c>
      <c r="B32" s="48"/>
      <c r="C32" s="27" t="s">
        <v>162</v>
      </c>
      <c r="D32" s="27" t="s">
        <v>55</v>
      </c>
      <c r="E32" s="39">
        <v>78.75</v>
      </c>
      <c r="J32" s="119" t="s">
        <v>147</v>
      </c>
      <c r="K32" s="120"/>
      <c r="L32" s="139"/>
      <c r="M32" s="139">
        <v>122</v>
      </c>
      <c r="N32" s="139"/>
      <c r="O32" s="139"/>
      <c r="P32" s="129">
        <v>122</v>
      </c>
      <c r="S32" s="128">
        <v>45230</v>
      </c>
      <c r="T32" s="120">
        <v>204</v>
      </c>
      <c r="U32" s="139"/>
      <c r="V32" s="139"/>
      <c r="W32" s="139"/>
      <c r="X32" s="139">
        <v>132</v>
      </c>
      <c r="Y32" s="129">
        <v>336</v>
      </c>
    </row>
    <row r="33" spans="1:25" ht="22.5" customHeight="1">
      <c r="A33" s="48">
        <v>45230</v>
      </c>
      <c r="B33" s="48"/>
      <c r="C33" s="27" t="s">
        <v>162</v>
      </c>
      <c r="D33" s="27" t="s">
        <v>34</v>
      </c>
      <c r="E33" s="39">
        <v>132</v>
      </c>
      <c r="J33" s="119" t="s">
        <v>68</v>
      </c>
      <c r="K33" s="120"/>
      <c r="L33" s="139"/>
      <c r="M33" s="139">
        <v>108</v>
      </c>
      <c r="N33" s="139"/>
      <c r="O33" s="139"/>
      <c r="P33" s="129">
        <v>108</v>
      </c>
      <c r="S33" s="128">
        <v>45253</v>
      </c>
      <c r="T33" s="120"/>
      <c r="U33" s="139"/>
      <c r="V33" s="139"/>
      <c r="W33" s="139"/>
      <c r="X33" s="139">
        <v>48</v>
      </c>
      <c r="Y33" s="129">
        <v>48</v>
      </c>
    </row>
    <row r="34" spans="1:25" ht="22.5" customHeight="1">
      <c r="A34" s="48">
        <v>45230</v>
      </c>
      <c r="B34" s="48"/>
      <c r="C34" s="27" t="s">
        <v>160</v>
      </c>
      <c r="D34" s="27" t="s">
        <v>34</v>
      </c>
      <c r="E34" s="39">
        <v>204</v>
      </c>
      <c r="J34" s="119" t="s">
        <v>69</v>
      </c>
      <c r="K34" s="120">
        <v>32.4</v>
      </c>
      <c r="L34" s="139">
        <v>288</v>
      </c>
      <c r="M34" s="139">
        <v>381.6</v>
      </c>
      <c r="N34" s="139">
        <v>363.6</v>
      </c>
      <c r="O34" s="139"/>
      <c r="P34" s="129">
        <v>1065.5999999999999</v>
      </c>
      <c r="S34" s="128">
        <v>45261</v>
      </c>
      <c r="T34" s="120"/>
      <c r="U34" s="139"/>
      <c r="V34" s="139"/>
      <c r="W34" s="139">
        <v>27.5</v>
      </c>
      <c r="X34" s="139">
        <v>55</v>
      </c>
      <c r="Y34" s="129">
        <v>82.5</v>
      </c>
    </row>
    <row r="35" spans="1:25" ht="22.5" customHeight="1">
      <c r="A35" s="48">
        <v>45218</v>
      </c>
      <c r="B35" s="48">
        <v>45237</v>
      </c>
      <c r="C35" s="27" t="s">
        <v>97</v>
      </c>
      <c r="D35" s="27" t="s">
        <v>173</v>
      </c>
      <c r="E35" s="39">
        <v>99</v>
      </c>
      <c r="J35" s="119" t="s">
        <v>70</v>
      </c>
      <c r="K35" s="120"/>
      <c r="L35" s="139"/>
      <c r="M35" s="139">
        <v>201</v>
      </c>
      <c r="N35" s="139"/>
      <c r="O35" s="139"/>
      <c r="P35" s="129">
        <v>201</v>
      </c>
      <c r="S35" s="128">
        <v>45267</v>
      </c>
      <c r="T35" s="120"/>
      <c r="U35" s="139"/>
      <c r="V35" s="139"/>
      <c r="W35" s="139">
        <v>503</v>
      </c>
      <c r="X35" s="139"/>
      <c r="Y35" s="129">
        <v>503</v>
      </c>
    </row>
    <row r="36" spans="1:25" ht="22.5" customHeight="1">
      <c r="A36" s="48">
        <v>45253</v>
      </c>
      <c r="B36" s="48"/>
      <c r="C36" s="27" t="s">
        <v>162</v>
      </c>
      <c r="D36" s="27" t="s">
        <v>55</v>
      </c>
      <c r="E36" s="39">
        <v>48</v>
      </c>
      <c r="J36" s="119" t="s">
        <v>173</v>
      </c>
      <c r="K36" s="120"/>
      <c r="L36" s="139">
        <v>99</v>
      </c>
      <c r="M36" s="139"/>
      <c r="N36" s="139"/>
      <c r="O36" s="139"/>
      <c r="P36" s="129">
        <v>99</v>
      </c>
      <c r="S36" s="128">
        <v>45282</v>
      </c>
      <c r="T36" s="120"/>
      <c r="U36" s="139"/>
      <c r="V36" s="139">
        <v>693</v>
      </c>
      <c r="W36" s="139"/>
      <c r="X36" s="139">
        <v>1260</v>
      </c>
      <c r="Y36" s="129">
        <v>1953</v>
      </c>
    </row>
    <row r="37" spans="1:25" ht="22.5" customHeight="1">
      <c r="A37" s="48">
        <v>45261</v>
      </c>
      <c r="B37" s="48"/>
      <c r="C37" s="27" t="s">
        <v>162</v>
      </c>
      <c r="D37" s="27" t="s">
        <v>35</v>
      </c>
      <c r="E37" s="39">
        <v>55</v>
      </c>
      <c r="J37" s="119" t="s">
        <v>51</v>
      </c>
      <c r="K37" s="120"/>
      <c r="L37" s="139"/>
      <c r="M37" s="139">
        <v>18</v>
      </c>
      <c r="N37" s="139"/>
      <c r="O37" s="139"/>
      <c r="P37" s="129">
        <v>18</v>
      </c>
      <c r="S37" s="128">
        <v>45322</v>
      </c>
      <c r="T37" s="120">
        <v>204</v>
      </c>
      <c r="U37" s="139"/>
      <c r="V37" s="139"/>
      <c r="W37" s="139"/>
      <c r="X37" s="139">
        <v>132</v>
      </c>
      <c r="Y37" s="129">
        <v>336</v>
      </c>
    </row>
    <row r="38" spans="1:25" ht="22.5" customHeight="1">
      <c r="A38" s="48">
        <v>45282</v>
      </c>
      <c r="B38" s="48"/>
      <c r="C38" s="27" t="s">
        <v>162</v>
      </c>
      <c r="D38" s="27" t="s">
        <v>22</v>
      </c>
      <c r="E38" s="39">
        <v>1260</v>
      </c>
      <c r="J38" s="122" t="s">
        <v>48</v>
      </c>
      <c r="K38" s="123">
        <v>2908.65</v>
      </c>
      <c r="L38" s="141">
        <v>1203</v>
      </c>
      <c r="M38" s="141">
        <v>3940.2999999999997</v>
      </c>
      <c r="N38" s="141">
        <v>1402.4</v>
      </c>
      <c r="O38" s="141">
        <v>2907.25</v>
      </c>
      <c r="P38" s="131">
        <v>12361.6</v>
      </c>
      <c r="S38" s="128">
        <v>45328</v>
      </c>
      <c r="T38" s="120"/>
      <c r="U38" s="139"/>
      <c r="V38" s="139">
        <v>18</v>
      </c>
      <c r="W38" s="139"/>
      <c r="X38" s="139"/>
      <c r="Y38" s="129">
        <v>18</v>
      </c>
    </row>
    <row r="39" spans="1:25" ht="22.5" customHeight="1">
      <c r="A39" s="48">
        <v>45282</v>
      </c>
      <c r="B39" s="48"/>
      <c r="C39" s="27" t="s">
        <v>131</v>
      </c>
      <c r="D39" s="27" t="s">
        <v>22</v>
      </c>
      <c r="E39" s="39">
        <v>693</v>
      </c>
      <c r="S39" s="128">
        <v>45342</v>
      </c>
      <c r="T39" s="120"/>
      <c r="U39" s="139">
        <v>20</v>
      </c>
      <c r="V39" s="139"/>
      <c r="W39" s="139"/>
      <c r="X39" s="139"/>
      <c r="Y39" s="129">
        <v>20</v>
      </c>
    </row>
    <row r="40" spans="1:25" ht="22.5" customHeight="1">
      <c r="A40" s="48">
        <v>45322</v>
      </c>
      <c r="B40" s="48"/>
      <c r="C40" s="27" t="s">
        <v>162</v>
      </c>
      <c r="D40" s="27" t="s">
        <v>34</v>
      </c>
      <c r="E40" s="39">
        <v>132</v>
      </c>
      <c r="S40" s="128">
        <v>45357</v>
      </c>
      <c r="T40" s="120"/>
      <c r="U40" s="139"/>
      <c r="V40" s="139"/>
      <c r="W40" s="139">
        <v>173</v>
      </c>
      <c r="X40" s="139"/>
      <c r="Y40" s="129">
        <v>173</v>
      </c>
    </row>
    <row r="41" spans="1:25" ht="22.5" customHeight="1">
      <c r="A41" s="48">
        <v>45322</v>
      </c>
      <c r="B41" s="48"/>
      <c r="C41" s="27" t="s">
        <v>160</v>
      </c>
      <c r="D41" s="27" t="s">
        <v>34</v>
      </c>
      <c r="E41" s="39">
        <v>204</v>
      </c>
      <c r="S41" s="128">
        <v>45422</v>
      </c>
      <c r="T41" s="120"/>
      <c r="U41" s="139">
        <v>97.5</v>
      </c>
      <c r="V41" s="139"/>
      <c r="W41" s="139"/>
      <c r="X41" s="139"/>
      <c r="Y41" s="129">
        <v>97.5</v>
      </c>
    </row>
    <row r="42" spans="1:25" ht="22.5" customHeight="1">
      <c r="A42" s="48">
        <v>45328</v>
      </c>
      <c r="B42" s="48"/>
      <c r="C42" s="27" t="s">
        <v>131</v>
      </c>
      <c r="D42" s="27" t="s">
        <v>51</v>
      </c>
      <c r="E42" s="39">
        <v>18</v>
      </c>
      <c r="S42" s="128">
        <v>45427</v>
      </c>
      <c r="T42" s="120">
        <v>306</v>
      </c>
      <c r="U42" s="139"/>
      <c r="V42" s="139"/>
      <c r="W42" s="139"/>
      <c r="X42" s="139"/>
      <c r="Y42" s="129">
        <v>306</v>
      </c>
    </row>
    <row r="43" spans="1:25" ht="22.5" customHeight="1">
      <c r="A43" s="48">
        <v>45342</v>
      </c>
      <c r="B43" s="48">
        <v>45362</v>
      </c>
      <c r="C43" s="27" t="s">
        <v>97</v>
      </c>
      <c r="D43" s="27" t="s">
        <v>65</v>
      </c>
      <c r="E43" s="39">
        <v>20</v>
      </c>
      <c r="S43" s="128">
        <v>45448</v>
      </c>
      <c r="T43" s="120"/>
      <c r="U43" s="139"/>
      <c r="V43" s="139">
        <v>13.7</v>
      </c>
      <c r="W43" s="139"/>
      <c r="X43" s="139"/>
      <c r="Y43" s="129">
        <v>13.7</v>
      </c>
    </row>
    <row r="44" spans="1:25" ht="22.5" customHeight="1">
      <c r="A44" s="48">
        <v>45422</v>
      </c>
      <c r="B44" s="48"/>
      <c r="C44" s="27" t="s">
        <v>97</v>
      </c>
      <c r="D44" s="27" t="s">
        <v>23</v>
      </c>
      <c r="E44" s="39">
        <v>97.5</v>
      </c>
      <c r="S44" s="128">
        <v>45455</v>
      </c>
      <c r="T44" s="120"/>
      <c r="U44" s="139">
        <v>60</v>
      </c>
      <c r="V44" s="139"/>
      <c r="W44" s="139"/>
      <c r="X44" s="139"/>
      <c r="Y44" s="129">
        <v>60</v>
      </c>
    </row>
    <row r="45" spans="1:25" ht="22.5" customHeight="1">
      <c r="A45" s="48">
        <v>45427</v>
      </c>
      <c r="B45" s="48"/>
      <c r="C45" s="27" t="s">
        <v>160</v>
      </c>
      <c r="D45" s="27" t="s">
        <v>34</v>
      </c>
      <c r="E45" s="39">
        <v>306</v>
      </c>
      <c r="S45" s="128">
        <v>45461</v>
      </c>
      <c r="T45" s="120">
        <v>93</v>
      </c>
      <c r="U45" s="139"/>
      <c r="V45" s="139"/>
      <c r="W45" s="139"/>
      <c r="X45" s="139"/>
      <c r="Y45" s="129">
        <v>93</v>
      </c>
    </row>
    <row r="46" spans="1:25" ht="22.5" customHeight="1">
      <c r="A46" s="48">
        <v>45455</v>
      </c>
      <c r="B46" s="48"/>
      <c r="C46" s="27" t="s">
        <v>97</v>
      </c>
      <c r="D46" s="27" t="s">
        <v>56</v>
      </c>
      <c r="E46" s="39">
        <v>60</v>
      </c>
      <c r="S46" s="128">
        <v>45464</v>
      </c>
      <c r="T46" s="120"/>
      <c r="U46" s="139">
        <v>204</v>
      </c>
      <c r="V46" s="139"/>
      <c r="W46" s="139"/>
      <c r="X46" s="139"/>
      <c r="Y46" s="129">
        <v>204</v>
      </c>
    </row>
    <row r="47" spans="1:25" ht="22.5" customHeight="1">
      <c r="A47" s="48">
        <v>45461</v>
      </c>
      <c r="B47" s="48"/>
      <c r="C47" s="27" t="s">
        <v>160</v>
      </c>
      <c r="D47" s="27" t="s">
        <v>116</v>
      </c>
      <c r="E47" s="39">
        <v>93</v>
      </c>
      <c r="S47" s="128">
        <v>45468</v>
      </c>
      <c r="T47" s="120"/>
      <c r="U47" s="139"/>
      <c r="V47" s="139">
        <v>114</v>
      </c>
      <c r="W47" s="139"/>
      <c r="X47" s="139"/>
      <c r="Y47" s="129">
        <v>114</v>
      </c>
    </row>
    <row r="48" spans="1:25" ht="22.5" customHeight="1">
      <c r="A48" s="48">
        <v>45091</v>
      </c>
      <c r="B48" s="48"/>
      <c r="C48" s="27" t="s">
        <v>161</v>
      </c>
      <c r="D48" s="27" t="s">
        <v>172</v>
      </c>
      <c r="E48" s="39">
        <v>11.3</v>
      </c>
      <c r="S48" s="128">
        <v>45469</v>
      </c>
      <c r="T48" s="120"/>
      <c r="U48" s="139"/>
      <c r="V48" s="139">
        <v>201</v>
      </c>
      <c r="W48" s="139"/>
      <c r="X48" s="139"/>
      <c r="Y48" s="129">
        <v>201</v>
      </c>
    </row>
    <row r="49" spans="1:25" ht="22.5" customHeight="1">
      <c r="A49" s="48">
        <v>45117</v>
      </c>
      <c r="B49" s="48"/>
      <c r="C49" s="27" t="s">
        <v>161</v>
      </c>
      <c r="D49" s="27" t="s">
        <v>69</v>
      </c>
      <c r="E49" s="39">
        <v>363.6</v>
      </c>
      <c r="S49" s="128">
        <v>45482</v>
      </c>
      <c r="T49" s="120"/>
      <c r="U49" s="139"/>
      <c r="V49" s="139">
        <v>140</v>
      </c>
      <c r="W49" s="139"/>
      <c r="X49" s="139"/>
      <c r="Y49" s="129">
        <v>140</v>
      </c>
    </row>
    <row r="50" spans="1:25" ht="22.5" customHeight="1">
      <c r="A50" s="48">
        <v>45140</v>
      </c>
      <c r="B50" s="48"/>
      <c r="C50" s="27" t="s">
        <v>161</v>
      </c>
      <c r="D50" s="27" t="s">
        <v>21</v>
      </c>
      <c r="E50" s="39">
        <v>10</v>
      </c>
      <c r="S50" s="128">
        <v>45489</v>
      </c>
      <c r="T50" s="120"/>
      <c r="U50" s="139"/>
      <c r="V50" s="139">
        <v>30</v>
      </c>
      <c r="W50" s="139"/>
      <c r="X50" s="139"/>
      <c r="Y50" s="129">
        <v>30</v>
      </c>
    </row>
    <row r="51" spans="1:25" ht="22.5" customHeight="1">
      <c r="A51" s="48">
        <v>45170</v>
      </c>
      <c r="B51" s="48"/>
      <c r="C51" s="27" t="s">
        <v>161</v>
      </c>
      <c r="D51" s="27" t="s">
        <v>41</v>
      </c>
      <c r="E51" s="39">
        <v>160</v>
      </c>
      <c r="S51" s="128" t="s">
        <v>276</v>
      </c>
      <c r="T51" s="120"/>
      <c r="U51" s="139"/>
      <c r="V51" s="139">
        <v>435.6</v>
      </c>
      <c r="W51" s="139"/>
      <c r="X51" s="139"/>
      <c r="Y51" s="129">
        <v>435.6</v>
      </c>
    </row>
    <row r="52" spans="1:25" ht="22.5" customHeight="1">
      <c r="A52" s="48">
        <v>45187</v>
      </c>
      <c r="B52" s="48"/>
      <c r="C52" s="27" t="s">
        <v>161</v>
      </c>
      <c r="D52" s="27" t="s">
        <v>35</v>
      </c>
      <c r="E52" s="39">
        <v>22</v>
      </c>
      <c r="S52" s="130" t="s">
        <v>48</v>
      </c>
      <c r="T52" s="123">
        <v>2446.25</v>
      </c>
      <c r="U52" s="141">
        <v>796</v>
      </c>
      <c r="V52" s="141">
        <v>2102.3000000000002</v>
      </c>
      <c r="W52" s="141">
        <v>1402.4</v>
      </c>
      <c r="X52" s="141">
        <v>2907.25</v>
      </c>
      <c r="Y52" s="131">
        <v>9654.2000000000007</v>
      </c>
    </row>
    <row r="53" spans="1:25" ht="22.5" customHeight="1">
      <c r="A53" s="48">
        <v>45187</v>
      </c>
      <c r="B53" s="48"/>
      <c r="C53" s="27" t="s">
        <v>161</v>
      </c>
      <c r="D53" s="27" t="s">
        <v>38</v>
      </c>
      <c r="E53" s="39">
        <v>132</v>
      </c>
    </row>
    <row r="54" spans="1:25" ht="22.5" customHeight="1">
      <c r="A54" s="48">
        <v>45261</v>
      </c>
      <c r="B54" s="48"/>
      <c r="C54" s="27" t="s">
        <v>161</v>
      </c>
      <c r="D54" s="27" t="s">
        <v>35</v>
      </c>
      <c r="E54" s="39">
        <v>27.5</v>
      </c>
    </row>
    <row r="55" spans="1:25" ht="22.5" customHeight="1">
      <c r="A55" s="48">
        <v>45267</v>
      </c>
      <c r="B55" s="48"/>
      <c r="C55" s="27" t="s">
        <v>161</v>
      </c>
      <c r="D55" s="27" t="s">
        <v>38</v>
      </c>
      <c r="E55" s="39">
        <v>503</v>
      </c>
    </row>
    <row r="56" spans="1:25" ht="22.5" customHeight="1">
      <c r="A56" s="48">
        <v>45357</v>
      </c>
      <c r="B56" s="48"/>
      <c r="C56" s="27" t="s">
        <v>161</v>
      </c>
      <c r="D56" s="27" t="s">
        <v>38</v>
      </c>
      <c r="E56" s="39">
        <v>173</v>
      </c>
    </row>
    <row r="57" spans="1:25" ht="22.5" customHeight="1">
      <c r="A57" s="48">
        <v>45448</v>
      </c>
      <c r="B57" s="48"/>
      <c r="C57" s="27" t="s">
        <v>131</v>
      </c>
      <c r="D57" s="27" t="s">
        <v>66</v>
      </c>
      <c r="E57" s="39">
        <v>13.7</v>
      </c>
    </row>
    <row r="58" spans="1:25" ht="22.5" customHeight="1">
      <c r="A58" s="48">
        <v>45468</v>
      </c>
      <c r="B58" s="48"/>
      <c r="C58" s="27" t="s">
        <v>131</v>
      </c>
      <c r="D58" s="27" t="s">
        <v>147</v>
      </c>
      <c r="E58" s="39">
        <v>114</v>
      </c>
    </row>
    <row r="59" spans="1:25" ht="22.5" customHeight="1">
      <c r="A59" s="48">
        <v>45469</v>
      </c>
      <c r="B59" s="48"/>
      <c r="C59" s="27" t="s">
        <v>131</v>
      </c>
      <c r="D59" s="27" t="s">
        <v>70</v>
      </c>
      <c r="E59" s="39">
        <v>201</v>
      </c>
    </row>
    <row r="60" spans="1:25" ht="22.5" customHeight="1">
      <c r="A60" s="48">
        <v>45482</v>
      </c>
      <c r="B60" s="48"/>
      <c r="C60" s="27" t="s">
        <v>131</v>
      </c>
      <c r="D60" s="27" t="s">
        <v>59</v>
      </c>
      <c r="E60" s="39">
        <v>140</v>
      </c>
    </row>
    <row r="61" spans="1:25" ht="22.5" customHeight="1">
      <c r="A61" s="48">
        <v>45489</v>
      </c>
      <c r="B61" s="48"/>
      <c r="C61" s="27" t="s">
        <v>131</v>
      </c>
      <c r="D61" s="27" t="s">
        <v>64</v>
      </c>
      <c r="E61" s="39">
        <v>30</v>
      </c>
    </row>
    <row r="62" spans="1:25" ht="22.5" customHeight="1">
      <c r="A62" s="48">
        <v>45464</v>
      </c>
      <c r="B62" s="48">
        <v>45491</v>
      </c>
      <c r="C62" s="27" t="s">
        <v>97</v>
      </c>
      <c r="D62" s="27" t="s">
        <v>110</v>
      </c>
      <c r="E62" s="39">
        <v>60</v>
      </c>
    </row>
    <row r="63" spans="1:25" ht="22.5" customHeight="1">
      <c r="A63" s="48"/>
      <c r="B63" s="48">
        <v>45491</v>
      </c>
      <c r="C63" s="27" t="s">
        <v>131</v>
      </c>
      <c r="D63" s="27" t="s">
        <v>68</v>
      </c>
      <c r="E63" s="39">
        <v>54</v>
      </c>
    </row>
    <row r="64" spans="1:25" ht="22.5" customHeight="1">
      <c r="A64" s="48">
        <v>45464</v>
      </c>
      <c r="B64" s="48">
        <v>45492</v>
      </c>
      <c r="C64" s="27" t="s">
        <v>97</v>
      </c>
      <c r="D64" s="27" t="s">
        <v>69</v>
      </c>
      <c r="E64" s="39">
        <v>144</v>
      </c>
    </row>
    <row r="65" spans="1:5" ht="22.5" customHeight="1">
      <c r="A65" s="48"/>
      <c r="B65" s="48">
        <v>45492</v>
      </c>
      <c r="C65" s="27" t="s">
        <v>131</v>
      </c>
      <c r="D65" s="27" t="s">
        <v>69</v>
      </c>
      <c r="E65" s="39">
        <v>381.6</v>
      </c>
    </row>
    <row r="66" spans="1:5" ht="22.5" customHeight="1">
      <c r="A66" s="48">
        <v>45492</v>
      </c>
      <c r="B66" s="48"/>
      <c r="C66" s="27" t="s">
        <v>97</v>
      </c>
      <c r="D66" s="27" t="s">
        <v>165</v>
      </c>
      <c r="E66" s="39">
        <v>7</v>
      </c>
    </row>
    <row r="67" spans="1:5" ht="22.5" customHeight="1">
      <c r="A67" s="48">
        <v>45491</v>
      </c>
      <c r="B67" s="48"/>
      <c r="C67" s="27" t="s">
        <v>160</v>
      </c>
      <c r="D67" s="27" t="s">
        <v>110</v>
      </c>
      <c r="E67" s="39">
        <v>22</v>
      </c>
    </row>
    <row r="68" spans="1:5" ht="22.5" customHeight="1">
      <c r="A68" s="48">
        <v>45492</v>
      </c>
      <c r="B68" s="48"/>
      <c r="C68" s="27" t="s">
        <v>160</v>
      </c>
      <c r="D68" s="27" t="s">
        <v>69</v>
      </c>
      <c r="E68" s="39">
        <v>32.4</v>
      </c>
    </row>
    <row r="69" spans="1:5" ht="22.5" customHeight="1">
      <c r="A69" s="48">
        <v>45505</v>
      </c>
      <c r="B69" s="48"/>
      <c r="C69" s="27" t="s">
        <v>160</v>
      </c>
      <c r="D69" s="27" t="s">
        <v>34</v>
      </c>
      <c r="E69" s="39">
        <v>204</v>
      </c>
    </row>
    <row r="70" spans="1:5" ht="22.5" customHeight="1">
      <c r="A70" s="48">
        <v>45534</v>
      </c>
      <c r="C70" s="27" t="s">
        <v>160</v>
      </c>
      <c r="D70" s="27" t="s">
        <v>34</v>
      </c>
      <c r="E70" s="39">
        <v>204</v>
      </c>
    </row>
    <row r="71" spans="1:5" ht="22.5" customHeight="1">
      <c r="A71" s="48">
        <v>45502</v>
      </c>
      <c r="B71" s="48"/>
      <c r="C71" s="27" t="s">
        <v>97</v>
      </c>
      <c r="D71" s="27" t="s">
        <v>169</v>
      </c>
      <c r="E71" s="39">
        <v>24</v>
      </c>
    </row>
    <row r="72" spans="1:5" ht="22.5" customHeight="1">
      <c r="A72" s="48">
        <v>45511</v>
      </c>
      <c r="C72" s="27" t="s">
        <v>97</v>
      </c>
      <c r="D72" s="27" t="s">
        <v>167</v>
      </c>
      <c r="E72" s="39">
        <v>51</v>
      </c>
    </row>
    <row r="73" spans="1:5" ht="22.5" customHeight="1">
      <c r="A73" s="48">
        <v>45513</v>
      </c>
      <c r="B73" s="48"/>
      <c r="C73" s="27" t="s">
        <v>97</v>
      </c>
      <c r="D73" s="27" t="s">
        <v>53</v>
      </c>
      <c r="E73" s="39">
        <v>35</v>
      </c>
    </row>
    <row r="74" spans="1:5" ht="22.5" customHeight="1">
      <c r="A74" s="48">
        <v>45554</v>
      </c>
      <c r="C74" s="27" t="s">
        <v>97</v>
      </c>
      <c r="D74" s="27" t="s">
        <v>65</v>
      </c>
      <c r="E74" s="39">
        <v>20</v>
      </c>
    </row>
    <row r="75" spans="1:5" ht="22.5" customHeight="1">
      <c r="A75" s="48">
        <v>45602</v>
      </c>
      <c r="B75" s="48"/>
      <c r="C75" s="27" t="s">
        <v>97</v>
      </c>
      <c r="D75" s="27" t="s">
        <v>171</v>
      </c>
      <c r="E75" s="39">
        <v>6</v>
      </c>
    </row>
    <row r="76" spans="1:5" ht="22.5" customHeight="1">
      <c r="A76" s="48">
        <v>45590</v>
      </c>
      <c r="C76" s="27" t="s">
        <v>97</v>
      </c>
      <c r="D76" s="27" t="s">
        <v>44</v>
      </c>
      <c r="E76" s="39">
        <v>20</v>
      </c>
    </row>
    <row r="77" spans="1:5" ht="22.5" customHeight="1">
      <c r="A77" s="48">
        <v>45482</v>
      </c>
      <c r="B77" s="48"/>
      <c r="C77" s="27" t="s">
        <v>97</v>
      </c>
      <c r="D77" s="27" t="s">
        <v>170</v>
      </c>
      <c r="E77" s="39">
        <v>146</v>
      </c>
    </row>
    <row r="78" spans="1:5" ht="22.5" customHeight="1">
      <c r="A78" s="48"/>
      <c r="B78" s="48">
        <v>45624</v>
      </c>
      <c r="C78" s="27" t="s">
        <v>131</v>
      </c>
      <c r="D78" s="27" t="s">
        <v>35</v>
      </c>
      <c r="E78" s="39">
        <v>40</v>
      </c>
    </row>
    <row r="79" spans="1:5" ht="22.5" customHeight="1">
      <c r="A79" s="48"/>
      <c r="B79" s="48">
        <v>45617</v>
      </c>
      <c r="C79" s="27" t="s">
        <v>131</v>
      </c>
      <c r="D79" s="27" t="s">
        <v>38</v>
      </c>
      <c r="E79" s="39">
        <v>520</v>
      </c>
    </row>
    <row r="80" spans="1:5" ht="22.5" customHeight="1">
      <c r="A80" s="48"/>
      <c r="B80" s="48">
        <v>45505</v>
      </c>
      <c r="C80" s="27" t="s">
        <v>131</v>
      </c>
      <c r="D80" s="27" t="s">
        <v>168</v>
      </c>
      <c r="E80" s="39">
        <v>100</v>
      </c>
    </row>
    <row r="81" spans="1:5" ht="22.5" customHeight="1">
      <c r="A81" s="48"/>
      <c r="B81" s="48">
        <v>45504</v>
      </c>
      <c r="C81" s="27" t="s">
        <v>131</v>
      </c>
      <c r="D81" s="27" t="s">
        <v>21</v>
      </c>
      <c r="E81" s="39">
        <v>10</v>
      </c>
    </row>
    <row r="82" spans="1:5" ht="22.5" customHeight="1">
      <c r="A82" s="48"/>
      <c r="B82" s="48">
        <v>45516</v>
      </c>
      <c r="C82" s="27" t="s">
        <v>97</v>
      </c>
      <c r="D82" s="27" t="s">
        <v>23</v>
      </c>
      <c r="E82" s="39">
        <v>98</v>
      </c>
    </row>
    <row r="83" spans="1:5" ht="22.5" customHeight="1">
      <c r="A83" s="48"/>
      <c r="B83" s="48">
        <v>45533</v>
      </c>
      <c r="C83" s="27" t="s">
        <v>131</v>
      </c>
      <c r="D83" s="27" t="s">
        <v>39</v>
      </c>
      <c r="E83" s="39">
        <v>70</v>
      </c>
    </row>
    <row r="84" spans="1:5" ht="22.5" customHeight="1">
      <c r="A84" s="48"/>
      <c r="B84" s="48">
        <v>45534</v>
      </c>
      <c r="C84" s="27" t="s">
        <v>131</v>
      </c>
      <c r="D84" s="27" t="s">
        <v>22</v>
      </c>
      <c r="E84" s="39">
        <v>693</v>
      </c>
    </row>
    <row r="85" spans="1:5" ht="22.5" customHeight="1">
      <c r="A85" s="48"/>
      <c r="B85" s="48">
        <v>45537</v>
      </c>
      <c r="C85" s="27" t="s">
        <v>131</v>
      </c>
      <c r="D85" s="27" t="s">
        <v>41</v>
      </c>
      <c r="E85" s="39">
        <v>200</v>
      </c>
    </row>
    <row r="86" spans="1:5" ht="22.5" customHeight="1">
      <c r="A86" s="48"/>
      <c r="B86" s="48">
        <v>45545</v>
      </c>
      <c r="C86" s="27" t="s">
        <v>131</v>
      </c>
      <c r="D86" s="27" t="s">
        <v>38</v>
      </c>
      <c r="E86" s="39">
        <v>165</v>
      </c>
    </row>
    <row r="87" spans="1:5" ht="22.5" customHeight="1">
      <c r="A87" s="48"/>
      <c r="B87" s="48">
        <v>45558</v>
      </c>
      <c r="C87" s="27" t="s">
        <v>131</v>
      </c>
      <c r="D87" s="27" t="s">
        <v>35</v>
      </c>
      <c r="E87" s="39">
        <v>40</v>
      </c>
    </row>
  </sheetData>
  <dataValidations count="3">
    <dataValidation type="list" allowBlank="1" showErrorMessage="1" sqref="C2:C87" xr:uid="{00000000-0002-0000-0800-000000000000}">
      <formula1>"RASHMI,DHAN,DASHRATHLAL,ESPRESSO,KAMAL"</formula1>
    </dataValidation>
    <dataValidation type="custom" allowBlank="1" showDropDown="1" sqref="A2:A87" xr:uid="{00000000-0002-0000-0800-000001000000}">
      <formula1>OR(NOT(ISERROR(DATEVALUE(A2))), AND(ISNUMBER(A2), LEFT(CELL("format", A2))="D"))</formula1>
    </dataValidation>
    <dataValidation type="custom" allowBlank="1" showDropDown="1" sqref="E2:E87" xr:uid="{00000000-0002-0000-0800-000002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O5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2" max="2" width="12.88671875" customWidth="1"/>
    <col min="3" max="3" width="15" customWidth="1"/>
    <col min="4" max="4" width="15.44140625" customWidth="1"/>
    <col min="5" max="5" width="11.6640625" customWidth="1"/>
    <col min="6" max="6" width="12.109375" customWidth="1"/>
    <col min="7" max="7" width="11.44140625" customWidth="1"/>
    <col min="8" max="8" width="11.6640625" customWidth="1"/>
    <col min="9" max="9" width="5" customWidth="1"/>
    <col min="10" max="10" width="15.109375" customWidth="1"/>
    <col min="11" max="11" width="15.44140625" customWidth="1"/>
    <col min="12" max="12" width="19.77734375" customWidth="1"/>
    <col min="13" max="15" width="14.44140625" customWidth="1"/>
    <col min="16" max="16" width="18.21875" customWidth="1"/>
    <col min="17" max="17" width="14.44140625" customWidth="1"/>
    <col min="18" max="18" width="7" hidden="1" customWidth="1"/>
    <col min="19" max="19" width="9.77734375" hidden="1" customWidth="1"/>
    <col min="20" max="20" width="5.109375" hidden="1" customWidth="1"/>
    <col min="21" max="21" width="11.21875" hidden="1" customWidth="1"/>
    <col min="22" max="22" width="8" hidden="1" customWidth="1"/>
    <col min="23" max="23" width="10.109375" hidden="1" customWidth="1"/>
    <col min="24" max="24" width="11.21875" hidden="1" customWidth="1"/>
    <col min="25" max="25" width="9.33203125" hidden="1" customWidth="1"/>
    <col min="26" max="26" width="8.44140625" hidden="1" customWidth="1"/>
    <col min="27" max="27" width="12.6640625" hidden="1"/>
    <col min="28" max="28" width="25.21875" customWidth="1"/>
    <col min="29" max="30" width="17.88671875" customWidth="1"/>
  </cols>
  <sheetData>
    <row r="1" spans="1:41" ht="22.5" customHeight="1">
      <c r="A1" s="11" t="s">
        <v>72</v>
      </c>
      <c r="B1" s="11" t="s">
        <v>4</v>
      </c>
      <c r="C1" s="11" t="s">
        <v>73</v>
      </c>
      <c r="D1" s="11" t="s">
        <v>74</v>
      </c>
      <c r="E1" s="11" t="s">
        <v>75</v>
      </c>
      <c r="F1" s="11" t="s">
        <v>76</v>
      </c>
      <c r="G1" s="11" t="s">
        <v>77</v>
      </c>
      <c r="H1" s="11" t="s">
        <v>78</v>
      </c>
      <c r="I1" s="11" t="s">
        <v>79</v>
      </c>
      <c r="J1" s="11" t="s">
        <v>80</v>
      </c>
      <c r="K1" s="11" t="s">
        <v>81</v>
      </c>
      <c r="L1" s="11" t="s">
        <v>6</v>
      </c>
      <c r="M1" s="11" t="s">
        <v>82</v>
      </c>
      <c r="N1" s="11" t="s">
        <v>83</v>
      </c>
      <c r="O1" s="11" t="s">
        <v>84</v>
      </c>
      <c r="P1" s="11" t="s">
        <v>5</v>
      </c>
      <c r="Q1" s="11" t="s">
        <v>85</v>
      </c>
      <c r="R1" s="11" t="s">
        <v>86</v>
      </c>
      <c r="S1" s="11" t="s">
        <v>87</v>
      </c>
      <c r="T1" s="11" t="s">
        <v>88</v>
      </c>
      <c r="U1" s="11" t="s">
        <v>89</v>
      </c>
      <c r="V1" s="11" t="s">
        <v>90</v>
      </c>
      <c r="W1" s="11" t="s">
        <v>91</v>
      </c>
      <c r="X1" s="11" t="s">
        <v>92</v>
      </c>
      <c r="Y1" s="11" t="s">
        <v>93</v>
      </c>
      <c r="Z1" s="11" t="s">
        <v>94</v>
      </c>
      <c r="AA1" s="11" t="s">
        <v>95</v>
      </c>
      <c r="AB1" s="12" t="s">
        <v>96</v>
      </c>
      <c r="AC1" s="13"/>
      <c r="AD1" s="14"/>
    </row>
    <row r="2" spans="1:41" ht="22.5" customHeight="1">
      <c r="A2" s="15">
        <v>1</v>
      </c>
      <c r="B2" s="16" t="s">
        <v>56</v>
      </c>
      <c r="C2" s="17" t="s">
        <v>97</v>
      </c>
      <c r="D2" s="18">
        <v>45357</v>
      </c>
      <c r="E2" s="16">
        <v>1075</v>
      </c>
      <c r="F2" s="18">
        <v>45358</v>
      </c>
      <c r="G2" s="16">
        <v>1344.5</v>
      </c>
      <c r="H2" s="16">
        <f ca="1">IFERROR(__xludf.DUMMYFUNCTION("IFERROR(GOOGLEFINANCE(""NSE:""&amp;B2,""price""),"""")"),776.9)</f>
        <v>776.9</v>
      </c>
      <c r="I2" s="15">
        <v>10</v>
      </c>
      <c r="J2" s="16">
        <f t="shared" ref="J2:J53" si="0">E2*I2</f>
        <v>10750</v>
      </c>
      <c r="K2" s="16">
        <f t="shared" ref="K2:K53" si="1">IF(G2&gt;0,(E2+G2)*I2,E2*I2)</f>
        <v>24195</v>
      </c>
      <c r="L2" s="16">
        <f t="shared" ref="L2:L53" si="2">IF(G2&gt;0,0,(H2-E2)*I2)</f>
        <v>0</v>
      </c>
      <c r="M2" s="19">
        <f t="shared" ref="M2:M53" si="3">IFERROR(IF(G2&gt;0,0,(H2-E2)/E2),0)</f>
        <v>0</v>
      </c>
      <c r="N2" s="16">
        <f ca="1">IFERROR(__xludf.DUMMYFUNCTION("IFERROR(IF(G2&gt;0,0,GOOGLEFINANCE(""NSE:""&amp;B2,""change"")),)"),0)</f>
        <v>0</v>
      </c>
      <c r="O2" s="16">
        <f t="shared" ref="O2:O53" ca="1" si="4">I2*N2</f>
        <v>0</v>
      </c>
      <c r="P2" s="16">
        <f t="shared" ref="P2:P53" si="5">IF(G2=0,0,(G2-E2)*I2)</f>
        <v>2695</v>
      </c>
      <c r="Q2" s="19">
        <f t="shared" ref="Q2:Q53" si="6">IF(G2&gt;0,(G2-E2)/E2,0)</f>
        <v>0.25069767441860463</v>
      </c>
      <c r="R2" s="16">
        <f t="shared" ref="R2:R6" si="7">0.001*K2</f>
        <v>24.195</v>
      </c>
      <c r="S2" s="16">
        <f t="shared" ref="S2:S6" si="8">0.0000325*K2</f>
        <v>0.78633749999999991</v>
      </c>
      <c r="T2" s="16">
        <f t="shared" ref="T2:T9" si="9">0.18*S2</f>
        <v>0.14154074999999997</v>
      </c>
      <c r="U2" s="20">
        <f t="shared" ref="U2:U6" si="10">0.0000005*K2</f>
        <v>1.2097499999999999E-2</v>
      </c>
      <c r="V2" s="16">
        <f t="shared" ref="V2:V9" si="11">R2+S2+T2+U2</f>
        <v>25.134975749999999</v>
      </c>
      <c r="W2" s="16">
        <f t="shared" ref="W2:W4" si="12">IF(G2&gt;0,15.34,0)</f>
        <v>15.34</v>
      </c>
      <c r="X2" s="16">
        <f t="shared" ref="X2:X9" si="13">V2+W2</f>
        <v>40.474975749999999</v>
      </c>
      <c r="Y2" s="16">
        <f t="shared" ref="Y2:Y4" si="14">IF(G2&gt;0,P2-X2,0)</f>
        <v>2654.5250242500001</v>
      </c>
      <c r="Z2" s="19">
        <f t="shared" ref="Z2:Z6" si="15">Y2/J2</f>
        <v>0.24693256039534886</v>
      </c>
      <c r="AA2" s="21">
        <f>SUM($AE$2,Y2)</f>
        <v>52654.525024249997</v>
      </c>
      <c r="AB2" s="22" t="s">
        <v>174</v>
      </c>
      <c r="AC2" s="22" t="s">
        <v>128</v>
      </c>
      <c r="AD2" s="23" t="s">
        <v>98</v>
      </c>
      <c r="AE2" s="8">
        <v>50000</v>
      </c>
      <c r="AG2" s="113"/>
      <c r="AH2" s="134"/>
      <c r="AI2" s="114" t="s">
        <v>275</v>
      </c>
      <c r="AJ2" s="115"/>
      <c r="AL2" s="113"/>
      <c r="AM2" s="114" t="s">
        <v>275</v>
      </c>
      <c r="AN2" s="134"/>
      <c r="AO2" s="115"/>
    </row>
    <row r="3" spans="1:41" ht="22.5" customHeight="1">
      <c r="A3" s="15">
        <v>2</v>
      </c>
      <c r="B3" s="16" t="s">
        <v>175</v>
      </c>
      <c r="C3" s="17" t="s">
        <v>97</v>
      </c>
      <c r="D3" s="18">
        <v>45362</v>
      </c>
      <c r="E3" s="16">
        <v>376</v>
      </c>
      <c r="F3" s="18">
        <v>45492</v>
      </c>
      <c r="G3" s="16">
        <v>497.15</v>
      </c>
      <c r="H3" s="16">
        <f ca="1">IFERROR(__xludf.DUMMYFUNCTION("IFERROR(GOOGLEFINANCE(""NSE:""&amp;B3,""price""),"""")"),468.95)</f>
        <v>468.95</v>
      </c>
      <c r="I3" s="15">
        <v>10</v>
      </c>
      <c r="J3" s="16">
        <f t="shared" si="0"/>
        <v>3760</v>
      </c>
      <c r="K3" s="16">
        <f t="shared" si="1"/>
        <v>8731.5</v>
      </c>
      <c r="L3" s="16">
        <f t="shared" si="2"/>
        <v>0</v>
      </c>
      <c r="M3" s="19">
        <f t="shared" si="3"/>
        <v>0</v>
      </c>
      <c r="N3" s="16">
        <f ca="1">IFERROR(__xludf.DUMMYFUNCTION("IFERROR(IF(G3&gt;0,0,GOOGLEFINANCE(""NSE:""&amp;B3,""change"")),0)"),0)</f>
        <v>0</v>
      </c>
      <c r="O3" s="16">
        <f t="shared" ca="1" si="4"/>
        <v>0</v>
      </c>
      <c r="P3" s="16">
        <f t="shared" si="5"/>
        <v>1211.4999999999998</v>
      </c>
      <c r="Q3" s="19">
        <f t="shared" si="6"/>
        <v>0.3222074468085106</v>
      </c>
      <c r="R3" s="16">
        <f t="shared" si="7"/>
        <v>8.7315000000000005</v>
      </c>
      <c r="S3" s="16">
        <f t="shared" si="8"/>
        <v>0.28377374999999999</v>
      </c>
      <c r="T3" s="16">
        <f t="shared" si="9"/>
        <v>5.1079274999999993E-2</v>
      </c>
      <c r="U3" s="16">
        <f t="shared" si="10"/>
        <v>4.3657499999999998E-3</v>
      </c>
      <c r="V3" s="16">
        <f t="shared" si="11"/>
        <v>9.0707187749999996</v>
      </c>
      <c r="W3" s="16">
        <f t="shared" si="12"/>
        <v>15.34</v>
      </c>
      <c r="X3" s="16">
        <f t="shared" si="13"/>
        <v>24.410718774999999</v>
      </c>
      <c r="Y3" s="16">
        <f t="shared" si="14"/>
        <v>1187.0892812249997</v>
      </c>
      <c r="Z3" s="19">
        <f t="shared" si="15"/>
        <v>0.31571523436835097</v>
      </c>
      <c r="AA3" s="21">
        <f t="shared" ref="AA3:AA9" si="16">SUM(AA2,Y3)</f>
        <v>53841.614305474999</v>
      </c>
      <c r="AB3" s="22" t="s">
        <v>176</v>
      </c>
      <c r="AC3" s="22" t="s">
        <v>105</v>
      </c>
      <c r="AD3" s="23" t="s">
        <v>99</v>
      </c>
      <c r="AE3" s="8">
        <f>AE2+AE4</f>
        <v>98032.459999999992</v>
      </c>
      <c r="AG3" s="114" t="s">
        <v>73</v>
      </c>
      <c r="AH3" s="114" t="s">
        <v>4</v>
      </c>
      <c r="AI3" s="113" t="s">
        <v>9</v>
      </c>
      <c r="AJ3" s="116" t="s">
        <v>8</v>
      </c>
      <c r="AL3" s="114" t="s">
        <v>4</v>
      </c>
      <c r="AM3" s="113" t="s">
        <v>5</v>
      </c>
      <c r="AN3" s="135" t="s">
        <v>6</v>
      </c>
      <c r="AO3" s="116" t="s">
        <v>7</v>
      </c>
    </row>
    <row r="4" spans="1:41" ht="22.5" customHeight="1">
      <c r="A4" s="15">
        <v>3</v>
      </c>
      <c r="B4" s="16" t="s">
        <v>175</v>
      </c>
      <c r="C4" s="17" t="s">
        <v>97</v>
      </c>
      <c r="D4" s="18">
        <v>45362</v>
      </c>
      <c r="E4" s="16">
        <v>376</v>
      </c>
      <c r="F4" s="18">
        <v>45364</v>
      </c>
      <c r="G4" s="16">
        <v>355.1</v>
      </c>
      <c r="H4" s="16">
        <f ca="1">IFERROR(__xludf.DUMMYFUNCTION("IFERROR(GOOGLEFINANCE(""NSE:""&amp;B4,""price""),"""")"),468.95)</f>
        <v>468.95</v>
      </c>
      <c r="I4" s="15">
        <v>33</v>
      </c>
      <c r="J4" s="16">
        <f t="shared" si="0"/>
        <v>12408</v>
      </c>
      <c r="K4" s="16">
        <f t="shared" si="1"/>
        <v>24126.3</v>
      </c>
      <c r="L4" s="16">
        <f t="shared" si="2"/>
        <v>0</v>
      </c>
      <c r="M4" s="19">
        <f t="shared" si="3"/>
        <v>0</v>
      </c>
      <c r="N4" s="16">
        <f ca="1">IFERROR(__xludf.DUMMYFUNCTION("IFERROR(IF(G4&gt;0,0,GOOGLEFINANCE(""NSE:""&amp;B4,""change"")),0)"),0)</f>
        <v>0</v>
      </c>
      <c r="O4" s="16">
        <f t="shared" ca="1" si="4"/>
        <v>0</v>
      </c>
      <c r="P4" s="16">
        <f t="shared" si="5"/>
        <v>-689.69999999999925</v>
      </c>
      <c r="Q4" s="19">
        <f t="shared" si="6"/>
        <v>-5.5585106382978665E-2</v>
      </c>
      <c r="R4" s="16">
        <f t="shared" si="7"/>
        <v>24.126300000000001</v>
      </c>
      <c r="S4" s="16">
        <f t="shared" si="8"/>
        <v>0.78410474999999991</v>
      </c>
      <c r="T4" s="16">
        <f t="shared" si="9"/>
        <v>0.14113885499999998</v>
      </c>
      <c r="U4" s="16">
        <f t="shared" si="10"/>
        <v>1.206315E-2</v>
      </c>
      <c r="V4" s="16">
        <f t="shared" si="11"/>
        <v>25.063606755000002</v>
      </c>
      <c r="W4" s="16">
        <f t="shared" si="12"/>
        <v>15.34</v>
      </c>
      <c r="X4" s="16">
        <f t="shared" si="13"/>
        <v>40.403606754999998</v>
      </c>
      <c r="Y4" s="16">
        <f t="shared" si="14"/>
        <v>-730.10360675499919</v>
      </c>
      <c r="Z4" s="19">
        <f t="shared" si="15"/>
        <v>-5.884136095704378E-2</v>
      </c>
      <c r="AA4" s="21">
        <f t="shared" si="16"/>
        <v>53111.510698719998</v>
      </c>
      <c r="AB4" s="22" t="s">
        <v>177</v>
      </c>
      <c r="AC4" s="22"/>
      <c r="AD4" s="23" t="s">
        <v>100</v>
      </c>
      <c r="AE4" s="8">
        <f>SUM(P2:P53)</f>
        <v>48032.459999999992</v>
      </c>
      <c r="AG4" s="113" t="s">
        <v>13</v>
      </c>
      <c r="AH4" s="136" t="s">
        <v>24</v>
      </c>
      <c r="AI4" s="117">
        <v>0</v>
      </c>
      <c r="AJ4" s="118">
        <v>-870</v>
      </c>
      <c r="AL4" s="136" t="s">
        <v>178</v>
      </c>
      <c r="AM4" s="117">
        <v>961.59999999999945</v>
      </c>
      <c r="AN4" s="137">
        <v>0</v>
      </c>
      <c r="AO4" s="118">
        <v>0</v>
      </c>
    </row>
    <row r="5" spans="1:41" ht="22.5" customHeight="1">
      <c r="A5" s="15">
        <v>4</v>
      </c>
      <c r="B5" s="16" t="s">
        <v>175</v>
      </c>
      <c r="C5" s="17" t="s">
        <v>97</v>
      </c>
      <c r="D5" s="18">
        <v>45362</v>
      </c>
      <c r="E5" s="16">
        <v>376</v>
      </c>
      <c r="F5" s="18">
        <v>45463</v>
      </c>
      <c r="G5" s="16">
        <v>495.6</v>
      </c>
      <c r="H5" s="16">
        <f ca="1">IFERROR(__xludf.DUMMYFUNCTION("IFERROR(GOOGLEFINANCE(""NSE:""&amp;B5,""price""),"""")"),468.95)</f>
        <v>468.95</v>
      </c>
      <c r="I5" s="15">
        <v>32</v>
      </c>
      <c r="J5" s="16">
        <f t="shared" si="0"/>
        <v>12032</v>
      </c>
      <c r="K5" s="16">
        <f t="shared" si="1"/>
        <v>27891.200000000001</v>
      </c>
      <c r="L5" s="16">
        <f t="shared" si="2"/>
        <v>0</v>
      </c>
      <c r="M5" s="19">
        <f t="shared" si="3"/>
        <v>0</v>
      </c>
      <c r="N5" s="16">
        <f ca="1">IFERROR(__xludf.DUMMYFUNCTION("IFERROR(IF(G5&gt;0,0,GOOGLEFINANCE(""NSE:""&amp;B5,""change"")),0)"),0)</f>
        <v>0</v>
      </c>
      <c r="O5" s="16">
        <f t="shared" ca="1" si="4"/>
        <v>0</v>
      </c>
      <c r="P5" s="16">
        <f t="shared" si="5"/>
        <v>3827.2000000000007</v>
      </c>
      <c r="Q5" s="19">
        <f t="shared" si="6"/>
        <v>0.31808510638297877</v>
      </c>
      <c r="R5" s="16">
        <f t="shared" si="7"/>
        <v>27.891200000000001</v>
      </c>
      <c r="S5" s="16">
        <f t="shared" si="8"/>
        <v>0.90646399999999994</v>
      </c>
      <c r="T5" s="16">
        <f t="shared" si="9"/>
        <v>0.16316351999999998</v>
      </c>
      <c r="U5" s="16">
        <f t="shared" si="10"/>
        <v>1.3945599999999999E-2</v>
      </c>
      <c r="V5" s="16">
        <f t="shared" si="11"/>
        <v>28.974773120000002</v>
      </c>
      <c r="W5" s="16">
        <f t="shared" ref="W5:W6" si="17">IF(G6&gt;0,15.34,0)</f>
        <v>15.34</v>
      </c>
      <c r="X5" s="16">
        <f t="shared" si="13"/>
        <v>44.314773119999998</v>
      </c>
      <c r="Y5" s="16">
        <f t="shared" ref="Y5:Y6" si="18">IF(G6&gt;0,P5-X5,0)</f>
        <v>3782.8852268800006</v>
      </c>
      <c r="Z5" s="19">
        <f t="shared" si="15"/>
        <v>0.31440203015957452</v>
      </c>
      <c r="AA5" s="21">
        <f t="shared" si="16"/>
        <v>56894.395925600002</v>
      </c>
      <c r="AB5" s="22" t="s">
        <v>179</v>
      </c>
      <c r="AC5" s="22"/>
      <c r="AD5" s="23" t="s">
        <v>103</v>
      </c>
      <c r="AE5" s="24">
        <f>AE4/AE2</f>
        <v>0.96064919999999987</v>
      </c>
      <c r="AG5" s="113" t="s">
        <v>180</v>
      </c>
      <c r="AH5" s="134"/>
      <c r="AI5" s="117">
        <v>0</v>
      </c>
      <c r="AJ5" s="118">
        <v>-870</v>
      </c>
      <c r="AL5" s="138" t="s">
        <v>13</v>
      </c>
      <c r="AM5" s="120">
        <v>0</v>
      </c>
      <c r="AN5" s="139">
        <v>-1388.8500000000008</v>
      </c>
      <c r="AO5" s="121">
        <v>-115.19999999999999</v>
      </c>
    </row>
    <row r="6" spans="1:41" ht="22.5" customHeight="1">
      <c r="A6" s="15">
        <v>5</v>
      </c>
      <c r="B6" s="25" t="s">
        <v>110</v>
      </c>
      <c r="C6" s="17" t="s">
        <v>97</v>
      </c>
      <c r="D6" s="18">
        <v>45377</v>
      </c>
      <c r="E6" s="16">
        <v>632</v>
      </c>
      <c r="F6" s="18">
        <v>45566</v>
      </c>
      <c r="G6" s="16">
        <v>709.3</v>
      </c>
      <c r="H6" s="16">
        <f ca="1">IFERROR(__xludf.DUMMYFUNCTION("IFERROR(GOOGLEFINANCE(""NSE:""&amp;B6,""price""),"""")"),763)</f>
        <v>763</v>
      </c>
      <c r="I6" s="15">
        <v>30</v>
      </c>
      <c r="J6" s="16">
        <f t="shared" si="0"/>
        <v>18960</v>
      </c>
      <c r="K6" s="16">
        <f t="shared" si="1"/>
        <v>40239</v>
      </c>
      <c r="L6" s="16">
        <f t="shared" si="2"/>
        <v>0</v>
      </c>
      <c r="M6" s="19">
        <f t="shared" si="3"/>
        <v>0</v>
      </c>
      <c r="N6" s="16">
        <f ca="1">IFERROR(__xludf.DUMMYFUNCTION("IFERROR(IF(G6&gt;0,0,GOOGLEFINANCE(""NSE:""&amp;B6,""change"")),0)"),0)</f>
        <v>0</v>
      </c>
      <c r="O6" s="16">
        <f t="shared" ca="1" si="4"/>
        <v>0</v>
      </c>
      <c r="P6" s="16">
        <f t="shared" si="5"/>
        <v>2318.9999999999986</v>
      </c>
      <c r="Q6" s="19">
        <f t="shared" si="6"/>
        <v>0.12231012658227841</v>
      </c>
      <c r="R6" s="16">
        <f t="shared" si="7"/>
        <v>40.239000000000004</v>
      </c>
      <c r="S6" s="16">
        <f t="shared" si="8"/>
        <v>1.3077675</v>
      </c>
      <c r="T6" s="16">
        <f t="shared" si="9"/>
        <v>0.23539814999999997</v>
      </c>
      <c r="U6" s="16">
        <f t="shared" si="10"/>
        <v>2.0119499999999998E-2</v>
      </c>
      <c r="V6" s="16">
        <f t="shared" si="11"/>
        <v>41.802285150000003</v>
      </c>
      <c r="W6" s="16">
        <f t="shared" si="17"/>
        <v>15.34</v>
      </c>
      <c r="X6" s="16">
        <f t="shared" si="13"/>
        <v>57.142285150000006</v>
      </c>
      <c r="Y6" s="16">
        <f t="shared" si="18"/>
        <v>2261.8577148499985</v>
      </c>
      <c r="Z6" s="19">
        <f t="shared" si="15"/>
        <v>0.1192962929773206</v>
      </c>
      <c r="AA6" s="21">
        <f t="shared" si="16"/>
        <v>59156.253640449999</v>
      </c>
      <c r="AB6" s="22" t="s">
        <v>181</v>
      </c>
      <c r="AC6" s="22" t="s">
        <v>128</v>
      </c>
      <c r="AD6" s="22"/>
      <c r="AE6" s="26"/>
      <c r="AG6" s="113" t="s">
        <v>97</v>
      </c>
      <c r="AH6" s="134"/>
      <c r="AI6" s="117" t="e">
        <v>#VALUE!</v>
      </c>
      <c r="AJ6" s="118">
        <v>23282.909999999996</v>
      </c>
      <c r="AL6" s="138" t="s">
        <v>175</v>
      </c>
      <c r="AM6" s="120">
        <v>4349.0000000000009</v>
      </c>
      <c r="AN6" s="139">
        <v>0</v>
      </c>
      <c r="AO6" s="121">
        <v>0</v>
      </c>
    </row>
    <row r="7" spans="1:41" ht="22.5" customHeight="1">
      <c r="A7" s="15">
        <v>6</v>
      </c>
      <c r="B7" s="25" t="s">
        <v>65</v>
      </c>
      <c r="C7" s="17" t="s">
        <v>97</v>
      </c>
      <c r="D7" s="18">
        <v>45377</v>
      </c>
      <c r="E7" s="16">
        <v>131.19999999999999</v>
      </c>
      <c r="F7" s="29">
        <v>45408</v>
      </c>
      <c r="G7" s="16">
        <v>164.4</v>
      </c>
      <c r="H7" s="16">
        <f ca="1">IFERROR(__xludf.DUMMYFUNCTION("IFERROR(GOOGLEFINANCE(""NSE:""&amp;B7,""price""),"""")"),133)</f>
        <v>133</v>
      </c>
      <c r="I7" s="15">
        <v>100</v>
      </c>
      <c r="J7" s="16">
        <f t="shared" si="0"/>
        <v>13119.999999999998</v>
      </c>
      <c r="K7" s="16">
        <f t="shared" si="1"/>
        <v>29560.000000000004</v>
      </c>
      <c r="L7" s="16">
        <f t="shared" si="2"/>
        <v>0</v>
      </c>
      <c r="M7" s="19">
        <f t="shared" si="3"/>
        <v>0</v>
      </c>
      <c r="N7" s="16">
        <f ca="1">IFERROR(__xludf.DUMMYFUNCTION("IFERROR(IF(G7&gt;0,0,GOOGLEFINANCE(""NSE:""&amp;B7,""change"")),0)"),0)</f>
        <v>0</v>
      </c>
      <c r="O7" s="16">
        <f t="shared" ca="1" si="4"/>
        <v>0</v>
      </c>
      <c r="P7" s="16">
        <f t="shared" si="5"/>
        <v>3320.0000000000018</v>
      </c>
      <c r="Q7" s="19">
        <f t="shared" si="6"/>
        <v>0.25304878048780505</v>
      </c>
      <c r="R7" s="16" t="e">
        <f t="shared" ref="R7:R9" si="19">0.001*#REF!</f>
        <v>#REF!</v>
      </c>
      <c r="S7" s="16" t="e">
        <f t="shared" ref="S7:S9" si="20">0.0000325*#REF!</f>
        <v>#REF!</v>
      </c>
      <c r="T7" s="16" t="e">
        <f t="shared" si="9"/>
        <v>#REF!</v>
      </c>
      <c r="U7" s="16" t="e">
        <f t="shared" ref="U7:U9" si="21">0.0000005*#REF!</f>
        <v>#REF!</v>
      </c>
      <c r="V7" s="16" t="e">
        <f t="shared" si="11"/>
        <v>#REF!</v>
      </c>
      <c r="W7" s="16" t="e">
        <f t="shared" ref="W7:W9" si="22">IF(#REF!&gt;0,15.34,0)</f>
        <v>#REF!</v>
      </c>
      <c r="X7" s="16" t="e">
        <f t="shared" si="13"/>
        <v>#REF!</v>
      </c>
      <c r="Y7" s="16" t="e">
        <f t="shared" ref="Y7:Y9" si="23">IF(#REF!&gt;0,P7-X7,0)</f>
        <v>#REF!</v>
      </c>
      <c r="Z7" s="19" t="e">
        <f t="shared" ref="Z7:Z9" si="24">Y7/#REF!</f>
        <v>#REF!</v>
      </c>
      <c r="AA7" s="21" t="e">
        <f t="shared" si="16"/>
        <v>#REF!</v>
      </c>
      <c r="AB7" s="22" t="s">
        <v>181</v>
      </c>
      <c r="AD7" s="114" t="s">
        <v>76</v>
      </c>
      <c r="AE7" s="125" t="s">
        <v>8</v>
      </c>
      <c r="AG7" s="113" t="s">
        <v>131</v>
      </c>
      <c r="AH7" s="134"/>
      <c r="AI7" s="117">
        <v>-532.9499999999997</v>
      </c>
      <c r="AJ7" s="118">
        <v>3565</v>
      </c>
      <c r="AL7" s="138" t="s">
        <v>182</v>
      </c>
      <c r="AM7" s="120">
        <v>2385.7999999999993</v>
      </c>
      <c r="AN7" s="139">
        <v>0</v>
      </c>
      <c r="AO7" s="121">
        <v>0</v>
      </c>
    </row>
    <row r="8" spans="1:41" ht="22.5" customHeight="1">
      <c r="A8" s="15">
        <v>7</v>
      </c>
      <c r="B8" s="16" t="s">
        <v>28</v>
      </c>
      <c r="C8" s="15" t="s">
        <v>104</v>
      </c>
      <c r="D8" s="18">
        <v>45425</v>
      </c>
      <c r="E8" s="16">
        <v>452</v>
      </c>
      <c r="F8" s="18">
        <v>45425</v>
      </c>
      <c r="G8" s="16">
        <v>606.4</v>
      </c>
      <c r="H8" s="16">
        <f ca="1">IFERROR(__xludf.DUMMYFUNCTION("IFERROR(GOOGLEFINANCE(""NSE:""&amp;B8,""price""),"""")"),532)</f>
        <v>532</v>
      </c>
      <c r="I8" s="15">
        <v>33</v>
      </c>
      <c r="J8" s="16">
        <f t="shared" si="0"/>
        <v>14916</v>
      </c>
      <c r="K8" s="16">
        <f t="shared" si="1"/>
        <v>34927.200000000004</v>
      </c>
      <c r="L8" s="16">
        <f t="shared" si="2"/>
        <v>0</v>
      </c>
      <c r="M8" s="19">
        <f t="shared" si="3"/>
        <v>0</v>
      </c>
      <c r="N8" s="16">
        <f ca="1">IFERROR(__xludf.DUMMYFUNCTION("IFERROR(IF(G8&gt;0,0,GOOGLEFINANCE(""NSE:""&amp;B8,""change"")),0)"),0)</f>
        <v>0</v>
      </c>
      <c r="O8" s="16">
        <f t="shared" ca="1" si="4"/>
        <v>0</v>
      </c>
      <c r="P8" s="16">
        <f t="shared" si="5"/>
        <v>5095.1999999999989</v>
      </c>
      <c r="Q8" s="19">
        <f t="shared" si="6"/>
        <v>0.34159292035398225</v>
      </c>
      <c r="R8" s="16" t="e">
        <f t="shared" si="19"/>
        <v>#REF!</v>
      </c>
      <c r="S8" s="16" t="e">
        <f t="shared" si="20"/>
        <v>#REF!</v>
      </c>
      <c r="T8" s="16" t="e">
        <f t="shared" si="9"/>
        <v>#REF!</v>
      </c>
      <c r="U8" s="16" t="e">
        <f t="shared" si="21"/>
        <v>#REF!</v>
      </c>
      <c r="V8" s="16" t="e">
        <f t="shared" si="11"/>
        <v>#REF!</v>
      </c>
      <c r="W8" s="16" t="e">
        <f t="shared" si="22"/>
        <v>#REF!</v>
      </c>
      <c r="X8" s="16" t="e">
        <f t="shared" si="13"/>
        <v>#REF!</v>
      </c>
      <c r="Y8" s="16" t="e">
        <f t="shared" si="23"/>
        <v>#REF!</v>
      </c>
      <c r="Z8" s="19" t="e">
        <f t="shared" si="24"/>
        <v>#REF!</v>
      </c>
      <c r="AA8" s="21" t="e">
        <f t="shared" si="16"/>
        <v>#REF!</v>
      </c>
      <c r="AB8" s="27" t="s">
        <v>122</v>
      </c>
      <c r="AD8" s="126">
        <v>45358</v>
      </c>
      <c r="AE8" s="127">
        <v>2695</v>
      </c>
      <c r="AG8" s="113" t="s">
        <v>189</v>
      </c>
      <c r="AH8" s="134"/>
      <c r="AI8" s="117">
        <v>-2526.3000000000002</v>
      </c>
      <c r="AJ8" s="118">
        <v>-91.450000000001182</v>
      </c>
      <c r="AL8" s="138" t="s">
        <v>44</v>
      </c>
      <c r="AM8" s="120">
        <v>0</v>
      </c>
      <c r="AN8" s="139">
        <v>540</v>
      </c>
      <c r="AO8" s="121">
        <v>224</v>
      </c>
    </row>
    <row r="9" spans="1:41" ht="22.5" customHeight="1">
      <c r="A9" s="15">
        <v>8</v>
      </c>
      <c r="B9" s="16" t="s">
        <v>28</v>
      </c>
      <c r="C9" s="15" t="s">
        <v>161</v>
      </c>
      <c r="D9" s="18">
        <v>45425</v>
      </c>
      <c r="E9" s="16">
        <v>452</v>
      </c>
      <c r="F9" s="18">
        <v>45425</v>
      </c>
      <c r="G9" s="16">
        <v>586</v>
      </c>
      <c r="H9" s="16">
        <f ca="1">IFERROR(__xludf.DUMMYFUNCTION("IFERROR(GOOGLEFINANCE(""NSE:""&amp;B9,""price""),"""")"),532)</f>
        <v>532</v>
      </c>
      <c r="I9" s="15">
        <v>33</v>
      </c>
      <c r="J9" s="16">
        <f t="shared" si="0"/>
        <v>14916</v>
      </c>
      <c r="K9" s="16">
        <f t="shared" si="1"/>
        <v>34254</v>
      </c>
      <c r="L9" s="16">
        <f t="shared" si="2"/>
        <v>0</v>
      </c>
      <c r="M9" s="19">
        <f t="shared" si="3"/>
        <v>0</v>
      </c>
      <c r="N9" s="16">
        <f ca="1">IFERROR(__xludf.DUMMYFUNCTION("IFERROR(IF(G9&gt;0,0,GOOGLEFINANCE(""NSE:""&amp;B9,""change"")),0)"),0)</f>
        <v>0</v>
      </c>
      <c r="O9" s="16">
        <f t="shared" ca="1" si="4"/>
        <v>0</v>
      </c>
      <c r="P9" s="16">
        <f t="shared" si="5"/>
        <v>4422</v>
      </c>
      <c r="Q9" s="19">
        <f t="shared" si="6"/>
        <v>0.29646017699115046</v>
      </c>
      <c r="R9" s="16" t="e">
        <f t="shared" si="19"/>
        <v>#REF!</v>
      </c>
      <c r="S9" s="16" t="e">
        <f t="shared" si="20"/>
        <v>#REF!</v>
      </c>
      <c r="T9" s="16" t="e">
        <f t="shared" si="9"/>
        <v>#REF!</v>
      </c>
      <c r="U9" s="16" t="e">
        <f t="shared" si="21"/>
        <v>#REF!</v>
      </c>
      <c r="V9" s="16" t="e">
        <f t="shared" si="11"/>
        <v>#REF!</v>
      </c>
      <c r="W9" s="16" t="e">
        <f t="shared" si="22"/>
        <v>#REF!</v>
      </c>
      <c r="X9" s="16" t="e">
        <f t="shared" si="13"/>
        <v>#REF!</v>
      </c>
      <c r="Y9" s="16" t="e">
        <f t="shared" si="23"/>
        <v>#REF!</v>
      </c>
      <c r="Z9" s="19" t="e">
        <f t="shared" si="24"/>
        <v>#REF!</v>
      </c>
      <c r="AA9" s="21" t="e">
        <f t="shared" si="16"/>
        <v>#REF!</v>
      </c>
      <c r="AB9" s="27" t="s">
        <v>122</v>
      </c>
      <c r="AD9" s="128">
        <v>45364</v>
      </c>
      <c r="AE9" s="129">
        <v>-689.69999999999925</v>
      </c>
      <c r="AG9" s="113" t="s">
        <v>161</v>
      </c>
      <c r="AH9" s="134"/>
      <c r="AI9" s="117">
        <v>0</v>
      </c>
      <c r="AJ9" s="118">
        <v>4422</v>
      </c>
      <c r="AL9" s="138" t="s">
        <v>183</v>
      </c>
      <c r="AM9" s="120">
        <v>2065.0499999999988</v>
      </c>
      <c r="AN9" s="139">
        <v>0</v>
      </c>
      <c r="AO9" s="121">
        <v>0</v>
      </c>
    </row>
    <row r="10" spans="1:41" ht="22.5" customHeight="1">
      <c r="A10" s="15">
        <v>9</v>
      </c>
      <c r="B10" s="16" t="s">
        <v>28</v>
      </c>
      <c r="C10" s="15" t="s">
        <v>131</v>
      </c>
      <c r="D10" s="18">
        <v>45425</v>
      </c>
      <c r="E10" s="16">
        <v>452</v>
      </c>
      <c r="F10" s="18">
        <v>45425</v>
      </c>
      <c r="G10" s="16">
        <v>607</v>
      </c>
      <c r="H10" s="16">
        <f ca="1">IFERROR(__xludf.DUMMYFUNCTION("IFERROR(GOOGLEFINANCE(""NSE:""&amp;B10,""price""),"""")"),532)</f>
        <v>532</v>
      </c>
      <c r="I10" s="15">
        <v>23</v>
      </c>
      <c r="J10" s="16">
        <f t="shared" si="0"/>
        <v>10396</v>
      </c>
      <c r="K10" s="16">
        <f t="shared" si="1"/>
        <v>24357</v>
      </c>
      <c r="L10" s="16">
        <f t="shared" si="2"/>
        <v>0</v>
      </c>
      <c r="M10" s="19">
        <f t="shared" si="3"/>
        <v>0</v>
      </c>
      <c r="N10" s="16">
        <f ca="1">IFERROR(__xludf.DUMMYFUNCTION("IFERROR(IF(G10&gt;0,0,GOOGLEFINANCE(""NSE:""&amp;B10,""change"")),0)"),0)</f>
        <v>0</v>
      </c>
      <c r="O10" s="16">
        <f t="shared" ca="1" si="4"/>
        <v>0</v>
      </c>
      <c r="P10" s="16">
        <f t="shared" si="5"/>
        <v>3565</v>
      </c>
      <c r="Q10" s="19">
        <f t="shared" si="6"/>
        <v>0.34292035398230086</v>
      </c>
      <c r="R10" s="16"/>
      <c r="S10" s="16"/>
      <c r="T10" s="16"/>
      <c r="U10" s="16"/>
      <c r="V10" s="16"/>
      <c r="W10" s="16"/>
      <c r="X10" s="16"/>
      <c r="Y10" s="16"/>
      <c r="Z10" s="19"/>
      <c r="AA10" s="16"/>
      <c r="AB10" s="27" t="s">
        <v>122</v>
      </c>
      <c r="AD10" s="128">
        <v>45408</v>
      </c>
      <c r="AE10" s="129">
        <v>3320.0000000000018</v>
      </c>
      <c r="AG10" s="113" t="s">
        <v>139</v>
      </c>
      <c r="AH10" s="134"/>
      <c r="AI10" s="117">
        <v>-2379.75</v>
      </c>
      <c r="AJ10" s="118">
        <v>4041.2999999999988</v>
      </c>
      <c r="AL10" s="138" t="s">
        <v>20</v>
      </c>
      <c r="AM10" s="120">
        <v>0</v>
      </c>
      <c r="AN10" s="139">
        <v>-1379.0000000000009</v>
      </c>
      <c r="AO10" s="121">
        <v>-57</v>
      </c>
    </row>
    <row r="11" spans="1:41" ht="22.5" customHeight="1">
      <c r="A11" s="15">
        <v>10</v>
      </c>
      <c r="B11" s="28" t="s">
        <v>170</v>
      </c>
      <c r="C11" s="15" t="s">
        <v>97</v>
      </c>
      <c r="D11" s="18">
        <v>45411</v>
      </c>
      <c r="E11" s="16">
        <v>897</v>
      </c>
      <c r="F11" s="18">
        <v>45600</v>
      </c>
      <c r="G11" s="16">
        <v>945</v>
      </c>
      <c r="H11" s="16">
        <f ca="1">IFERROR(__xludf.DUMMYFUNCTION("IFERROR(GOOGLEFINANCE(""NSE:""&amp;B11,""price""),"""")"),1095.9)</f>
        <v>1095.9000000000001</v>
      </c>
      <c r="I11" s="15">
        <v>10</v>
      </c>
      <c r="J11" s="16">
        <f t="shared" si="0"/>
        <v>8970</v>
      </c>
      <c r="K11" s="16">
        <f t="shared" si="1"/>
        <v>18420</v>
      </c>
      <c r="L11" s="16">
        <f t="shared" si="2"/>
        <v>0</v>
      </c>
      <c r="M11" s="19">
        <f t="shared" si="3"/>
        <v>0</v>
      </c>
      <c r="N11" s="16">
        <f ca="1">IFERROR(__xludf.DUMMYFUNCTION("IFERROR(IF(G11&gt;0,0,GOOGLEFINANCE(""NSE:""&amp;B11,""change"")),0)"),0)</f>
        <v>0</v>
      </c>
      <c r="O11" s="16">
        <f t="shared" ca="1" si="4"/>
        <v>0</v>
      </c>
      <c r="P11" s="16">
        <f t="shared" si="5"/>
        <v>480</v>
      </c>
      <c r="Q11" s="19">
        <f t="shared" si="6"/>
        <v>5.3511705685618728E-2</v>
      </c>
      <c r="R11" s="16"/>
      <c r="S11" s="16"/>
      <c r="T11" s="16"/>
      <c r="U11" s="16"/>
      <c r="V11" s="16"/>
      <c r="W11" s="16"/>
      <c r="X11" s="16"/>
      <c r="Y11" s="16"/>
      <c r="Z11" s="19"/>
      <c r="AA11" s="16"/>
      <c r="AB11" s="27" t="s">
        <v>184</v>
      </c>
      <c r="AC11" s="6" t="s">
        <v>105</v>
      </c>
      <c r="AD11" s="128">
        <v>45425</v>
      </c>
      <c r="AE11" s="129">
        <v>13082.199999999999</v>
      </c>
      <c r="AG11" s="113" t="s">
        <v>104</v>
      </c>
      <c r="AH11" s="136" t="s">
        <v>20</v>
      </c>
      <c r="AI11" s="117">
        <v>-1379.0000000000009</v>
      </c>
      <c r="AJ11" s="118">
        <v>0</v>
      </c>
      <c r="AL11" s="138" t="s">
        <v>23</v>
      </c>
      <c r="AM11" s="120">
        <v>1126.4999999999998</v>
      </c>
      <c r="AN11" s="139">
        <v>0</v>
      </c>
      <c r="AO11" s="121">
        <v>0</v>
      </c>
    </row>
    <row r="12" spans="1:41" ht="22.5" customHeight="1">
      <c r="A12" s="15">
        <v>11</v>
      </c>
      <c r="B12" s="28" t="s">
        <v>53</v>
      </c>
      <c r="C12" s="15" t="s">
        <v>97</v>
      </c>
      <c r="D12" s="18">
        <v>45435</v>
      </c>
      <c r="E12" s="16">
        <v>675</v>
      </c>
      <c r="F12" s="18"/>
      <c r="G12" s="16"/>
      <c r="H12" s="16">
        <f ca="1">IFERROR(__xludf.DUMMYFUNCTION("IFERROR(GOOGLEFINANCE(""NSE:""&amp;B12,""price""),"""")"),863.85)</f>
        <v>863.85</v>
      </c>
      <c r="I12" s="15">
        <v>10</v>
      </c>
      <c r="J12" s="16">
        <f t="shared" si="0"/>
        <v>6750</v>
      </c>
      <c r="K12" s="16">
        <f t="shared" si="1"/>
        <v>6750</v>
      </c>
      <c r="L12" s="16">
        <f t="shared" ca="1" si="2"/>
        <v>1888.5000000000002</v>
      </c>
      <c r="M12" s="19">
        <f t="shared" ca="1" si="3"/>
        <v>0.27977777777777779</v>
      </c>
      <c r="N12" s="16">
        <f ca="1">IFERROR(__xludf.DUMMYFUNCTION("IFERROR(IF(G12&gt;0,0,GOOGLEFINANCE(""NSE:""&amp;B12,""change"")),0)"),-0.7)</f>
        <v>-0.7</v>
      </c>
      <c r="O12" s="16">
        <f t="shared" ca="1" si="4"/>
        <v>-7</v>
      </c>
      <c r="P12" s="16">
        <f t="shared" si="5"/>
        <v>0</v>
      </c>
      <c r="Q12" s="19">
        <f t="shared" si="6"/>
        <v>0</v>
      </c>
      <c r="R12" s="16"/>
      <c r="S12" s="16"/>
      <c r="T12" s="16"/>
      <c r="U12" s="16"/>
      <c r="V12" s="16"/>
      <c r="W12" s="16"/>
      <c r="X12" s="16"/>
      <c r="Y12" s="16"/>
      <c r="Z12" s="19"/>
      <c r="AA12" s="16"/>
      <c r="AB12" s="27" t="s">
        <v>184</v>
      </c>
      <c r="AD12" s="128">
        <v>45463</v>
      </c>
      <c r="AE12" s="129">
        <v>3827.2000000000007</v>
      </c>
      <c r="AF12" s="8"/>
      <c r="AG12" s="143"/>
      <c r="AH12" s="138" t="s">
        <v>185</v>
      </c>
      <c r="AI12" s="120">
        <v>0</v>
      </c>
      <c r="AJ12" s="121">
        <v>3259.8999999999996</v>
      </c>
      <c r="AL12" s="138" t="s">
        <v>110</v>
      </c>
      <c r="AM12" s="120">
        <v>2318.9999999999986</v>
      </c>
      <c r="AN12" s="139">
        <v>0</v>
      </c>
      <c r="AO12" s="121">
        <v>0</v>
      </c>
    </row>
    <row r="13" spans="1:41" ht="22.5" customHeight="1">
      <c r="A13" s="15">
        <v>12</v>
      </c>
      <c r="B13" s="30" t="s">
        <v>186</v>
      </c>
      <c r="C13" s="17" t="s">
        <v>97</v>
      </c>
      <c r="D13" s="18">
        <v>45439</v>
      </c>
      <c r="E13" s="16">
        <v>445.33</v>
      </c>
      <c r="F13" s="18">
        <v>45524</v>
      </c>
      <c r="G13" s="16">
        <v>673.4</v>
      </c>
      <c r="H13" s="16">
        <f ca="1">IFERROR(__xludf.DUMMYFUNCTION("IFERROR(GOOGLEFINANCE(""NSE:""&amp;B13,""price""),"""")"),411.7)</f>
        <v>411.7</v>
      </c>
      <c r="I13" s="15">
        <v>12</v>
      </c>
      <c r="J13" s="16">
        <f t="shared" si="0"/>
        <v>5343.96</v>
      </c>
      <c r="K13" s="16">
        <f t="shared" si="1"/>
        <v>13424.76</v>
      </c>
      <c r="L13" s="16">
        <f t="shared" si="2"/>
        <v>0</v>
      </c>
      <c r="M13" s="19">
        <f t="shared" si="3"/>
        <v>0</v>
      </c>
      <c r="N13" s="16">
        <f ca="1">IFERROR(__xludf.DUMMYFUNCTION("IFERROR(IF(G13&gt;0,0,GOOGLEFINANCE(""NSE:""&amp;B13,""change"")),0)"),0)</f>
        <v>0</v>
      </c>
      <c r="O13" s="16">
        <f t="shared" ca="1" si="4"/>
        <v>0</v>
      </c>
      <c r="P13" s="16">
        <f t="shared" si="5"/>
        <v>2736.84</v>
      </c>
      <c r="Q13" s="19">
        <f t="shared" si="6"/>
        <v>0.51213706689421323</v>
      </c>
      <c r="R13" s="16"/>
      <c r="S13" s="16"/>
      <c r="T13" s="16"/>
      <c r="U13" s="16"/>
      <c r="V13" s="16"/>
      <c r="W13" s="16"/>
      <c r="X13" s="16"/>
      <c r="Y13" s="16"/>
      <c r="Z13" s="19"/>
      <c r="AA13" s="16"/>
      <c r="AD13" s="128">
        <v>45492</v>
      </c>
      <c r="AE13" s="129">
        <v>2173.0999999999995</v>
      </c>
      <c r="AG13" s="143"/>
      <c r="AH13" s="138" t="s">
        <v>28</v>
      </c>
      <c r="AI13" s="120">
        <v>0</v>
      </c>
      <c r="AJ13" s="121">
        <v>5095.1999999999989</v>
      </c>
      <c r="AL13" s="138" t="s">
        <v>53</v>
      </c>
      <c r="AM13" s="120">
        <v>0</v>
      </c>
      <c r="AN13" s="139">
        <v>1888.5000000000002</v>
      </c>
      <c r="AO13" s="121">
        <v>-7</v>
      </c>
    </row>
    <row r="14" spans="1:41" ht="22.5" customHeight="1">
      <c r="A14" s="15">
        <v>13</v>
      </c>
      <c r="B14" s="15" t="s">
        <v>182</v>
      </c>
      <c r="C14" s="17" t="s">
        <v>97</v>
      </c>
      <c r="D14" s="18">
        <v>45453</v>
      </c>
      <c r="E14" s="16">
        <v>1358.9</v>
      </c>
      <c r="F14" s="18">
        <v>45807</v>
      </c>
      <c r="G14" s="16">
        <v>1597.48</v>
      </c>
      <c r="H14" s="16">
        <f ca="1">IFERROR(__xludf.DUMMYFUNCTION("IFERROR(GOOGLEFINANCE(""NSE:""&amp;B14,""price""),"""")"),1678.4)</f>
        <v>1678.4</v>
      </c>
      <c r="I14" s="15">
        <v>10</v>
      </c>
      <c r="J14" s="16">
        <f t="shared" si="0"/>
        <v>13589</v>
      </c>
      <c r="K14" s="16">
        <f t="shared" si="1"/>
        <v>29563.800000000003</v>
      </c>
      <c r="L14" s="16">
        <f t="shared" si="2"/>
        <v>0</v>
      </c>
      <c r="M14" s="19">
        <f t="shared" si="3"/>
        <v>0</v>
      </c>
      <c r="N14" s="16">
        <f ca="1">IFERROR(__xludf.DUMMYFUNCTION("IFERROR(IF(G14&gt;0,0,GOOGLEFINANCE(""NSE:""&amp;B14,""change"")),0)"),0)</f>
        <v>0</v>
      </c>
      <c r="O14" s="16">
        <f t="shared" ca="1" si="4"/>
        <v>0</v>
      </c>
      <c r="P14" s="16">
        <f t="shared" si="5"/>
        <v>2385.7999999999993</v>
      </c>
      <c r="Q14" s="19">
        <f t="shared" si="6"/>
        <v>0.17556847450143492</v>
      </c>
      <c r="R14" s="16"/>
      <c r="S14" s="16"/>
      <c r="T14" s="16"/>
      <c r="U14" s="16"/>
      <c r="V14" s="16"/>
      <c r="W14" s="16"/>
      <c r="X14" s="16"/>
      <c r="Y14" s="16"/>
      <c r="Z14" s="19"/>
      <c r="AA14" s="16"/>
      <c r="AB14" s="27" t="s">
        <v>184</v>
      </c>
      <c r="AC14" s="6" t="s">
        <v>105</v>
      </c>
      <c r="AD14" s="128">
        <v>45498</v>
      </c>
      <c r="AE14" s="129">
        <v>2065.0499999999988</v>
      </c>
      <c r="AG14" s="143"/>
      <c r="AH14" s="138" t="s">
        <v>187</v>
      </c>
      <c r="AI14" s="120">
        <v>0</v>
      </c>
      <c r="AJ14" s="121">
        <v>5327.6000000000013</v>
      </c>
      <c r="AL14" s="138" t="s">
        <v>24</v>
      </c>
      <c r="AM14" s="120">
        <v>-870</v>
      </c>
      <c r="AN14" s="139">
        <v>0</v>
      </c>
      <c r="AO14" s="121">
        <v>0</v>
      </c>
    </row>
    <row r="15" spans="1:41" ht="22.5" customHeight="1">
      <c r="A15" s="15">
        <v>14</v>
      </c>
      <c r="B15" s="28" t="s">
        <v>170</v>
      </c>
      <c r="C15" s="15" t="s">
        <v>97</v>
      </c>
      <c r="D15" s="18">
        <v>45464</v>
      </c>
      <c r="E15" s="16">
        <v>937.85</v>
      </c>
      <c r="F15" s="18">
        <v>45600</v>
      </c>
      <c r="G15" s="16">
        <v>945</v>
      </c>
      <c r="H15" s="16">
        <f ca="1">IFERROR(__xludf.DUMMYFUNCTION("IFERROR(GOOGLEFINANCE(""NSE:""&amp;B15,""price""),"""")"),1095.9)</f>
        <v>1095.9000000000001</v>
      </c>
      <c r="I15" s="15">
        <v>10</v>
      </c>
      <c r="J15" s="16">
        <f t="shared" si="0"/>
        <v>9378.5</v>
      </c>
      <c r="K15" s="16">
        <f t="shared" si="1"/>
        <v>18828.5</v>
      </c>
      <c r="L15" s="16">
        <f t="shared" si="2"/>
        <v>0</v>
      </c>
      <c r="M15" s="19">
        <f t="shared" si="3"/>
        <v>0</v>
      </c>
      <c r="N15" s="16">
        <f ca="1">IFERROR(__xludf.DUMMYFUNCTION("IFERROR(IF(G15&gt;0,0,GOOGLEFINANCE(""NSE:""&amp;B15,""change"")),0)"),0)</f>
        <v>0</v>
      </c>
      <c r="O15" s="16">
        <f t="shared" ca="1" si="4"/>
        <v>0</v>
      </c>
      <c r="P15" s="16">
        <f t="shared" si="5"/>
        <v>71.499999999999773</v>
      </c>
      <c r="Q15" s="19">
        <f t="shared" si="6"/>
        <v>7.6238204403689044E-3</v>
      </c>
      <c r="R15" s="16"/>
      <c r="S15" s="16"/>
      <c r="T15" s="16"/>
      <c r="U15" s="16"/>
      <c r="V15" s="16"/>
      <c r="W15" s="16"/>
      <c r="X15" s="16"/>
      <c r="Y15" s="16"/>
      <c r="Z15" s="19"/>
      <c r="AA15" s="16"/>
      <c r="AC15" s="6" t="s">
        <v>105</v>
      </c>
      <c r="AD15" s="128">
        <v>45524</v>
      </c>
      <c r="AE15" s="129">
        <v>4105.26</v>
      </c>
      <c r="AG15" s="113" t="s">
        <v>188</v>
      </c>
      <c r="AH15" s="134"/>
      <c r="AI15" s="117">
        <v>-1379.0000000000009</v>
      </c>
      <c r="AJ15" s="118">
        <v>13682.7</v>
      </c>
      <c r="AL15" s="138" t="s">
        <v>185</v>
      </c>
      <c r="AM15" s="120">
        <v>3259.8999999999996</v>
      </c>
      <c r="AN15" s="139">
        <v>0</v>
      </c>
      <c r="AO15" s="121">
        <v>0</v>
      </c>
    </row>
    <row r="16" spans="1:41" ht="22.5" customHeight="1">
      <c r="A16" s="15">
        <v>15</v>
      </c>
      <c r="B16" s="31" t="s">
        <v>183</v>
      </c>
      <c r="C16" s="17" t="s">
        <v>189</v>
      </c>
      <c r="D16" s="18">
        <v>45476</v>
      </c>
      <c r="E16" s="16">
        <v>1255.9000000000001</v>
      </c>
      <c r="F16" s="18">
        <v>45498</v>
      </c>
      <c r="G16" s="16">
        <v>1414.75</v>
      </c>
      <c r="H16" s="16">
        <f ca="1">IFERROR(__xludf.DUMMYFUNCTION("IFERROR(GOOGLEFINANCE(""NSE:""&amp;B16,""price""),"""")"),2046.5)</f>
        <v>2046.5</v>
      </c>
      <c r="I16" s="15">
        <v>13</v>
      </c>
      <c r="J16" s="16">
        <f t="shared" si="0"/>
        <v>16326.7</v>
      </c>
      <c r="K16" s="16">
        <f t="shared" si="1"/>
        <v>34718.450000000004</v>
      </c>
      <c r="L16" s="16">
        <f t="shared" si="2"/>
        <v>0</v>
      </c>
      <c r="M16" s="19">
        <f t="shared" si="3"/>
        <v>0</v>
      </c>
      <c r="N16" s="16">
        <f ca="1">IFERROR(__xludf.DUMMYFUNCTION("IFERROR(IF(G16&gt;0,0,GOOGLEFINANCE(""NSE:""&amp;B16,""change"")),0)"),0)</f>
        <v>0</v>
      </c>
      <c r="O16" s="16">
        <f t="shared" ca="1" si="4"/>
        <v>0</v>
      </c>
      <c r="P16" s="16">
        <f t="shared" si="5"/>
        <v>2065.0499999999988</v>
      </c>
      <c r="Q16" s="19">
        <f t="shared" si="6"/>
        <v>0.12648300023887243</v>
      </c>
      <c r="R16" s="16"/>
      <c r="S16" s="16"/>
      <c r="T16" s="16"/>
      <c r="U16" s="16"/>
      <c r="V16" s="16"/>
      <c r="W16" s="16"/>
      <c r="X16" s="16"/>
      <c r="Y16" s="16"/>
      <c r="Z16" s="19"/>
      <c r="AA16" s="16"/>
      <c r="AB16" s="27" t="s">
        <v>184</v>
      </c>
      <c r="AD16" s="128">
        <v>45559</v>
      </c>
      <c r="AE16" s="129">
        <v>4041.2999999999988</v>
      </c>
      <c r="AG16" s="113" t="s">
        <v>276</v>
      </c>
      <c r="AH16" s="134"/>
      <c r="AI16" s="117" t="e">
        <v>#VALUE!</v>
      </c>
      <c r="AJ16" s="118">
        <v>0</v>
      </c>
      <c r="AL16" s="138" t="s">
        <v>28</v>
      </c>
      <c r="AM16" s="120">
        <v>13082.199999999999</v>
      </c>
      <c r="AN16" s="139">
        <v>0</v>
      </c>
      <c r="AO16" s="121">
        <v>0</v>
      </c>
    </row>
    <row r="17" spans="1:41" ht="22.5" customHeight="1">
      <c r="A17" s="15">
        <v>16</v>
      </c>
      <c r="B17" s="31" t="s">
        <v>190</v>
      </c>
      <c r="C17" s="17" t="s">
        <v>189</v>
      </c>
      <c r="D17" s="18">
        <v>45476</v>
      </c>
      <c r="E17" s="16">
        <v>800.25</v>
      </c>
      <c r="F17" s="18">
        <v>45827</v>
      </c>
      <c r="G17" s="16">
        <v>584.6</v>
      </c>
      <c r="H17" s="16">
        <f ca="1">IFERROR(__xludf.DUMMYFUNCTION("IFERROR(GOOGLEFINANCE(""NSE:""&amp;B17,""price""),"""")"),534.25)</f>
        <v>534.25</v>
      </c>
      <c r="I17" s="15">
        <v>10</v>
      </c>
      <c r="J17" s="16">
        <f t="shared" si="0"/>
        <v>8002.5</v>
      </c>
      <c r="K17" s="16">
        <f t="shared" si="1"/>
        <v>13848.5</v>
      </c>
      <c r="L17" s="16">
        <f t="shared" si="2"/>
        <v>0</v>
      </c>
      <c r="M17" s="19">
        <f t="shared" si="3"/>
        <v>0</v>
      </c>
      <c r="N17" s="16">
        <f ca="1">IFERROR(__xludf.DUMMYFUNCTION("IFERROR(IF(G17&gt;0,0,GOOGLEFINANCE(""NSE:""&amp;B17,""change"")),0)"),0)</f>
        <v>0</v>
      </c>
      <c r="O17" s="16">
        <f t="shared" ca="1" si="4"/>
        <v>0</v>
      </c>
      <c r="P17" s="16">
        <f t="shared" si="5"/>
        <v>-2156.5</v>
      </c>
      <c r="Q17" s="19">
        <f t="shared" si="6"/>
        <v>-0.26947828803498902</v>
      </c>
      <c r="R17" s="16"/>
      <c r="S17" s="16"/>
      <c r="T17" s="16"/>
      <c r="U17" s="16"/>
      <c r="V17" s="16"/>
      <c r="W17" s="16"/>
      <c r="X17" s="16"/>
      <c r="Y17" s="16"/>
      <c r="Z17" s="19"/>
      <c r="AA17" s="16"/>
      <c r="AB17" s="27" t="s">
        <v>184</v>
      </c>
      <c r="AC17" s="6" t="s">
        <v>102</v>
      </c>
      <c r="AD17" s="128">
        <v>45566</v>
      </c>
      <c r="AE17" s="129">
        <v>2318.9999999999986</v>
      </c>
      <c r="AG17" s="122" t="s">
        <v>48</v>
      </c>
      <c r="AH17" s="142"/>
      <c r="AI17" s="123" t="e">
        <v>#VALUE!</v>
      </c>
      <c r="AJ17" s="124">
        <v>48032.459999999992</v>
      </c>
      <c r="AL17" s="138" t="s">
        <v>113</v>
      </c>
      <c r="AM17" s="120">
        <v>0</v>
      </c>
      <c r="AN17" s="139">
        <v>-2379.75</v>
      </c>
      <c r="AO17" s="121">
        <v>-50</v>
      </c>
    </row>
    <row r="18" spans="1:41" ht="22.5" customHeight="1">
      <c r="A18" s="15">
        <v>17</v>
      </c>
      <c r="B18" s="30" t="s">
        <v>186</v>
      </c>
      <c r="C18" s="17" t="s">
        <v>97</v>
      </c>
      <c r="D18" s="18">
        <v>45439</v>
      </c>
      <c r="E18" s="16">
        <v>445.33</v>
      </c>
      <c r="F18" s="18">
        <v>45524</v>
      </c>
      <c r="G18" s="16">
        <v>673.4</v>
      </c>
      <c r="H18" s="16">
        <f ca="1">IFERROR(__xludf.DUMMYFUNCTION("IFERROR(GOOGLEFINANCE(""NSE:""&amp;B18,""price""),"""")"),411.7)</f>
        <v>411.7</v>
      </c>
      <c r="I18" s="15">
        <v>6</v>
      </c>
      <c r="J18" s="16">
        <f t="shared" si="0"/>
        <v>2671.98</v>
      </c>
      <c r="K18" s="16">
        <f t="shared" si="1"/>
        <v>6712.38</v>
      </c>
      <c r="L18" s="16">
        <f t="shared" si="2"/>
        <v>0</v>
      </c>
      <c r="M18" s="19">
        <f t="shared" si="3"/>
        <v>0</v>
      </c>
      <c r="N18" s="16">
        <f ca="1">IFERROR(__xludf.DUMMYFUNCTION("IFERROR(IF(G18&gt;0,0,GOOGLEFINANCE(""NSE:""&amp;B18,""change"")),0)"),0)</f>
        <v>0</v>
      </c>
      <c r="O18" s="16">
        <f t="shared" ca="1" si="4"/>
        <v>0</v>
      </c>
      <c r="P18" s="16">
        <f t="shared" si="5"/>
        <v>1368.42</v>
      </c>
      <c r="Q18" s="19">
        <f t="shared" si="6"/>
        <v>0.51213706689421323</v>
      </c>
      <c r="R18" s="16"/>
      <c r="S18" s="16"/>
      <c r="T18" s="16"/>
      <c r="U18" s="16"/>
      <c r="V18" s="16"/>
      <c r="W18" s="16"/>
      <c r="X18" s="16"/>
      <c r="Y18" s="16"/>
      <c r="Z18" s="19"/>
      <c r="AA18" s="16"/>
      <c r="AD18" s="128">
        <v>45600</v>
      </c>
      <c r="AE18" s="129">
        <v>1677.9999999999995</v>
      </c>
      <c r="AL18" s="138" t="s">
        <v>32</v>
      </c>
      <c r="AM18" s="120">
        <v>0</v>
      </c>
      <c r="AN18" s="139">
        <v>-1859.9999999999995</v>
      </c>
      <c r="AO18" s="121">
        <v>166.5</v>
      </c>
    </row>
    <row r="19" spans="1:41" ht="22.5" customHeight="1">
      <c r="A19" s="15">
        <v>18</v>
      </c>
      <c r="B19" s="31" t="s">
        <v>47</v>
      </c>
      <c r="C19" s="17" t="s">
        <v>97</v>
      </c>
      <c r="D19" s="18">
        <v>45482</v>
      </c>
      <c r="E19" s="16">
        <v>452.3</v>
      </c>
      <c r="F19" s="18"/>
      <c r="G19" s="16"/>
      <c r="H19" s="16">
        <f ca="1">IFERROR(__xludf.DUMMYFUNCTION("IFERROR(GOOGLEFINANCE(""NSE:""&amp;B19,""price""),"""")"),408.85)</f>
        <v>408.85</v>
      </c>
      <c r="I19" s="15">
        <v>20</v>
      </c>
      <c r="J19" s="16">
        <f t="shared" si="0"/>
        <v>9046</v>
      </c>
      <c r="K19" s="16">
        <f t="shared" si="1"/>
        <v>9046</v>
      </c>
      <c r="L19" s="16">
        <f t="shared" ca="1" si="2"/>
        <v>-868.99999999999977</v>
      </c>
      <c r="M19" s="19">
        <f t="shared" ca="1" si="3"/>
        <v>-9.6064558921070062E-2</v>
      </c>
      <c r="N19" s="16">
        <f ca="1">IFERROR(__xludf.DUMMYFUNCTION("IFERROR(IF(G19&gt;0,0,GOOGLEFINANCE(""NSE:""&amp;B19,""change"")),0)"),6.15)</f>
        <v>6.15</v>
      </c>
      <c r="O19" s="16">
        <f t="shared" ca="1" si="4"/>
        <v>123</v>
      </c>
      <c r="P19" s="16">
        <f t="shared" si="5"/>
        <v>0</v>
      </c>
      <c r="Q19" s="19">
        <f t="shared" si="6"/>
        <v>0</v>
      </c>
      <c r="R19" s="16"/>
      <c r="S19" s="16"/>
      <c r="T19" s="16"/>
      <c r="U19" s="16"/>
      <c r="V19" s="16"/>
      <c r="W19" s="16"/>
      <c r="X19" s="16"/>
      <c r="Y19" s="16"/>
      <c r="Z19" s="19"/>
      <c r="AA19" s="16"/>
      <c r="AB19" s="27" t="s">
        <v>191</v>
      </c>
      <c r="AD19" s="128">
        <v>45644</v>
      </c>
      <c r="AE19" s="129">
        <v>5327.6000000000013</v>
      </c>
      <c r="AL19" s="138" t="s">
        <v>47</v>
      </c>
      <c r="AM19" s="120">
        <v>0</v>
      </c>
      <c r="AN19" s="139">
        <v>-868.99999999999977</v>
      </c>
      <c r="AO19" s="121">
        <v>123</v>
      </c>
    </row>
    <row r="20" spans="1:41" ht="22.5" customHeight="1">
      <c r="A20" s="15">
        <v>19</v>
      </c>
      <c r="B20" s="16" t="s">
        <v>192</v>
      </c>
      <c r="C20" s="17" t="s">
        <v>97</v>
      </c>
      <c r="D20" s="18">
        <v>45483</v>
      </c>
      <c r="E20" s="16">
        <v>481.05</v>
      </c>
      <c r="F20" s="18">
        <v>45670</v>
      </c>
      <c r="G20" s="16">
        <v>579</v>
      </c>
      <c r="H20" s="16">
        <f ca="1">IFERROR(__xludf.DUMMYFUNCTION("IFERROR(GOOGLEFINANCE(""NSE:""&amp;B20,""price""),"""")"),1072.1)</f>
        <v>1072.0999999999999</v>
      </c>
      <c r="I20" s="15">
        <v>15</v>
      </c>
      <c r="J20" s="16">
        <f t="shared" si="0"/>
        <v>7215.75</v>
      </c>
      <c r="K20" s="16">
        <f t="shared" si="1"/>
        <v>15900.75</v>
      </c>
      <c r="L20" s="16">
        <f t="shared" si="2"/>
        <v>0</v>
      </c>
      <c r="M20" s="19">
        <f t="shared" si="3"/>
        <v>0</v>
      </c>
      <c r="N20" s="16">
        <f ca="1">IFERROR(__xludf.DUMMYFUNCTION("IFERROR(IF(G20&gt;0,0,GOOGLEFINANCE(""NSE:""&amp;B20,""change"")),0)"),0)</f>
        <v>0</v>
      </c>
      <c r="O20" s="16">
        <f t="shared" ca="1" si="4"/>
        <v>0</v>
      </c>
      <c r="P20" s="16">
        <f t="shared" si="5"/>
        <v>1469.2499999999998</v>
      </c>
      <c r="Q20" s="19">
        <f t="shared" si="6"/>
        <v>0.20361708762082942</v>
      </c>
      <c r="R20" s="16"/>
      <c r="S20" s="16"/>
      <c r="T20" s="16"/>
      <c r="U20" s="16"/>
      <c r="V20" s="16"/>
      <c r="W20" s="16"/>
      <c r="X20" s="16"/>
      <c r="Y20" s="16"/>
      <c r="Z20" s="19"/>
      <c r="AA20" s="16"/>
      <c r="AB20" s="27" t="s">
        <v>193</v>
      </c>
      <c r="AC20" s="6" t="s">
        <v>105</v>
      </c>
      <c r="AD20" s="128">
        <v>45646</v>
      </c>
      <c r="AE20" s="129">
        <v>3259.8999999999996</v>
      </c>
      <c r="AL20" s="138" t="s">
        <v>36</v>
      </c>
      <c r="AM20" s="120">
        <v>0</v>
      </c>
      <c r="AN20" s="139">
        <v>567</v>
      </c>
      <c r="AO20" s="121">
        <v>-4.5</v>
      </c>
    </row>
    <row r="21" spans="1:41" ht="22.5" customHeight="1">
      <c r="A21" s="15">
        <v>20</v>
      </c>
      <c r="B21" s="16" t="s">
        <v>178</v>
      </c>
      <c r="C21" s="15" t="s">
        <v>97</v>
      </c>
      <c r="D21" s="18">
        <v>45630</v>
      </c>
      <c r="E21" s="16">
        <v>564.1</v>
      </c>
      <c r="F21" s="18">
        <v>45492</v>
      </c>
      <c r="G21" s="16">
        <v>684.3</v>
      </c>
      <c r="H21" s="16">
        <f ca="1">IFERROR(__xludf.DUMMYFUNCTION("IFERROR(GOOGLEFINANCE(""NSE:""&amp;B21,""price""),"""")"),380.6)</f>
        <v>380.6</v>
      </c>
      <c r="I21" s="15">
        <v>8</v>
      </c>
      <c r="J21" s="16">
        <f t="shared" si="0"/>
        <v>4512.8</v>
      </c>
      <c r="K21" s="16">
        <f t="shared" si="1"/>
        <v>9987.2000000000007</v>
      </c>
      <c r="L21" s="16">
        <f t="shared" si="2"/>
        <v>0</v>
      </c>
      <c r="M21" s="19">
        <f t="shared" si="3"/>
        <v>0</v>
      </c>
      <c r="N21" s="16">
        <f ca="1">IFERROR(__xludf.DUMMYFUNCTION("IFERROR(IF(G21&gt;0,0,GOOGLEFINANCE(""NSE:""&amp;B21,""change"")),0)"),0)</f>
        <v>0</v>
      </c>
      <c r="O21" s="16">
        <f t="shared" ca="1" si="4"/>
        <v>0</v>
      </c>
      <c r="P21" s="16">
        <f t="shared" si="5"/>
        <v>961.59999999999945</v>
      </c>
      <c r="Q21" s="19">
        <f t="shared" si="6"/>
        <v>0.21308278673993961</v>
      </c>
      <c r="R21" s="16"/>
      <c r="S21" s="16"/>
      <c r="T21" s="16"/>
      <c r="U21" s="16"/>
      <c r="V21" s="16"/>
      <c r="W21" s="16"/>
      <c r="X21" s="16"/>
      <c r="Y21" s="16"/>
      <c r="Z21" s="19"/>
      <c r="AA21" s="16"/>
      <c r="AD21" s="128">
        <v>45670</v>
      </c>
      <c r="AE21" s="129">
        <v>1469.2499999999998</v>
      </c>
      <c r="AL21" s="138" t="s">
        <v>170</v>
      </c>
      <c r="AM21" s="120">
        <v>551.49999999999977</v>
      </c>
      <c r="AN21" s="139">
        <v>0</v>
      </c>
      <c r="AO21" s="121">
        <v>0</v>
      </c>
    </row>
    <row r="22" spans="1:41" ht="22.5" customHeight="1">
      <c r="A22" s="15">
        <v>21</v>
      </c>
      <c r="B22" s="16" t="s">
        <v>194</v>
      </c>
      <c r="C22" s="17" t="s">
        <v>189</v>
      </c>
      <c r="D22" s="18">
        <v>45499</v>
      </c>
      <c r="E22" s="16">
        <v>1210.1500000000001</v>
      </c>
      <c r="F22" s="18"/>
      <c r="G22" s="16"/>
      <c r="H22" s="16">
        <f ca="1">IFERROR(__xludf.DUMMYFUNCTION("IFERROR(GOOGLEFINANCE(""NSE:""&amp;B22,""price""),"""")"),929.45)</f>
        <v>929.45</v>
      </c>
      <c r="I22" s="15">
        <v>9</v>
      </c>
      <c r="J22" s="16">
        <f t="shared" si="0"/>
        <v>10891.35</v>
      </c>
      <c r="K22" s="16">
        <f t="shared" si="1"/>
        <v>10891.35</v>
      </c>
      <c r="L22" s="16">
        <f t="shared" ca="1" si="2"/>
        <v>-2526.3000000000002</v>
      </c>
      <c r="M22" s="19">
        <f t="shared" ca="1" si="3"/>
        <v>-0.23195471635747636</v>
      </c>
      <c r="N22" s="16">
        <f ca="1">IFERROR(__xludf.DUMMYFUNCTION("IFERROR(IF(G22&gt;0,0,GOOGLEFINANCE(""NSE:""&amp;B22,""change"")),0)"),11.25)</f>
        <v>11.25</v>
      </c>
      <c r="O22" s="16">
        <f t="shared" ca="1" si="4"/>
        <v>101.25</v>
      </c>
      <c r="P22" s="16">
        <f t="shared" si="5"/>
        <v>0</v>
      </c>
      <c r="Q22" s="19">
        <f t="shared" si="6"/>
        <v>0</v>
      </c>
      <c r="R22" s="16"/>
      <c r="S22" s="16"/>
      <c r="T22" s="16"/>
      <c r="U22" s="16"/>
      <c r="V22" s="16"/>
      <c r="W22" s="16"/>
      <c r="X22" s="16"/>
      <c r="Y22" s="16"/>
      <c r="Z22" s="19"/>
      <c r="AA22" s="16"/>
      <c r="AD22" s="128">
        <v>45807</v>
      </c>
      <c r="AE22" s="129">
        <v>2385.7999999999993</v>
      </c>
      <c r="AL22" s="138" t="s">
        <v>192</v>
      </c>
      <c r="AM22" s="120">
        <v>1469.2499999999998</v>
      </c>
      <c r="AN22" s="139">
        <v>0</v>
      </c>
      <c r="AO22" s="121">
        <v>0</v>
      </c>
    </row>
    <row r="23" spans="1:41" ht="22.5" customHeight="1">
      <c r="A23" s="15">
        <v>22</v>
      </c>
      <c r="B23" s="16" t="s">
        <v>63</v>
      </c>
      <c r="C23" s="17" t="s">
        <v>139</v>
      </c>
      <c r="D23" s="18">
        <v>45559</v>
      </c>
      <c r="E23" s="16">
        <v>263</v>
      </c>
      <c r="F23" s="18">
        <v>45559</v>
      </c>
      <c r="G23" s="16">
        <v>333.9</v>
      </c>
      <c r="H23" s="16">
        <f ca="1">IFERROR(__xludf.DUMMYFUNCTION("IFERROR(GOOGLEFINANCE(""NSE:""&amp;B23,""price""),"""")"),253.65)</f>
        <v>253.65</v>
      </c>
      <c r="I23" s="15">
        <v>57</v>
      </c>
      <c r="J23" s="16">
        <f t="shared" si="0"/>
        <v>14991</v>
      </c>
      <c r="K23" s="16">
        <f t="shared" si="1"/>
        <v>34023.299999999996</v>
      </c>
      <c r="L23" s="16">
        <f t="shared" si="2"/>
        <v>0</v>
      </c>
      <c r="M23" s="19">
        <f t="shared" si="3"/>
        <v>0</v>
      </c>
      <c r="N23" s="16">
        <f ca="1">IFERROR(__xludf.DUMMYFUNCTION("IFERROR(IF(G23&gt;0,0,GOOGLEFINANCE(""NSE:""&amp;B23,""change"")),0)"),0)</f>
        <v>0</v>
      </c>
      <c r="O23" s="16">
        <f t="shared" ca="1" si="4"/>
        <v>0</v>
      </c>
      <c r="P23" s="16">
        <f t="shared" si="5"/>
        <v>4041.2999999999988</v>
      </c>
      <c r="Q23" s="19">
        <f t="shared" si="6"/>
        <v>0.26958174904942955</v>
      </c>
      <c r="R23" s="16"/>
      <c r="S23" s="16"/>
      <c r="T23" s="16"/>
      <c r="U23" s="16"/>
      <c r="V23" s="16"/>
      <c r="W23" s="16"/>
      <c r="X23" s="16"/>
      <c r="Y23" s="16"/>
      <c r="Z23" s="19"/>
      <c r="AA23" s="16"/>
      <c r="AB23" s="27" t="s">
        <v>122</v>
      </c>
      <c r="AD23" s="128">
        <v>45827</v>
      </c>
      <c r="AE23" s="129">
        <v>-3026.5</v>
      </c>
      <c r="AL23" s="138" t="s">
        <v>190</v>
      </c>
      <c r="AM23" s="120">
        <v>-2156.5</v>
      </c>
      <c r="AN23" s="139">
        <v>0</v>
      </c>
      <c r="AO23" s="121">
        <v>0</v>
      </c>
    </row>
    <row r="24" spans="1:41" ht="22.5" customHeight="1">
      <c r="A24" s="15">
        <v>23</v>
      </c>
      <c r="B24" s="16" t="s">
        <v>63</v>
      </c>
      <c r="C24" s="15" t="s">
        <v>131</v>
      </c>
      <c r="D24" s="18">
        <v>45559</v>
      </c>
      <c r="E24" s="16">
        <v>263</v>
      </c>
      <c r="F24" s="18"/>
      <c r="G24" s="16">
        <v>0</v>
      </c>
      <c r="H24" s="16">
        <f ca="1">IFERROR(__xludf.DUMMYFUNCTION("IFERROR(GOOGLEFINANCE(""NSE:""&amp;B24,""price""),"""")"),253.65)</f>
        <v>253.65</v>
      </c>
      <c r="I24" s="15">
        <v>57</v>
      </c>
      <c r="J24" s="16">
        <f t="shared" si="0"/>
        <v>14991</v>
      </c>
      <c r="K24" s="16">
        <f t="shared" si="1"/>
        <v>14991</v>
      </c>
      <c r="L24" s="16">
        <f t="shared" ca="1" si="2"/>
        <v>-532.9499999999997</v>
      </c>
      <c r="M24" s="19">
        <f t="shared" ca="1" si="3"/>
        <v>-3.5551330798479067E-2</v>
      </c>
      <c r="N24" s="16">
        <f ca="1">IFERROR(__xludf.DUMMYFUNCTION("IFERROR(IF(G24&gt;0,0,GOOGLEFINANCE(""NSE:""&amp;B24,""change"")),0)"),1.35)</f>
        <v>1.35</v>
      </c>
      <c r="O24" s="16">
        <f t="shared" ca="1" si="4"/>
        <v>76.95</v>
      </c>
      <c r="P24" s="16">
        <f t="shared" si="5"/>
        <v>0</v>
      </c>
      <c r="Q24" s="19">
        <f t="shared" si="6"/>
        <v>0</v>
      </c>
      <c r="R24" s="16"/>
      <c r="S24" s="16"/>
      <c r="T24" s="16"/>
      <c r="U24" s="16"/>
      <c r="V24" s="16"/>
      <c r="W24" s="16"/>
      <c r="X24" s="16"/>
      <c r="Y24" s="16"/>
      <c r="Z24" s="19"/>
      <c r="AA24" s="16"/>
      <c r="AB24" s="27" t="s">
        <v>122</v>
      </c>
      <c r="AD24" s="128" t="s">
        <v>276</v>
      </c>
      <c r="AE24" s="129">
        <v>0</v>
      </c>
      <c r="AL24" s="138" t="s">
        <v>63</v>
      </c>
      <c r="AM24" s="120">
        <v>4041.2999999999988</v>
      </c>
      <c r="AN24" s="139">
        <v>-532.9499999999997</v>
      </c>
      <c r="AO24" s="121">
        <v>76.95</v>
      </c>
    </row>
    <row r="25" spans="1:41" ht="22.5" customHeight="1">
      <c r="A25" s="15">
        <v>24</v>
      </c>
      <c r="B25" s="16" t="s">
        <v>44</v>
      </c>
      <c r="C25" s="17" t="s">
        <v>97</v>
      </c>
      <c r="D25" s="18">
        <v>45566</v>
      </c>
      <c r="E25" s="16">
        <v>1951</v>
      </c>
      <c r="F25" s="18"/>
      <c r="G25" s="16">
        <v>0</v>
      </c>
      <c r="H25" s="16">
        <f ca="1">IFERROR(__xludf.DUMMYFUNCTION("IFERROR(GOOGLEFINANCE(""NSE:""&amp;B25,""price""),"""")"),2059)</f>
        <v>2059</v>
      </c>
      <c r="I25" s="15">
        <v>5</v>
      </c>
      <c r="J25" s="16">
        <f t="shared" si="0"/>
        <v>9755</v>
      </c>
      <c r="K25" s="16">
        <f t="shared" si="1"/>
        <v>9755</v>
      </c>
      <c r="L25" s="16">
        <f t="shared" ca="1" si="2"/>
        <v>540</v>
      </c>
      <c r="M25" s="19">
        <f t="shared" ca="1" si="3"/>
        <v>5.5356227575602254E-2</v>
      </c>
      <c r="N25" s="16">
        <f ca="1">IFERROR(__xludf.DUMMYFUNCTION("IFERROR(IF(G25&gt;0,0,GOOGLEFINANCE(""NSE:""&amp;B25,""change"")),0)"),44.8)</f>
        <v>44.8</v>
      </c>
      <c r="O25" s="16">
        <f t="shared" ca="1" si="4"/>
        <v>224</v>
      </c>
      <c r="P25" s="16">
        <f t="shared" si="5"/>
        <v>0</v>
      </c>
      <c r="Q25" s="19">
        <f t="shared" si="6"/>
        <v>0</v>
      </c>
      <c r="R25" s="16"/>
      <c r="S25" s="16"/>
      <c r="T25" s="16"/>
      <c r="U25" s="16"/>
      <c r="V25" s="16"/>
      <c r="W25" s="16"/>
      <c r="X25" s="16"/>
      <c r="Y25" s="16"/>
      <c r="Z25" s="19"/>
      <c r="AA25" s="16"/>
      <c r="AB25" s="27" t="s">
        <v>195</v>
      </c>
      <c r="AD25" s="130" t="s">
        <v>48</v>
      </c>
      <c r="AE25" s="131">
        <v>48032.459999999992</v>
      </c>
      <c r="AL25" s="138" t="s">
        <v>186</v>
      </c>
      <c r="AM25" s="120">
        <v>4105.26</v>
      </c>
      <c r="AN25" s="139">
        <v>0</v>
      </c>
      <c r="AO25" s="121">
        <v>0</v>
      </c>
    </row>
    <row r="26" spans="1:41" ht="22.5" customHeight="1">
      <c r="A26" s="15">
        <v>25</v>
      </c>
      <c r="B26" s="16" t="s">
        <v>113</v>
      </c>
      <c r="C26" s="17" t="s">
        <v>139</v>
      </c>
      <c r="D26" s="18">
        <v>45586</v>
      </c>
      <c r="E26" s="16">
        <v>1646.15</v>
      </c>
      <c r="F26" s="18"/>
      <c r="G26" s="16">
        <v>0</v>
      </c>
      <c r="H26" s="16">
        <f ca="1">IFERROR(__xludf.DUMMYFUNCTION("IFERROR(GOOGLEFINANCE(""NSE:""&amp;B26,""price""),"""")"),1170.2)</f>
        <v>1170.2</v>
      </c>
      <c r="I26" s="15">
        <v>5</v>
      </c>
      <c r="J26" s="16">
        <f t="shared" si="0"/>
        <v>8230.75</v>
      </c>
      <c r="K26" s="16">
        <f t="shared" si="1"/>
        <v>8230.75</v>
      </c>
      <c r="L26" s="16">
        <f t="shared" ca="1" si="2"/>
        <v>-2379.75</v>
      </c>
      <c r="M26" s="19">
        <f t="shared" ca="1" si="3"/>
        <v>-0.28912918020836498</v>
      </c>
      <c r="N26" s="16">
        <f ca="1">IFERROR(__xludf.DUMMYFUNCTION("IFERROR(IF(G26&gt;0,0,GOOGLEFINANCE(""NSE:""&amp;B26,""change"")),0)"),-10)</f>
        <v>-10</v>
      </c>
      <c r="O26" s="16">
        <f t="shared" ca="1" si="4"/>
        <v>-50</v>
      </c>
      <c r="P26" s="16">
        <f t="shared" si="5"/>
        <v>0</v>
      </c>
      <c r="Q26" s="19">
        <f t="shared" si="6"/>
        <v>0</v>
      </c>
      <c r="R26" s="16"/>
      <c r="S26" s="16"/>
      <c r="T26" s="16"/>
      <c r="U26" s="16"/>
      <c r="V26" s="16"/>
      <c r="W26" s="16"/>
      <c r="X26" s="16"/>
      <c r="Y26" s="16"/>
      <c r="Z26" s="19"/>
      <c r="AA26" s="16"/>
      <c r="AB26" s="27" t="s">
        <v>196</v>
      </c>
      <c r="AL26" s="138" t="s">
        <v>65</v>
      </c>
      <c r="AM26" s="120">
        <v>3320.0000000000018</v>
      </c>
      <c r="AN26" s="139">
        <v>0</v>
      </c>
      <c r="AO26" s="121">
        <v>0</v>
      </c>
    </row>
    <row r="27" spans="1:41" ht="22.5" customHeight="1">
      <c r="A27" s="15">
        <v>26</v>
      </c>
      <c r="B27" s="16" t="s">
        <v>23</v>
      </c>
      <c r="C27" s="17" t="s">
        <v>97</v>
      </c>
      <c r="D27" s="18">
        <v>45384</v>
      </c>
      <c r="E27" s="16">
        <v>1489.55</v>
      </c>
      <c r="F27" s="18">
        <v>45600</v>
      </c>
      <c r="G27" s="16">
        <v>1714.85</v>
      </c>
      <c r="H27" s="16">
        <f ca="1">IFERROR(__xludf.DUMMYFUNCTION("IFERROR(GOOGLEFINANCE(""NSE:""&amp;B27,""price""),"""")"),997)</f>
        <v>997</v>
      </c>
      <c r="I27" s="15">
        <v>5</v>
      </c>
      <c r="J27" s="16">
        <f t="shared" si="0"/>
        <v>7447.75</v>
      </c>
      <c r="K27" s="16">
        <f t="shared" si="1"/>
        <v>16021.999999999998</v>
      </c>
      <c r="L27" s="16">
        <f t="shared" si="2"/>
        <v>0</v>
      </c>
      <c r="M27" s="19">
        <f t="shared" si="3"/>
        <v>0</v>
      </c>
      <c r="N27" s="16">
        <f ca="1">IFERROR(__xludf.DUMMYFUNCTION("IFERROR(IF(G27&gt;0,0,GOOGLEFINANCE(""NSE:""&amp;B27,""change"")),0)"),0)</f>
        <v>0</v>
      </c>
      <c r="O27" s="16">
        <f t="shared" ca="1" si="4"/>
        <v>0</v>
      </c>
      <c r="P27" s="16">
        <f t="shared" si="5"/>
        <v>1126.4999999999998</v>
      </c>
      <c r="Q27" s="19">
        <f t="shared" si="6"/>
        <v>0.15125373434930009</v>
      </c>
      <c r="R27" s="16"/>
      <c r="S27" s="16"/>
      <c r="T27" s="16"/>
      <c r="U27" s="16"/>
      <c r="V27" s="16"/>
      <c r="W27" s="16"/>
      <c r="X27" s="16"/>
      <c r="Y27" s="16"/>
      <c r="Z27" s="19"/>
      <c r="AA27" s="16"/>
      <c r="AL27" s="138" t="s">
        <v>56</v>
      </c>
      <c r="AM27" s="120">
        <v>2695</v>
      </c>
      <c r="AN27" s="139">
        <v>0</v>
      </c>
      <c r="AO27" s="121">
        <v>0</v>
      </c>
    </row>
    <row r="28" spans="1:41" ht="22.5" customHeight="1">
      <c r="A28" s="15">
        <v>27</v>
      </c>
      <c r="B28" s="16" t="s">
        <v>187</v>
      </c>
      <c r="C28" s="17" t="s">
        <v>104</v>
      </c>
      <c r="D28" s="18">
        <v>45644</v>
      </c>
      <c r="E28" s="16">
        <v>78</v>
      </c>
      <c r="F28" s="18">
        <v>45644</v>
      </c>
      <c r="G28" s="16">
        <v>106.04</v>
      </c>
      <c r="H28" s="16">
        <f ca="1">IFERROR(__xludf.DUMMYFUNCTION("IFERROR(GOOGLEFINANCE(""NSE:""&amp;B28,""price""),"""")"),136.78)</f>
        <v>136.78</v>
      </c>
      <c r="I28" s="15">
        <v>190</v>
      </c>
      <c r="J28" s="16">
        <f t="shared" si="0"/>
        <v>14820</v>
      </c>
      <c r="K28" s="16">
        <f t="shared" si="1"/>
        <v>34967.600000000006</v>
      </c>
      <c r="L28" s="16">
        <f t="shared" si="2"/>
        <v>0</v>
      </c>
      <c r="M28" s="19">
        <f t="shared" si="3"/>
        <v>0</v>
      </c>
      <c r="N28" s="16">
        <f ca="1">IFERROR(__xludf.DUMMYFUNCTION("IFERROR(IF(G28&gt;0,0,GOOGLEFINANCE(""NSE:""&amp;B28,""change"")),0)"),0)</f>
        <v>0</v>
      </c>
      <c r="O28" s="16">
        <f t="shared" ca="1" si="4"/>
        <v>0</v>
      </c>
      <c r="P28" s="16">
        <f t="shared" si="5"/>
        <v>5327.6000000000013</v>
      </c>
      <c r="Q28" s="19">
        <f t="shared" si="6"/>
        <v>0.35948717948717956</v>
      </c>
      <c r="R28" s="16"/>
      <c r="S28" s="16"/>
      <c r="T28" s="16"/>
      <c r="U28" s="16"/>
      <c r="V28" s="16"/>
      <c r="W28" s="16"/>
      <c r="X28" s="16"/>
      <c r="Y28" s="16"/>
      <c r="Z28" s="19"/>
      <c r="AA28" s="16"/>
      <c r="AB28" s="27" t="s">
        <v>122</v>
      </c>
      <c r="AL28" s="138" t="s">
        <v>147</v>
      </c>
      <c r="AM28" s="120">
        <v>0</v>
      </c>
      <c r="AN28" s="139" t="e">
        <v>#VALUE!</v>
      </c>
      <c r="AO28" s="121">
        <v>0</v>
      </c>
    </row>
    <row r="29" spans="1:41" ht="22.5" customHeight="1">
      <c r="A29" s="15">
        <v>28</v>
      </c>
      <c r="B29" s="16" t="s">
        <v>185</v>
      </c>
      <c r="C29" s="17" t="s">
        <v>104</v>
      </c>
      <c r="D29" s="18">
        <v>45646</v>
      </c>
      <c r="E29" s="16">
        <v>417</v>
      </c>
      <c r="F29" s="18">
        <v>45646</v>
      </c>
      <c r="G29" s="16">
        <v>510.14</v>
      </c>
      <c r="H29" s="16">
        <f ca="1">IFERROR(__xludf.DUMMYFUNCTION("IFERROR(GOOGLEFINANCE(""NSE:""&amp;B29,""price""),"""")"),325.1)</f>
        <v>325.10000000000002</v>
      </c>
      <c r="I29" s="15">
        <v>35</v>
      </c>
      <c r="J29" s="16">
        <f t="shared" si="0"/>
        <v>14595</v>
      </c>
      <c r="K29" s="16">
        <f t="shared" si="1"/>
        <v>32449.899999999998</v>
      </c>
      <c r="L29" s="16">
        <f t="shared" si="2"/>
        <v>0</v>
      </c>
      <c r="M29" s="19">
        <f t="shared" si="3"/>
        <v>0</v>
      </c>
      <c r="N29" s="16">
        <f ca="1">IFERROR(__xludf.DUMMYFUNCTION("IFERROR(IF(G29&gt;0,0,GOOGLEFINANCE(""NSE:""&amp;B29,""change"")),0)"),0)</f>
        <v>0</v>
      </c>
      <c r="O29" s="16">
        <f t="shared" ca="1" si="4"/>
        <v>0</v>
      </c>
      <c r="P29" s="16">
        <f t="shared" si="5"/>
        <v>3259.8999999999996</v>
      </c>
      <c r="Q29" s="19">
        <f t="shared" si="6"/>
        <v>0.22335731414868101</v>
      </c>
      <c r="R29" s="16"/>
      <c r="S29" s="16"/>
      <c r="T29" s="16"/>
      <c r="U29" s="16"/>
      <c r="V29" s="16"/>
      <c r="W29" s="16"/>
      <c r="X29" s="16"/>
      <c r="Y29" s="16"/>
      <c r="Z29" s="19"/>
      <c r="AA29" s="16"/>
      <c r="AB29" s="27" t="s">
        <v>122</v>
      </c>
      <c r="AL29" s="138" t="s">
        <v>187</v>
      </c>
      <c r="AM29" s="120">
        <v>5327.6000000000013</v>
      </c>
      <c r="AN29" s="139">
        <v>0</v>
      </c>
      <c r="AO29" s="121">
        <v>0</v>
      </c>
    </row>
    <row r="30" spans="1:41" ht="22.5" customHeight="1">
      <c r="A30" s="15">
        <v>29</v>
      </c>
      <c r="B30" s="16" t="s">
        <v>13</v>
      </c>
      <c r="C30" s="17" t="s">
        <v>97</v>
      </c>
      <c r="D30" s="18">
        <v>45658</v>
      </c>
      <c r="E30" s="16">
        <v>3006.15</v>
      </c>
      <c r="F30" s="18"/>
      <c r="G30" s="16"/>
      <c r="H30" s="16">
        <f ca="1">IFERROR(__xludf.DUMMYFUNCTION("IFERROR(GOOGLEFINANCE(""NSE:""&amp;B30,""price""),"""")"),2543.2)</f>
        <v>2543.1999999999998</v>
      </c>
      <c r="I30" s="15">
        <v>3</v>
      </c>
      <c r="J30" s="16">
        <f t="shared" si="0"/>
        <v>9018.4500000000007</v>
      </c>
      <c r="K30" s="16">
        <f t="shared" si="1"/>
        <v>9018.4500000000007</v>
      </c>
      <c r="L30" s="16">
        <f t="shared" ca="1" si="2"/>
        <v>-1388.8500000000008</v>
      </c>
      <c r="M30" s="19">
        <f t="shared" ca="1" si="3"/>
        <v>-0.15400096468905419</v>
      </c>
      <c r="N30" s="16">
        <f ca="1">IFERROR(__xludf.DUMMYFUNCTION("IFERROR(IF(G30&gt;0,0,GOOGLEFINANCE(""NSE:""&amp;B30,""change"")),0)"),-38.4)</f>
        <v>-38.4</v>
      </c>
      <c r="O30" s="16">
        <f t="shared" ca="1" si="4"/>
        <v>-115.19999999999999</v>
      </c>
      <c r="P30" s="16">
        <f t="shared" si="5"/>
        <v>0</v>
      </c>
      <c r="Q30" s="19">
        <f t="shared" si="6"/>
        <v>0</v>
      </c>
      <c r="R30" s="16"/>
      <c r="S30" s="16"/>
      <c r="T30" s="16"/>
      <c r="U30" s="16"/>
      <c r="V30" s="16"/>
      <c r="W30" s="16"/>
      <c r="X30" s="16"/>
      <c r="Y30" s="16"/>
      <c r="Z30" s="19"/>
      <c r="AA30" s="16"/>
      <c r="AL30" s="138" t="s">
        <v>194</v>
      </c>
      <c r="AM30" s="120">
        <v>0</v>
      </c>
      <c r="AN30" s="139">
        <v>-2526.3000000000002</v>
      </c>
      <c r="AO30" s="121">
        <v>101.25</v>
      </c>
    </row>
    <row r="31" spans="1:41" ht="22.5" customHeight="1">
      <c r="A31" s="15">
        <v>30</v>
      </c>
      <c r="B31" s="16" t="s">
        <v>36</v>
      </c>
      <c r="C31" s="17" t="s">
        <v>97</v>
      </c>
      <c r="D31" s="18">
        <v>45791</v>
      </c>
      <c r="E31" s="16">
        <v>267</v>
      </c>
      <c r="F31" s="18"/>
      <c r="G31" s="16"/>
      <c r="H31" s="16">
        <f ca="1">IFERROR(__xludf.DUMMYFUNCTION("IFERROR(GOOGLEFINANCE(""NSE:""&amp;B31,""price""),"""")"),298.5)</f>
        <v>298.5</v>
      </c>
      <c r="I31" s="15">
        <v>18</v>
      </c>
      <c r="J31" s="16">
        <f t="shared" si="0"/>
        <v>4806</v>
      </c>
      <c r="K31" s="16">
        <f t="shared" si="1"/>
        <v>4806</v>
      </c>
      <c r="L31" s="16">
        <f t="shared" ca="1" si="2"/>
        <v>567</v>
      </c>
      <c r="M31" s="19">
        <f t="shared" ca="1" si="3"/>
        <v>0.11797752808988764</v>
      </c>
      <c r="N31" s="16">
        <f ca="1">IFERROR(__xludf.DUMMYFUNCTION("IFERROR(IF(G31&gt;0,0,GOOGLEFINANCE(""NSE:""&amp;B31,""change"")),0)"),-0.25)</f>
        <v>-0.25</v>
      </c>
      <c r="O31" s="16">
        <f t="shared" ca="1" si="4"/>
        <v>-4.5</v>
      </c>
      <c r="P31" s="16">
        <f t="shared" si="5"/>
        <v>0</v>
      </c>
      <c r="Q31" s="19">
        <f t="shared" si="6"/>
        <v>0</v>
      </c>
      <c r="R31" s="16"/>
      <c r="S31" s="16"/>
      <c r="T31" s="16"/>
      <c r="U31" s="16"/>
      <c r="V31" s="16"/>
      <c r="W31" s="16"/>
      <c r="X31" s="16"/>
      <c r="Y31" s="16"/>
      <c r="Z31" s="19"/>
      <c r="AA31" s="16"/>
      <c r="AL31" s="138" t="s">
        <v>276</v>
      </c>
      <c r="AM31" s="120">
        <v>0</v>
      </c>
      <c r="AN31" s="139" t="e">
        <v>#VALUE!</v>
      </c>
      <c r="AO31" s="121">
        <v>0</v>
      </c>
    </row>
    <row r="32" spans="1:41" ht="22.5" customHeight="1">
      <c r="A32" s="15">
        <v>31</v>
      </c>
      <c r="B32" s="16" t="s">
        <v>147</v>
      </c>
      <c r="C32" s="17" t="s">
        <v>97</v>
      </c>
      <c r="D32" s="18">
        <v>45797</v>
      </c>
      <c r="E32" s="16">
        <v>733</v>
      </c>
      <c r="F32" s="18"/>
      <c r="G32" s="16"/>
      <c r="H32" s="16" t="str">
        <f ca="1">IFERROR(__xludf.DUMMYFUNCTION("IFERROR(GOOGLEFINANCE(""NSE:""&amp;B32,""price""),"""")"),"")</f>
        <v/>
      </c>
      <c r="I32" s="15">
        <v>6</v>
      </c>
      <c r="J32" s="16">
        <f t="shared" si="0"/>
        <v>4398</v>
      </c>
      <c r="K32" s="16">
        <f t="shared" si="1"/>
        <v>4398</v>
      </c>
      <c r="L32" s="16" t="e">
        <f t="shared" ca="1" si="2"/>
        <v>#VALUE!</v>
      </c>
      <c r="M32" s="19">
        <f t="shared" ca="1" si="3"/>
        <v>0</v>
      </c>
      <c r="N32" s="16">
        <f ca="1">IFERROR(__xludf.DUMMYFUNCTION("IFERROR(IF(G32&gt;0,0,GOOGLEFINANCE(""NSE:""&amp;B32,""change"")),0)"),0)</f>
        <v>0</v>
      </c>
      <c r="O32" s="16">
        <f t="shared" ca="1" si="4"/>
        <v>0</v>
      </c>
      <c r="P32" s="16">
        <f t="shared" si="5"/>
        <v>0</v>
      </c>
      <c r="Q32" s="19">
        <f t="shared" si="6"/>
        <v>0</v>
      </c>
      <c r="R32" s="16"/>
      <c r="S32" s="16"/>
      <c r="T32" s="16"/>
      <c r="U32" s="16"/>
      <c r="V32" s="16"/>
      <c r="W32" s="16"/>
      <c r="X32" s="16"/>
      <c r="Y32" s="16"/>
      <c r="Z32" s="19"/>
      <c r="AA32" s="16"/>
      <c r="AL32" s="140" t="s">
        <v>48</v>
      </c>
      <c r="AM32" s="123">
        <v>48032.459999999992</v>
      </c>
      <c r="AN32" s="141" t="e">
        <v>#VALUE!</v>
      </c>
      <c r="AO32" s="124">
        <v>458</v>
      </c>
    </row>
    <row r="33" spans="1:29" ht="22.5" customHeight="1">
      <c r="A33" s="15">
        <v>32</v>
      </c>
      <c r="B33" s="16" t="s">
        <v>24</v>
      </c>
      <c r="C33" s="17" t="s">
        <v>13</v>
      </c>
      <c r="D33" s="18">
        <v>45813</v>
      </c>
      <c r="E33" s="16">
        <v>475</v>
      </c>
      <c r="F33" s="18">
        <v>45827</v>
      </c>
      <c r="G33" s="16">
        <v>446</v>
      </c>
      <c r="H33" s="16">
        <f ca="1">IFERROR(__xludf.DUMMYFUNCTION("IFERROR(GOOGLEFINANCE(""NSE:""&amp;B33,""price""),"""")"),610.2)</f>
        <v>610.20000000000005</v>
      </c>
      <c r="I33" s="15">
        <v>30</v>
      </c>
      <c r="J33" s="16">
        <f t="shared" si="0"/>
        <v>14250</v>
      </c>
      <c r="K33" s="16">
        <f t="shared" si="1"/>
        <v>27630</v>
      </c>
      <c r="L33" s="16">
        <f t="shared" si="2"/>
        <v>0</v>
      </c>
      <c r="M33" s="19">
        <f t="shared" si="3"/>
        <v>0</v>
      </c>
      <c r="N33" s="16">
        <f ca="1">IFERROR(__xludf.DUMMYFUNCTION("IFERROR(IF(G33&gt;0,0,GOOGLEFINANCE(""NSE:""&amp;B33,""change"")),0)"),0)</f>
        <v>0</v>
      </c>
      <c r="O33" s="16">
        <f t="shared" ca="1" si="4"/>
        <v>0</v>
      </c>
      <c r="P33" s="16">
        <f t="shared" si="5"/>
        <v>-870</v>
      </c>
      <c r="Q33" s="19">
        <f t="shared" si="6"/>
        <v>-6.1052631578947365E-2</v>
      </c>
      <c r="AB33" s="27" t="s">
        <v>101</v>
      </c>
      <c r="AC33" s="6" t="s">
        <v>102</v>
      </c>
    </row>
    <row r="34" spans="1:29" ht="22.5" customHeight="1">
      <c r="A34" s="15">
        <v>33</v>
      </c>
      <c r="B34" s="16" t="s">
        <v>32</v>
      </c>
      <c r="C34" s="17" t="s">
        <v>97</v>
      </c>
      <c r="D34" s="18">
        <v>45813</v>
      </c>
      <c r="E34" s="16">
        <v>176.2</v>
      </c>
      <c r="F34" s="18"/>
      <c r="G34" s="16">
        <v>0</v>
      </c>
      <c r="H34" s="16">
        <f ca="1">IFERROR(__xludf.DUMMYFUNCTION("IFERROR(GOOGLEFINANCE(""NSE:""&amp;B34,""price""),"""")"),139)</f>
        <v>139</v>
      </c>
      <c r="I34" s="15">
        <v>50</v>
      </c>
      <c r="J34" s="16">
        <f t="shared" si="0"/>
        <v>8810</v>
      </c>
      <c r="K34" s="16">
        <f t="shared" si="1"/>
        <v>8810</v>
      </c>
      <c r="L34" s="16">
        <f t="shared" ca="1" si="2"/>
        <v>-1859.9999999999995</v>
      </c>
      <c r="M34" s="19">
        <f t="shared" ca="1" si="3"/>
        <v>-0.21112372304199767</v>
      </c>
      <c r="N34" s="16">
        <f ca="1">IFERROR(__xludf.DUMMYFUNCTION("IFERROR(IF(G34&gt;0,0,GOOGLEFINANCE(""NSE:""&amp;B34,""change"")),0)"),3.33)</f>
        <v>3.33</v>
      </c>
      <c r="O34" s="16">
        <f t="shared" ca="1" si="4"/>
        <v>166.5</v>
      </c>
      <c r="P34" s="16">
        <f t="shared" si="5"/>
        <v>0</v>
      </c>
      <c r="Q34" s="19">
        <f t="shared" si="6"/>
        <v>0</v>
      </c>
      <c r="R34" s="16"/>
      <c r="S34" s="16"/>
      <c r="T34" s="16"/>
      <c r="U34" s="16"/>
      <c r="V34" s="16"/>
      <c r="W34" s="16"/>
      <c r="X34" s="16"/>
      <c r="Y34" s="16"/>
      <c r="Z34" s="19"/>
      <c r="AA34" s="16"/>
      <c r="AB34" s="27" t="s">
        <v>101</v>
      </c>
    </row>
    <row r="35" spans="1:29" ht="22.5" customHeight="1">
      <c r="A35" s="15">
        <v>34</v>
      </c>
      <c r="B35" s="16" t="s">
        <v>20</v>
      </c>
      <c r="C35" s="17" t="s">
        <v>104</v>
      </c>
      <c r="D35" s="18">
        <v>45811</v>
      </c>
      <c r="E35" s="16">
        <v>2294.8000000000002</v>
      </c>
      <c r="F35" s="18"/>
      <c r="G35" s="16">
        <v>0</v>
      </c>
      <c r="H35" s="16">
        <f ca="1">IFERROR(__xludf.DUMMYFUNCTION("IFERROR(GOOGLEFINANCE(""NSE:""&amp;B35,""price""),"""")"),2019)</f>
        <v>2019</v>
      </c>
      <c r="I35" s="15">
        <v>5</v>
      </c>
      <c r="J35" s="16">
        <f t="shared" si="0"/>
        <v>11474</v>
      </c>
      <c r="K35" s="16">
        <f t="shared" si="1"/>
        <v>11474</v>
      </c>
      <c r="L35" s="16">
        <f t="shared" ca="1" si="2"/>
        <v>-1379.0000000000009</v>
      </c>
      <c r="M35" s="19">
        <f t="shared" ca="1" si="3"/>
        <v>-0.12018476555691135</v>
      </c>
      <c r="N35" s="16">
        <f ca="1">IFERROR(__xludf.DUMMYFUNCTION("IFERROR(IF(G35&gt;0,0,GOOGLEFINANCE(""NSE:""&amp;B35,""change"")),0)"),-11.4)</f>
        <v>-11.4</v>
      </c>
      <c r="O35" s="16">
        <f t="shared" ca="1" si="4"/>
        <v>-57</v>
      </c>
      <c r="P35" s="16">
        <f t="shared" si="5"/>
        <v>0</v>
      </c>
      <c r="Q35" s="19">
        <f t="shared" si="6"/>
        <v>0</v>
      </c>
      <c r="R35" s="16"/>
      <c r="S35" s="16"/>
      <c r="T35" s="16"/>
      <c r="U35" s="16"/>
      <c r="V35" s="16"/>
      <c r="W35" s="16"/>
      <c r="X35" s="16"/>
      <c r="Y35" s="16"/>
      <c r="Z35" s="19"/>
      <c r="AA35" s="16"/>
      <c r="AB35" s="27" t="s">
        <v>101</v>
      </c>
    </row>
    <row r="36" spans="1:29" ht="22.5" customHeight="1">
      <c r="A36" s="15">
        <v>35</v>
      </c>
      <c r="B36" s="16"/>
      <c r="C36" s="17"/>
      <c r="D36" s="18"/>
      <c r="E36" s="16"/>
      <c r="F36" s="18"/>
      <c r="G36" s="16"/>
      <c r="H36" s="16" t="str">
        <f ca="1">IFERROR(__xludf.DUMMYFUNCTION("IFERROR(GOOGLEFINANCE(""NSE:""&amp;B36,""price""),"""")"),"")</f>
        <v/>
      </c>
      <c r="I36" s="15"/>
      <c r="J36" s="16">
        <f t="shared" si="0"/>
        <v>0</v>
      </c>
      <c r="K36" s="16">
        <f t="shared" si="1"/>
        <v>0</v>
      </c>
      <c r="L36" s="16" t="e">
        <f t="shared" ca="1" si="2"/>
        <v>#VALUE!</v>
      </c>
      <c r="M36" s="19">
        <f t="shared" ca="1" si="3"/>
        <v>0</v>
      </c>
      <c r="N36" s="16">
        <f ca="1">IFERROR(__xludf.DUMMYFUNCTION("IFERROR(IF(G36&gt;0,0,GOOGLEFINANCE(""NSE:""&amp;B36,""change"")),0)"),0)</f>
        <v>0</v>
      </c>
      <c r="O36" s="16">
        <f t="shared" ca="1" si="4"/>
        <v>0</v>
      </c>
      <c r="P36" s="16">
        <f t="shared" si="5"/>
        <v>0</v>
      </c>
      <c r="Q36" s="19">
        <f t="shared" si="6"/>
        <v>0</v>
      </c>
      <c r="R36" s="16"/>
      <c r="S36" s="16"/>
      <c r="T36" s="16"/>
      <c r="U36" s="16"/>
      <c r="V36" s="16"/>
      <c r="W36" s="16"/>
      <c r="X36" s="16"/>
      <c r="Y36" s="16"/>
      <c r="Z36" s="19"/>
      <c r="AA36" s="16"/>
    </row>
    <row r="37" spans="1:29" ht="22.5" customHeight="1">
      <c r="A37" s="15">
        <v>36</v>
      </c>
      <c r="B37" s="16"/>
      <c r="C37" s="17"/>
      <c r="D37" s="18"/>
      <c r="E37" s="16"/>
      <c r="F37" s="18"/>
      <c r="G37" s="16"/>
      <c r="H37" s="16" t="str">
        <f ca="1">IFERROR(__xludf.DUMMYFUNCTION("IFERROR(GOOGLEFINANCE(""NSE:""&amp;B37,""price""),"""")"),"")</f>
        <v/>
      </c>
      <c r="I37" s="15"/>
      <c r="J37" s="16">
        <f t="shared" si="0"/>
        <v>0</v>
      </c>
      <c r="K37" s="16">
        <f t="shared" si="1"/>
        <v>0</v>
      </c>
      <c r="L37" s="16" t="e">
        <f t="shared" ca="1" si="2"/>
        <v>#VALUE!</v>
      </c>
      <c r="M37" s="19">
        <f t="shared" ca="1" si="3"/>
        <v>0</v>
      </c>
      <c r="N37" s="16">
        <f ca="1">IFERROR(__xludf.DUMMYFUNCTION("IFERROR(IF(G37&gt;0,0,GOOGLEFINANCE(""NSE:""&amp;B37,""change"")),0)"),0)</f>
        <v>0</v>
      </c>
      <c r="O37" s="16">
        <f t="shared" ca="1" si="4"/>
        <v>0</v>
      </c>
      <c r="P37" s="16">
        <f t="shared" si="5"/>
        <v>0</v>
      </c>
      <c r="Q37" s="19">
        <f t="shared" si="6"/>
        <v>0</v>
      </c>
      <c r="R37" s="16"/>
      <c r="S37" s="16"/>
      <c r="T37" s="16"/>
      <c r="U37" s="16"/>
      <c r="V37" s="16"/>
      <c r="W37" s="16"/>
      <c r="X37" s="16"/>
      <c r="Y37" s="16"/>
      <c r="Z37" s="19"/>
      <c r="AA37" s="16"/>
    </row>
    <row r="38" spans="1:29" ht="22.5" customHeight="1">
      <c r="A38" s="15">
        <v>37</v>
      </c>
      <c r="B38" s="16"/>
      <c r="C38" s="17"/>
      <c r="D38" s="18"/>
      <c r="E38" s="16"/>
      <c r="F38" s="18"/>
      <c r="G38" s="16"/>
      <c r="H38" s="16" t="str">
        <f ca="1">IFERROR(__xludf.DUMMYFUNCTION("IFERROR(GOOGLEFINANCE(""NSE:""&amp;B38,""price""),"""")"),"")</f>
        <v/>
      </c>
      <c r="I38" s="15"/>
      <c r="J38" s="16">
        <f t="shared" si="0"/>
        <v>0</v>
      </c>
      <c r="K38" s="16">
        <f t="shared" si="1"/>
        <v>0</v>
      </c>
      <c r="L38" s="16" t="e">
        <f t="shared" ca="1" si="2"/>
        <v>#VALUE!</v>
      </c>
      <c r="M38" s="19">
        <f t="shared" ca="1" si="3"/>
        <v>0</v>
      </c>
      <c r="N38" s="16">
        <f ca="1">IFERROR(__xludf.DUMMYFUNCTION("IFERROR(IF(G38&gt;0,0,GOOGLEFINANCE(""NSE:""&amp;B38,""change"")),0)"),0)</f>
        <v>0</v>
      </c>
      <c r="O38" s="16">
        <f t="shared" ca="1" si="4"/>
        <v>0</v>
      </c>
      <c r="P38" s="16">
        <f t="shared" si="5"/>
        <v>0</v>
      </c>
      <c r="Q38" s="19">
        <f t="shared" si="6"/>
        <v>0</v>
      </c>
      <c r="R38" s="16"/>
      <c r="S38" s="16"/>
      <c r="T38" s="16"/>
      <c r="U38" s="16"/>
      <c r="V38" s="16"/>
      <c r="W38" s="16"/>
      <c r="X38" s="16"/>
      <c r="Y38" s="16"/>
      <c r="Z38" s="19"/>
      <c r="AA38" s="16"/>
    </row>
    <row r="39" spans="1:29" ht="22.5" customHeight="1">
      <c r="A39" s="15">
        <v>38</v>
      </c>
      <c r="B39" s="16"/>
      <c r="C39" s="17"/>
      <c r="D39" s="18"/>
      <c r="E39" s="16"/>
      <c r="F39" s="18"/>
      <c r="G39" s="16"/>
      <c r="H39" s="16" t="str">
        <f ca="1">IFERROR(__xludf.DUMMYFUNCTION("IFERROR(GOOGLEFINANCE(""NSE:""&amp;B39,""price""),"""")"),"")</f>
        <v/>
      </c>
      <c r="I39" s="15"/>
      <c r="J39" s="16">
        <f t="shared" si="0"/>
        <v>0</v>
      </c>
      <c r="K39" s="16">
        <f t="shared" si="1"/>
        <v>0</v>
      </c>
      <c r="L39" s="16" t="e">
        <f t="shared" ca="1" si="2"/>
        <v>#VALUE!</v>
      </c>
      <c r="M39" s="19">
        <f t="shared" ca="1" si="3"/>
        <v>0</v>
      </c>
      <c r="N39" s="16">
        <f ca="1">IFERROR(__xludf.DUMMYFUNCTION("IFERROR(IF(G39&gt;0,0,GOOGLEFINANCE(""NSE:""&amp;B39,""change"")),0)"),0)</f>
        <v>0</v>
      </c>
      <c r="O39" s="16">
        <f t="shared" ca="1" si="4"/>
        <v>0</v>
      </c>
      <c r="P39" s="16">
        <f t="shared" si="5"/>
        <v>0</v>
      </c>
      <c r="Q39" s="19">
        <f t="shared" si="6"/>
        <v>0</v>
      </c>
      <c r="R39" s="16"/>
      <c r="S39" s="16"/>
      <c r="T39" s="16"/>
      <c r="U39" s="16"/>
      <c r="V39" s="16"/>
      <c r="W39" s="16"/>
      <c r="X39" s="16"/>
      <c r="Y39" s="16"/>
      <c r="Z39" s="19"/>
      <c r="AA39" s="16"/>
    </row>
    <row r="40" spans="1:29" ht="22.5" customHeight="1">
      <c r="A40" s="15">
        <v>39</v>
      </c>
      <c r="B40" s="16"/>
      <c r="C40" s="17"/>
      <c r="D40" s="18"/>
      <c r="E40" s="16"/>
      <c r="F40" s="18"/>
      <c r="G40" s="16"/>
      <c r="H40" s="16" t="str">
        <f ca="1">IFERROR(__xludf.DUMMYFUNCTION("IFERROR(GOOGLEFINANCE(""NSE:""&amp;B40,""price""),"""")"),"")</f>
        <v/>
      </c>
      <c r="I40" s="15"/>
      <c r="J40" s="16">
        <f t="shared" si="0"/>
        <v>0</v>
      </c>
      <c r="K40" s="16">
        <f t="shared" si="1"/>
        <v>0</v>
      </c>
      <c r="L40" s="16" t="e">
        <f t="shared" ca="1" si="2"/>
        <v>#VALUE!</v>
      </c>
      <c r="M40" s="19">
        <f t="shared" ca="1" si="3"/>
        <v>0</v>
      </c>
      <c r="N40" s="16">
        <f ca="1">IFERROR(__xludf.DUMMYFUNCTION("IFERROR(IF(G40&gt;0,0,GOOGLEFINANCE(""NSE:""&amp;B40,""change"")),0)"),0)</f>
        <v>0</v>
      </c>
      <c r="O40" s="16">
        <f t="shared" ca="1" si="4"/>
        <v>0</v>
      </c>
      <c r="P40" s="16">
        <f t="shared" si="5"/>
        <v>0</v>
      </c>
      <c r="Q40" s="19">
        <f t="shared" si="6"/>
        <v>0</v>
      </c>
      <c r="R40" s="16"/>
      <c r="S40" s="16"/>
      <c r="T40" s="16"/>
      <c r="U40" s="16"/>
      <c r="V40" s="16"/>
      <c r="W40" s="16"/>
      <c r="X40" s="16"/>
      <c r="Y40" s="16"/>
      <c r="Z40" s="19"/>
      <c r="AA40" s="16"/>
    </row>
    <row r="41" spans="1:29" ht="22.5" customHeight="1">
      <c r="A41" s="15">
        <v>40</v>
      </c>
      <c r="B41" s="16"/>
      <c r="C41" s="17"/>
      <c r="D41" s="18"/>
      <c r="E41" s="16"/>
      <c r="F41" s="18"/>
      <c r="G41" s="16"/>
      <c r="H41" s="16" t="str">
        <f ca="1">IFERROR(__xludf.DUMMYFUNCTION("IFERROR(GOOGLEFINANCE(""NSE:""&amp;B41,""price""),"""")"),"")</f>
        <v/>
      </c>
      <c r="I41" s="15"/>
      <c r="J41" s="16">
        <f t="shared" si="0"/>
        <v>0</v>
      </c>
      <c r="K41" s="16">
        <f t="shared" si="1"/>
        <v>0</v>
      </c>
      <c r="L41" s="16" t="e">
        <f t="shared" ca="1" si="2"/>
        <v>#VALUE!</v>
      </c>
      <c r="M41" s="19">
        <f t="shared" ca="1" si="3"/>
        <v>0</v>
      </c>
      <c r="N41" s="16">
        <f ca="1">IFERROR(__xludf.DUMMYFUNCTION("IFERROR(IF(G41&gt;0,0,GOOGLEFINANCE(""NSE:""&amp;B41,""change"")),0)"),0)</f>
        <v>0</v>
      </c>
      <c r="O41" s="16">
        <f t="shared" ca="1" si="4"/>
        <v>0</v>
      </c>
      <c r="P41" s="16">
        <f t="shared" si="5"/>
        <v>0</v>
      </c>
      <c r="Q41" s="19">
        <f t="shared" si="6"/>
        <v>0</v>
      </c>
      <c r="R41" s="16"/>
      <c r="S41" s="16"/>
      <c r="T41" s="16"/>
      <c r="U41" s="16"/>
      <c r="V41" s="16"/>
      <c r="W41" s="16"/>
      <c r="X41" s="16"/>
      <c r="Y41" s="16"/>
      <c r="Z41" s="19"/>
      <c r="AA41" s="16"/>
    </row>
    <row r="42" spans="1:29" ht="22.5" customHeight="1">
      <c r="A42" s="15">
        <v>41</v>
      </c>
      <c r="B42" s="16"/>
      <c r="C42" s="17"/>
      <c r="D42" s="18"/>
      <c r="E42" s="16"/>
      <c r="F42" s="18"/>
      <c r="G42" s="16"/>
      <c r="H42" s="16" t="str">
        <f ca="1">IFERROR(__xludf.DUMMYFUNCTION("IFERROR(GOOGLEFINANCE(""NSE:""&amp;B42,""price""),"""")"),"")</f>
        <v/>
      </c>
      <c r="I42" s="15"/>
      <c r="J42" s="16">
        <f t="shared" si="0"/>
        <v>0</v>
      </c>
      <c r="K42" s="16">
        <f t="shared" si="1"/>
        <v>0</v>
      </c>
      <c r="L42" s="16" t="e">
        <f t="shared" ca="1" si="2"/>
        <v>#VALUE!</v>
      </c>
      <c r="M42" s="19">
        <f t="shared" ca="1" si="3"/>
        <v>0</v>
      </c>
      <c r="N42" s="16">
        <f ca="1">IFERROR(__xludf.DUMMYFUNCTION("IFERROR(IF(G42&gt;0,0,GOOGLEFINANCE(""NSE:""&amp;B42,""change"")),0)"),0)</f>
        <v>0</v>
      </c>
      <c r="O42" s="16">
        <f t="shared" ca="1" si="4"/>
        <v>0</v>
      </c>
      <c r="P42" s="16">
        <f t="shared" si="5"/>
        <v>0</v>
      </c>
      <c r="Q42" s="19">
        <f t="shared" si="6"/>
        <v>0</v>
      </c>
      <c r="R42" s="16"/>
      <c r="S42" s="16"/>
      <c r="T42" s="16"/>
      <c r="U42" s="16"/>
      <c r="V42" s="16"/>
      <c r="W42" s="16"/>
      <c r="X42" s="16"/>
      <c r="Y42" s="16"/>
      <c r="Z42" s="19"/>
      <c r="AA42" s="16"/>
    </row>
    <row r="43" spans="1:29" ht="22.5" customHeight="1">
      <c r="A43" s="15">
        <v>42</v>
      </c>
      <c r="B43" s="16"/>
      <c r="C43" s="17"/>
      <c r="D43" s="18"/>
      <c r="E43" s="16"/>
      <c r="F43" s="15"/>
      <c r="G43" s="16"/>
      <c r="H43" s="16" t="str">
        <f ca="1">IFERROR(__xludf.DUMMYFUNCTION("IFERROR(GOOGLEFINANCE(""NSE:""&amp;B43,""price""),"""")"),"")</f>
        <v/>
      </c>
      <c r="I43" s="15"/>
      <c r="J43" s="16">
        <f t="shared" si="0"/>
        <v>0</v>
      </c>
      <c r="K43" s="16">
        <f t="shared" si="1"/>
        <v>0</v>
      </c>
      <c r="L43" s="16" t="e">
        <f t="shared" ca="1" si="2"/>
        <v>#VALUE!</v>
      </c>
      <c r="M43" s="19">
        <f t="shared" ca="1" si="3"/>
        <v>0</v>
      </c>
      <c r="N43" s="16">
        <f ca="1">IFERROR(__xludf.DUMMYFUNCTION("IFERROR(IF(G43&gt;0,0,GOOGLEFINANCE(""NSE:""&amp;B43,""change"")),0)"),0)</f>
        <v>0</v>
      </c>
      <c r="O43" s="16">
        <f t="shared" ca="1" si="4"/>
        <v>0</v>
      </c>
      <c r="P43" s="16">
        <f t="shared" si="5"/>
        <v>0</v>
      </c>
      <c r="Q43" s="19">
        <f t="shared" si="6"/>
        <v>0</v>
      </c>
      <c r="R43" s="16"/>
      <c r="S43" s="16"/>
      <c r="T43" s="16"/>
      <c r="U43" s="16"/>
      <c r="V43" s="16"/>
      <c r="W43" s="16"/>
      <c r="X43" s="16"/>
      <c r="Y43" s="16"/>
      <c r="Z43" s="19"/>
      <c r="AA43" s="16"/>
    </row>
    <row r="44" spans="1:29" ht="22.5" customHeight="1">
      <c r="A44" s="15">
        <v>43</v>
      </c>
      <c r="B44" s="16"/>
      <c r="C44" s="17"/>
      <c r="D44" s="18"/>
      <c r="E44" s="16"/>
      <c r="F44" s="18"/>
      <c r="G44" s="16"/>
      <c r="H44" s="16" t="str">
        <f ca="1">IFERROR(__xludf.DUMMYFUNCTION("IFERROR(GOOGLEFINANCE(""NSE:""&amp;B44,""price""),"""")"),"")</f>
        <v/>
      </c>
      <c r="I44" s="15"/>
      <c r="J44" s="16">
        <f t="shared" si="0"/>
        <v>0</v>
      </c>
      <c r="K44" s="16">
        <f t="shared" si="1"/>
        <v>0</v>
      </c>
      <c r="L44" s="16" t="e">
        <f t="shared" ca="1" si="2"/>
        <v>#VALUE!</v>
      </c>
      <c r="M44" s="19">
        <f t="shared" ca="1" si="3"/>
        <v>0</v>
      </c>
      <c r="N44" s="16">
        <f ca="1">IFERROR(__xludf.DUMMYFUNCTION("IFERROR(IF(G44&gt;0,0,GOOGLEFINANCE(""NSE:""&amp;B44,""change"")),0)"),0)</f>
        <v>0</v>
      </c>
      <c r="O44" s="16">
        <f t="shared" ca="1" si="4"/>
        <v>0</v>
      </c>
      <c r="P44" s="16">
        <f t="shared" si="5"/>
        <v>0</v>
      </c>
      <c r="Q44" s="19">
        <f t="shared" si="6"/>
        <v>0</v>
      </c>
      <c r="R44" s="16"/>
      <c r="S44" s="16"/>
      <c r="T44" s="16"/>
      <c r="U44" s="16"/>
      <c r="V44" s="16"/>
      <c r="W44" s="16"/>
      <c r="X44" s="16"/>
      <c r="Y44" s="16"/>
      <c r="Z44" s="19"/>
      <c r="AA44" s="16"/>
    </row>
    <row r="45" spans="1:29" ht="22.5" customHeight="1">
      <c r="A45" s="15">
        <v>44</v>
      </c>
      <c r="B45" s="16"/>
      <c r="C45" s="17"/>
      <c r="D45" s="18"/>
      <c r="E45" s="16"/>
      <c r="F45" s="18"/>
      <c r="G45" s="16"/>
      <c r="H45" s="16" t="str">
        <f ca="1">IFERROR(__xludf.DUMMYFUNCTION("IFERROR(GOOGLEFINANCE(""NSE:""&amp;B45,""price""),"""")"),"")</f>
        <v/>
      </c>
      <c r="I45" s="15"/>
      <c r="J45" s="16">
        <f t="shared" si="0"/>
        <v>0</v>
      </c>
      <c r="K45" s="16">
        <f t="shared" si="1"/>
        <v>0</v>
      </c>
      <c r="L45" s="16" t="e">
        <f t="shared" ca="1" si="2"/>
        <v>#VALUE!</v>
      </c>
      <c r="M45" s="19">
        <f t="shared" ca="1" si="3"/>
        <v>0</v>
      </c>
      <c r="N45" s="16">
        <f ca="1">IFERROR(__xludf.DUMMYFUNCTION("IFERROR(IF(G45&gt;0,0,GOOGLEFINANCE(""NSE:""&amp;B45,""change"")),0)"),0)</f>
        <v>0</v>
      </c>
      <c r="O45" s="16">
        <f t="shared" ca="1" si="4"/>
        <v>0</v>
      </c>
      <c r="P45" s="16">
        <f t="shared" si="5"/>
        <v>0</v>
      </c>
      <c r="Q45" s="19">
        <f t="shared" si="6"/>
        <v>0</v>
      </c>
      <c r="R45" s="16"/>
      <c r="S45" s="16"/>
      <c r="T45" s="16"/>
      <c r="U45" s="16"/>
      <c r="V45" s="16"/>
      <c r="W45" s="16"/>
      <c r="X45" s="16"/>
      <c r="Y45" s="16"/>
      <c r="Z45" s="19"/>
      <c r="AA45" s="16"/>
    </row>
    <row r="46" spans="1:29" ht="22.5" customHeight="1">
      <c r="A46" s="15">
        <v>45</v>
      </c>
      <c r="B46" s="16"/>
      <c r="C46" s="17"/>
      <c r="D46" s="18"/>
      <c r="E46" s="16"/>
      <c r="F46" s="18"/>
      <c r="G46" s="16"/>
      <c r="H46" s="16" t="str">
        <f ca="1">IFERROR(__xludf.DUMMYFUNCTION("IFERROR(GOOGLEFINANCE(""NSE:""&amp;B46,""price""),"""")"),"")</f>
        <v/>
      </c>
      <c r="I46" s="15"/>
      <c r="J46" s="16">
        <f t="shared" si="0"/>
        <v>0</v>
      </c>
      <c r="K46" s="16">
        <f t="shared" si="1"/>
        <v>0</v>
      </c>
      <c r="L46" s="16" t="e">
        <f t="shared" ca="1" si="2"/>
        <v>#VALUE!</v>
      </c>
      <c r="M46" s="19">
        <f t="shared" ca="1" si="3"/>
        <v>0</v>
      </c>
      <c r="N46" s="16">
        <f ca="1">IFERROR(__xludf.DUMMYFUNCTION("IFERROR(IF(G46&gt;0,0,GOOGLEFINANCE(""NSE:""&amp;B46,""change"")),0)"),0)</f>
        <v>0</v>
      </c>
      <c r="O46" s="16">
        <f t="shared" ca="1" si="4"/>
        <v>0</v>
      </c>
      <c r="P46" s="16">
        <f t="shared" si="5"/>
        <v>0</v>
      </c>
      <c r="Q46" s="19">
        <f t="shared" si="6"/>
        <v>0</v>
      </c>
      <c r="R46" s="16"/>
      <c r="S46" s="16"/>
      <c r="T46" s="16"/>
      <c r="U46" s="16"/>
      <c r="V46" s="16"/>
      <c r="W46" s="16"/>
      <c r="X46" s="16"/>
      <c r="Y46" s="16"/>
      <c r="Z46" s="19"/>
      <c r="AA46" s="16"/>
    </row>
    <row r="47" spans="1:29" ht="22.5" customHeight="1">
      <c r="A47" s="15">
        <v>46</v>
      </c>
      <c r="B47" s="16"/>
      <c r="C47" s="17"/>
      <c r="D47" s="18"/>
      <c r="E47" s="16"/>
      <c r="F47" s="18"/>
      <c r="G47" s="16"/>
      <c r="H47" s="16" t="str">
        <f ca="1">IFERROR(__xludf.DUMMYFUNCTION("IFERROR(GOOGLEFINANCE(""NSE:""&amp;B47,""price""),"""")"),"")</f>
        <v/>
      </c>
      <c r="I47" s="15"/>
      <c r="J47" s="16">
        <f t="shared" si="0"/>
        <v>0</v>
      </c>
      <c r="K47" s="16">
        <f t="shared" si="1"/>
        <v>0</v>
      </c>
      <c r="L47" s="16" t="e">
        <f t="shared" ca="1" si="2"/>
        <v>#VALUE!</v>
      </c>
      <c r="M47" s="19">
        <f t="shared" ca="1" si="3"/>
        <v>0</v>
      </c>
      <c r="N47" s="16">
        <f ca="1">IFERROR(__xludf.DUMMYFUNCTION("IFERROR(IF(G47&gt;0,0,GOOGLEFINANCE(""NSE:""&amp;B47,""change"")),0)"),0)</f>
        <v>0</v>
      </c>
      <c r="O47" s="16">
        <f t="shared" ca="1" si="4"/>
        <v>0</v>
      </c>
      <c r="P47" s="16">
        <f t="shared" si="5"/>
        <v>0</v>
      </c>
      <c r="Q47" s="19">
        <f t="shared" si="6"/>
        <v>0</v>
      </c>
      <c r="R47" s="16"/>
      <c r="S47" s="16"/>
      <c r="T47" s="16"/>
      <c r="U47" s="16"/>
      <c r="V47" s="16"/>
      <c r="W47" s="16"/>
      <c r="X47" s="16"/>
      <c r="Y47" s="16"/>
      <c r="Z47" s="19"/>
      <c r="AA47" s="16"/>
    </row>
    <row r="48" spans="1:29" ht="22.5" customHeight="1">
      <c r="A48" s="15">
        <v>47</v>
      </c>
      <c r="B48" s="16"/>
      <c r="C48" s="17"/>
      <c r="D48" s="18"/>
      <c r="E48" s="16"/>
      <c r="F48" s="18"/>
      <c r="G48" s="16"/>
      <c r="H48" s="16" t="str">
        <f ca="1">IFERROR(__xludf.DUMMYFUNCTION("IFERROR(GOOGLEFINANCE(""NSE:""&amp;B48,""price""),"""")"),"")</f>
        <v/>
      </c>
      <c r="I48" s="15"/>
      <c r="J48" s="16">
        <f t="shared" si="0"/>
        <v>0</v>
      </c>
      <c r="K48" s="16">
        <f t="shared" si="1"/>
        <v>0</v>
      </c>
      <c r="L48" s="16" t="e">
        <f t="shared" ca="1" si="2"/>
        <v>#VALUE!</v>
      </c>
      <c r="M48" s="19">
        <f t="shared" ca="1" si="3"/>
        <v>0</v>
      </c>
      <c r="N48" s="16">
        <f ca="1">IFERROR(__xludf.DUMMYFUNCTION("IFERROR(IF(G48&gt;0,0,GOOGLEFINANCE(""NSE:""&amp;B48,""change"")),0)"),0)</f>
        <v>0</v>
      </c>
      <c r="O48" s="16">
        <f t="shared" ca="1" si="4"/>
        <v>0</v>
      </c>
      <c r="P48" s="16">
        <f t="shared" si="5"/>
        <v>0</v>
      </c>
      <c r="Q48" s="19">
        <f t="shared" si="6"/>
        <v>0</v>
      </c>
      <c r="R48" s="16"/>
      <c r="S48" s="16"/>
      <c r="T48" s="16"/>
      <c r="U48" s="16"/>
      <c r="V48" s="16"/>
      <c r="W48" s="16"/>
      <c r="X48" s="16"/>
      <c r="Y48" s="16"/>
      <c r="Z48" s="19"/>
      <c r="AA48" s="16"/>
    </row>
    <row r="49" spans="1:27" ht="22.5" customHeight="1">
      <c r="A49" s="15">
        <v>48</v>
      </c>
      <c r="B49" s="16"/>
      <c r="C49" s="17"/>
      <c r="D49" s="18"/>
      <c r="E49" s="16"/>
      <c r="F49" s="18"/>
      <c r="G49" s="16"/>
      <c r="H49" s="16" t="str">
        <f ca="1">IFERROR(__xludf.DUMMYFUNCTION("IFERROR(GOOGLEFINANCE(""NSE:""&amp;B49,""price""),"""")"),"")</f>
        <v/>
      </c>
      <c r="I49" s="15"/>
      <c r="J49" s="16">
        <f t="shared" si="0"/>
        <v>0</v>
      </c>
      <c r="K49" s="16">
        <f t="shared" si="1"/>
        <v>0</v>
      </c>
      <c r="L49" s="16" t="e">
        <f t="shared" ca="1" si="2"/>
        <v>#VALUE!</v>
      </c>
      <c r="M49" s="19">
        <f t="shared" ca="1" si="3"/>
        <v>0</v>
      </c>
      <c r="N49" s="16">
        <f ca="1">IFERROR(__xludf.DUMMYFUNCTION("IFERROR(IF(G49&gt;0,0,GOOGLEFINANCE(""NSE:""&amp;B49,""change"")),0)"),0)</f>
        <v>0</v>
      </c>
      <c r="O49" s="16">
        <f t="shared" ca="1" si="4"/>
        <v>0</v>
      </c>
      <c r="P49" s="16">
        <f t="shared" si="5"/>
        <v>0</v>
      </c>
      <c r="Q49" s="19">
        <f t="shared" si="6"/>
        <v>0</v>
      </c>
      <c r="R49" s="16"/>
      <c r="S49" s="16"/>
      <c r="T49" s="16"/>
      <c r="U49" s="16"/>
      <c r="V49" s="16"/>
      <c r="W49" s="16"/>
      <c r="X49" s="16"/>
      <c r="Y49" s="16"/>
      <c r="Z49" s="19"/>
      <c r="AA49" s="16"/>
    </row>
    <row r="50" spans="1:27" ht="22.5" customHeight="1">
      <c r="A50" s="15">
        <v>49</v>
      </c>
      <c r="B50" s="16"/>
      <c r="C50" s="17"/>
      <c r="D50" s="18"/>
      <c r="E50" s="16"/>
      <c r="F50" s="15"/>
      <c r="G50" s="16"/>
      <c r="H50" s="16" t="str">
        <f ca="1">IFERROR(__xludf.DUMMYFUNCTION("IFERROR(GOOGLEFINANCE(""NSE:""&amp;B50,""price""),"""")"),"")</f>
        <v/>
      </c>
      <c r="I50" s="15"/>
      <c r="J50" s="16">
        <f t="shared" si="0"/>
        <v>0</v>
      </c>
      <c r="K50" s="16">
        <f t="shared" si="1"/>
        <v>0</v>
      </c>
      <c r="L50" s="16" t="e">
        <f t="shared" ca="1" si="2"/>
        <v>#VALUE!</v>
      </c>
      <c r="M50" s="19">
        <f t="shared" ca="1" si="3"/>
        <v>0</v>
      </c>
      <c r="N50" s="16">
        <f ca="1">IFERROR(__xludf.DUMMYFUNCTION("IFERROR(IF(G50&gt;0,0,GOOGLEFINANCE(""NSE:""&amp;B50,""change"")),0)"),0)</f>
        <v>0</v>
      </c>
      <c r="O50" s="16">
        <f t="shared" ca="1" si="4"/>
        <v>0</v>
      </c>
      <c r="P50" s="16">
        <f t="shared" si="5"/>
        <v>0</v>
      </c>
      <c r="Q50" s="19">
        <f t="shared" si="6"/>
        <v>0</v>
      </c>
      <c r="R50" s="16"/>
      <c r="S50" s="16"/>
      <c r="T50" s="16"/>
      <c r="U50" s="16"/>
      <c r="V50" s="16"/>
      <c r="W50" s="16"/>
      <c r="X50" s="16"/>
      <c r="Y50" s="16"/>
      <c r="Z50" s="19"/>
      <c r="AA50" s="16"/>
    </row>
    <row r="51" spans="1:27" ht="22.5" customHeight="1">
      <c r="A51" s="15">
        <v>50</v>
      </c>
      <c r="B51" s="32"/>
      <c r="C51" s="33"/>
      <c r="D51" s="34"/>
      <c r="E51" s="32"/>
      <c r="F51" s="34"/>
      <c r="G51" s="32"/>
      <c r="H51" s="16" t="str">
        <f ca="1">IFERROR(__xludf.DUMMYFUNCTION("IFERROR(GOOGLEFINANCE(""NSE:""&amp;B51,""price""),"""")"),"")</f>
        <v/>
      </c>
      <c r="I51" s="15"/>
      <c r="J51" s="16">
        <f t="shared" si="0"/>
        <v>0</v>
      </c>
      <c r="K51" s="16">
        <f t="shared" si="1"/>
        <v>0</v>
      </c>
      <c r="L51" s="16" t="e">
        <f t="shared" ca="1" si="2"/>
        <v>#VALUE!</v>
      </c>
      <c r="M51" s="19">
        <f t="shared" ca="1" si="3"/>
        <v>0</v>
      </c>
      <c r="N51" s="16">
        <f ca="1">IFERROR(__xludf.DUMMYFUNCTION("IFERROR(IF(G51&gt;0,0,GOOGLEFINANCE(""NSE:""&amp;B51,""change"")),0)"),0)</f>
        <v>0</v>
      </c>
      <c r="O51" s="16">
        <f t="shared" ca="1" si="4"/>
        <v>0</v>
      </c>
      <c r="P51" s="16">
        <f t="shared" si="5"/>
        <v>0</v>
      </c>
      <c r="Q51" s="19">
        <f t="shared" si="6"/>
        <v>0</v>
      </c>
      <c r="R51" s="16"/>
      <c r="S51" s="16"/>
      <c r="T51" s="16"/>
      <c r="U51" s="16"/>
      <c r="V51" s="16"/>
      <c r="W51" s="16"/>
      <c r="X51" s="16"/>
      <c r="Y51" s="16"/>
      <c r="Z51" s="19"/>
      <c r="AA51" s="16"/>
    </row>
    <row r="52" spans="1:27" ht="22.5" customHeight="1">
      <c r="A52" s="15">
        <v>51</v>
      </c>
      <c r="B52" s="16"/>
      <c r="C52" s="17"/>
      <c r="D52" s="18"/>
      <c r="E52" s="16"/>
      <c r="F52" s="18"/>
      <c r="G52" s="16"/>
      <c r="H52" s="16" t="str">
        <f ca="1">IFERROR(__xludf.DUMMYFUNCTION("IFERROR(GOOGLEFINANCE(""NSE:""&amp;B52,""price""),"""")"),"")</f>
        <v/>
      </c>
      <c r="I52" s="15"/>
      <c r="J52" s="16">
        <f t="shared" si="0"/>
        <v>0</v>
      </c>
      <c r="K52" s="16">
        <f t="shared" si="1"/>
        <v>0</v>
      </c>
      <c r="L52" s="16" t="e">
        <f t="shared" ca="1" si="2"/>
        <v>#VALUE!</v>
      </c>
      <c r="M52" s="19">
        <f t="shared" ca="1" si="3"/>
        <v>0</v>
      </c>
      <c r="N52" s="16">
        <f ca="1">IFERROR(__xludf.DUMMYFUNCTION("IFERROR(IF(G52&gt;0,0,GOOGLEFINANCE(""NSE:""&amp;B52,""change"")),0)"),0)</f>
        <v>0</v>
      </c>
      <c r="O52" s="16">
        <f t="shared" ca="1" si="4"/>
        <v>0</v>
      </c>
      <c r="P52" s="16">
        <f t="shared" si="5"/>
        <v>0</v>
      </c>
      <c r="Q52" s="19">
        <f t="shared" si="6"/>
        <v>0</v>
      </c>
      <c r="R52" s="16"/>
      <c r="S52" s="16"/>
      <c r="T52" s="16"/>
      <c r="U52" s="16"/>
      <c r="V52" s="16"/>
      <c r="W52" s="16"/>
      <c r="X52" s="16"/>
      <c r="Y52" s="16"/>
      <c r="Z52" s="19"/>
      <c r="AA52" s="16"/>
    </row>
    <row r="53" spans="1:27" ht="22.5" customHeight="1">
      <c r="A53" s="15">
        <v>52</v>
      </c>
      <c r="B53" s="32"/>
      <c r="C53" s="33"/>
      <c r="D53" s="34"/>
      <c r="E53" s="32"/>
      <c r="F53" s="34"/>
      <c r="G53" s="32"/>
      <c r="H53" s="16" t="str">
        <f ca="1">IFERROR(__xludf.DUMMYFUNCTION("IFERROR(GOOGLEFINANCE(""NSE:""&amp;B53,""price""),"""")"),"")</f>
        <v/>
      </c>
      <c r="I53" s="15"/>
      <c r="J53" s="16">
        <f t="shared" si="0"/>
        <v>0</v>
      </c>
      <c r="K53" s="16">
        <f t="shared" si="1"/>
        <v>0</v>
      </c>
      <c r="L53" s="16" t="e">
        <f t="shared" ca="1" si="2"/>
        <v>#VALUE!</v>
      </c>
      <c r="M53" s="19">
        <f t="shared" ca="1" si="3"/>
        <v>0</v>
      </c>
      <c r="N53" s="16">
        <f ca="1">IFERROR(__xludf.DUMMYFUNCTION("IFERROR(IF(G53&gt;0,0,GOOGLEFINANCE(""NSE:""&amp;B53,""change"")),0)"),0)</f>
        <v>0</v>
      </c>
      <c r="O53" s="16">
        <f t="shared" ca="1" si="4"/>
        <v>0</v>
      </c>
      <c r="P53" s="16">
        <f t="shared" si="5"/>
        <v>0</v>
      </c>
      <c r="Q53" s="19">
        <f t="shared" si="6"/>
        <v>0</v>
      </c>
      <c r="R53" s="32"/>
      <c r="S53" s="32"/>
      <c r="T53" s="32"/>
      <c r="U53" s="32"/>
      <c r="V53" s="32"/>
      <c r="W53" s="32"/>
      <c r="X53" s="32"/>
      <c r="Y53" s="32"/>
      <c r="Z53" s="35"/>
      <c r="AA53" s="32"/>
    </row>
  </sheetData>
  <conditionalFormatting sqref="L2:Q53 Y2:Z53 AM3:AO3 AE4:AE6 AF12">
    <cfRule type="cellIs" dxfId="13" priority="1" operator="lessThan">
      <formula>0</formula>
    </cfRule>
    <cfRule type="cellIs" dxfId="12" priority="2" operator="greaterThan">
      <formula>0</formula>
    </cfRule>
  </conditionalFormatting>
  <dataValidations count="3">
    <dataValidation type="list" allowBlank="1" sqref="C2:C53" xr:uid="{00000000-0002-0000-0900-000000000000}">
      <formula1>"DHAN,RAM,KAMAL,ESPRESSO,FYERS,Paytm,ANGELONE"</formula1>
    </dataValidation>
    <dataValidation type="custom" allowBlank="1" showDropDown="1" sqref="D2:D53" xr:uid="{00000000-0002-0000-0900-000001000000}">
      <formula1>OR(NOT(ISERROR(DATEVALUE(D2))), AND(ISNUMBER(D2), LEFT(CELL("format", D2))="D"))</formula1>
    </dataValidation>
    <dataValidation type="custom" allowBlank="1" showDropDown="1" sqref="E2:E53 G2:H53 J2:Q53" xr:uid="{00000000-0002-0000-0900-000002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O5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3" max="3" width="9.44140625" customWidth="1"/>
    <col min="4" max="4" width="10.88671875" customWidth="1"/>
    <col min="5" max="5" width="8.33203125" customWidth="1"/>
    <col min="6" max="6" width="10.44140625" customWidth="1"/>
    <col min="7" max="8" width="8.33203125" customWidth="1"/>
    <col min="9" max="9" width="4.33203125" customWidth="1"/>
    <col min="10" max="11" width="10.21875" customWidth="1"/>
    <col min="12" max="12" width="11.88671875" customWidth="1"/>
    <col min="13" max="13" width="9.109375" customWidth="1"/>
    <col min="17" max="17" width="7.109375" customWidth="1"/>
    <col min="18" max="18" width="7" hidden="1" customWidth="1"/>
    <col min="19" max="19" width="9.77734375" hidden="1" customWidth="1"/>
    <col min="20" max="20" width="5.109375" hidden="1" customWidth="1"/>
    <col min="21" max="21" width="11.21875" hidden="1" customWidth="1"/>
    <col min="22" max="22" width="8" hidden="1" customWidth="1"/>
    <col min="23" max="23" width="10.109375" hidden="1" customWidth="1"/>
    <col min="24" max="24" width="11.21875" hidden="1" customWidth="1"/>
    <col min="25" max="25" width="9.33203125" hidden="1" customWidth="1"/>
    <col min="26" max="26" width="8.44140625" hidden="1" customWidth="1"/>
    <col min="27" max="27" width="12.6640625" hidden="1"/>
    <col min="28" max="28" width="7.109375" customWidth="1"/>
    <col min="29" max="30" width="17.88671875" customWidth="1"/>
  </cols>
  <sheetData>
    <row r="1" spans="1:41">
      <c r="A1" s="49" t="s">
        <v>197</v>
      </c>
      <c r="B1" s="49" t="s">
        <v>4</v>
      </c>
      <c r="C1" s="49" t="s">
        <v>73</v>
      </c>
      <c r="D1" s="49" t="s">
        <v>74</v>
      </c>
      <c r="E1" s="49" t="s">
        <v>75</v>
      </c>
      <c r="F1" s="49" t="s">
        <v>76</v>
      </c>
      <c r="G1" s="49" t="s">
        <v>77</v>
      </c>
      <c r="H1" s="49" t="s">
        <v>78</v>
      </c>
      <c r="I1" s="49" t="s">
        <v>79</v>
      </c>
      <c r="J1" s="49" t="s">
        <v>80</v>
      </c>
      <c r="K1" s="49" t="s">
        <v>81</v>
      </c>
      <c r="L1" s="49" t="s">
        <v>6</v>
      </c>
      <c r="M1" s="49" t="s">
        <v>82</v>
      </c>
      <c r="N1" s="49" t="s">
        <v>84</v>
      </c>
      <c r="O1" s="49" t="s">
        <v>84</v>
      </c>
      <c r="P1" s="49" t="s">
        <v>5</v>
      </c>
      <c r="Q1" s="49" t="s">
        <v>85</v>
      </c>
      <c r="R1" s="49" t="s">
        <v>86</v>
      </c>
      <c r="S1" s="49" t="s">
        <v>87</v>
      </c>
      <c r="T1" s="49" t="s">
        <v>88</v>
      </c>
      <c r="U1" s="49" t="s">
        <v>89</v>
      </c>
      <c r="V1" s="49" t="s">
        <v>90</v>
      </c>
      <c r="W1" s="49" t="s">
        <v>91</v>
      </c>
      <c r="X1" s="49" t="s">
        <v>92</v>
      </c>
      <c r="Y1" s="49" t="s">
        <v>93</v>
      </c>
      <c r="Z1" s="49" t="s">
        <v>94</v>
      </c>
      <c r="AA1" s="50" t="s">
        <v>95</v>
      </c>
      <c r="AB1" s="13" t="s">
        <v>96</v>
      </c>
      <c r="AC1" s="13"/>
      <c r="AD1" s="14"/>
    </row>
    <row r="2" spans="1:41" ht="15.75" customHeight="1">
      <c r="A2" s="10">
        <v>1</v>
      </c>
      <c r="B2" s="9" t="s">
        <v>39</v>
      </c>
      <c r="C2" s="51" t="s">
        <v>131</v>
      </c>
      <c r="D2" s="52">
        <v>44944</v>
      </c>
      <c r="E2" s="9">
        <v>2485.35</v>
      </c>
      <c r="F2" s="52"/>
      <c r="G2" s="9">
        <v>0</v>
      </c>
      <c r="H2" s="9">
        <f ca="1">IFERROR(__xludf.DUMMYFUNCTION("GOOGLEFINANCE(""NSE:""&amp;B2,""price"")"),1569)</f>
        <v>1569</v>
      </c>
      <c r="I2" s="10">
        <v>5</v>
      </c>
      <c r="J2" s="9">
        <f t="shared" ref="J2:J28" si="0">E2*I2</f>
        <v>12426.75</v>
      </c>
      <c r="K2" s="9">
        <f t="shared" ref="K2:K28" si="1">IF(G2&gt;0,(E2+G2)*I2,E2*I2)</f>
        <v>12426.75</v>
      </c>
      <c r="L2" s="9">
        <f t="shared" ref="L2:L28" ca="1" si="2">IF(G2&gt;0,0,(H2-E2)*I2)</f>
        <v>-4581.75</v>
      </c>
      <c r="M2" s="53">
        <f t="shared" ref="M2:M28" ca="1" si="3">IF(G2&gt;0,0,(H2-E2)/E2)</f>
        <v>-0.36870058543062345</v>
      </c>
      <c r="N2" s="9">
        <f ca="1">IFERROR(__xludf.DUMMYFUNCTION("IF(G2&gt;0,0,GOOGLEFINANCE(""NSE:""&amp;B2,""change""))"),-6.4)</f>
        <v>-6.4</v>
      </c>
      <c r="O2" s="9">
        <f t="shared" ref="O2:O28" ca="1" si="4">I2*N2</f>
        <v>-32</v>
      </c>
      <c r="P2" s="9">
        <f t="shared" ref="P2:P28" si="5">IF(G2=0,0,(G2-E2)*I2)</f>
        <v>0</v>
      </c>
      <c r="Q2" s="53">
        <f t="shared" ref="Q2:Q28" si="6">IF(G2&gt;0,(G2-E2)/E2,0)</f>
        <v>0</v>
      </c>
      <c r="R2" s="9">
        <f t="shared" ref="R2:R6" si="7">0.001*K2</f>
        <v>12.42675</v>
      </c>
      <c r="S2" s="9">
        <f t="shared" ref="S2:S6" si="8">0.0000325*K2</f>
        <v>0.40386937499999997</v>
      </c>
      <c r="T2" s="9">
        <f t="shared" ref="T2:T9" si="9">0.18*S2</f>
        <v>7.269648749999999E-2</v>
      </c>
      <c r="U2" s="54">
        <f t="shared" ref="U2:U6" si="10">0.0000005*K2</f>
        <v>6.2133750000000001E-3</v>
      </c>
      <c r="V2" s="9">
        <f t="shared" ref="V2:V9" si="11">R2+S2+T2+U2</f>
        <v>12.909529237499999</v>
      </c>
      <c r="W2" s="9">
        <f t="shared" ref="W2:W6" si="12">IF(G2&gt;0,15.34,0)</f>
        <v>0</v>
      </c>
      <c r="X2" s="9">
        <f t="shared" ref="X2:X9" si="13">V2+W2</f>
        <v>12.909529237499999</v>
      </c>
      <c r="Y2" s="9">
        <f t="shared" ref="Y2:Y6" si="14">IF(G2&gt;0,P2-X2,0)</f>
        <v>0</v>
      </c>
      <c r="Z2" s="53">
        <f t="shared" ref="Z2:Z6" si="15">Y2/J2</f>
        <v>0</v>
      </c>
      <c r="AA2" s="55">
        <f>SUM($AE$2,Y2)</f>
        <v>37000</v>
      </c>
      <c r="AB2" s="22"/>
      <c r="AC2" s="22"/>
      <c r="AD2" s="23" t="s">
        <v>98</v>
      </c>
      <c r="AE2" s="8">
        <v>37000</v>
      </c>
      <c r="AG2" s="113"/>
      <c r="AH2" s="134"/>
      <c r="AI2" s="114" t="s">
        <v>275</v>
      </c>
      <c r="AJ2" s="115"/>
      <c r="AL2" s="113"/>
      <c r="AM2" s="114" t="s">
        <v>275</v>
      </c>
      <c r="AN2" s="134"/>
      <c r="AO2" s="115"/>
    </row>
    <row r="3" spans="1:41">
      <c r="A3" s="10">
        <v>2</v>
      </c>
      <c r="B3" s="9" t="s">
        <v>133</v>
      </c>
      <c r="C3" s="51" t="s">
        <v>131</v>
      </c>
      <c r="D3" s="52">
        <v>44944</v>
      </c>
      <c r="E3" s="9">
        <v>1685</v>
      </c>
      <c r="F3" s="52">
        <v>45183</v>
      </c>
      <c r="G3" s="9">
        <v>1923.7</v>
      </c>
      <c r="H3" s="9">
        <f ca="1">IFERROR(__xludf.DUMMYFUNCTION("GOOGLEFINANCE(""NSE:""&amp;B3,""price"")"),2823.1)</f>
        <v>2823.1</v>
      </c>
      <c r="I3" s="10">
        <v>10</v>
      </c>
      <c r="J3" s="9">
        <f t="shared" si="0"/>
        <v>16850</v>
      </c>
      <c r="K3" s="9">
        <f t="shared" si="1"/>
        <v>36087</v>
      </c>
      <c r="L3" s="9">
        <f t="shared" si="2"/>
        <v>0</v>
      </c>
      <c r="M3" s="53">
        <f t="shared" si="3"/>
        <v>0</v>
      </c>
      <c r="N3" s="9">
        <f ca="1">IFERROR(__xludf.DUMMYFUNCTION("IF(G3&gt;0,0,GOOGLEFINANCE(""NSE:""&amp;B3,""change""))"),0)</f>
        <v>0</v>
      </c>
      <c r="O3" s="9">
        <f t="shared" ca="1" si="4"/>
        <v>0</v>
      </c>
      <c r="P3" s="9">
        <f t="shared" si="5"/>
        <v>2387.0000000000005</v>
      </c>
      <c r="Q3" s="53">
        <f t="shared" si="6"/>
        <v>0.14166172106824929</v>
      </c>
      <c r="R3" s="9">
        <f t="shared" si="7"/>
        <v>36.087000000000003</v>
      </c>
      <c r="S3" s="9">
        <f t="shared" si="8"/>
        <v>1.1728274999999999</v>
      </c>
      <c r="T3" s="9">
        <f t="shared" si="9"/>
        <v>0.21110894999999999</v>
      </c>
      <c r="U3" s="9">
        <f t="shared" si="10"/>
        <v>1.8043500000000001E-2</v>
      </c>
      <c r="V3" s="9">
        <f t="shared" si="11"/>
        <v>37.488979950000001</v>
      </c>
      <c r="W3" s="9">
        <f t="shared" si="12"/>
        <v>15.34</v>
      </c>
      <c r="X3" s="9">
        <f t="shared" si="13"/>
        <v>52.828979950000004</v>
      </c>
      <c r="Y3" s="9">
        <f t="shared" si="14"/>
        <v>2334.1710200500006</v>
      </c>
      <c r="Z3" s="53">
        <f t="shared" si="15"/>
        <v>0.13852647003264099</v>
      </c>
      <c r="AA3" s="55">
        <f t="shared" ref="AA3:AA9" si="16">SUM(AA2,Y3)</f>
        <v>39334.171020050002</v>
      </c>
      <c r="AB3" s="22"/>
      <c r="AC3" s="22"/>
      <c r="AD3" s="23" t="s">
        <v>99</v>
      </c>
      <c r="AE3" s="8">
        <f ca="1">AE2+P54</f>
        <v>45782.020000000004</v>
      </c>
      <c r="AG3" s="114" t="s">
        <v>73</v>
      </c>
      <c r="AH3" s="114" t="s">
        <v>4</v>
      </c>
      <c r="AI3" s="113" t="s">
        <v>9</v>
      </c>
      <c r="AJ3" s="116" t="s">
        <v>8</v>
      </c>
      <c r="AL3" s="114" t="s">
        <v>4</v>
      </c>
      <c r="AM3" s="113" t="s">
        <v>5</v>
      </c>
      <c r="AN3" s="135" t="s">
        <v>6</v>
      </c>
      <c r="AO3" s="116" t="s">
        <v>7</v>
      </c>
    </row>
    <row r="4" spans="1:41">
      <c r="A4" s="10">
        <v>3</v>
      </c>
      <c r="B4" s="9" t="s">
        <v>39</v>
      </c>
      <c r="C4" s="51" t="s">
        <v>131</v>
      </c>
      <c r="D4" s="52">
        <v>44956</v>
      </c>
      <c r="E4" s="9">
        <v>2334.75</v>
      </c>
      <c r="F4" s="52"/>
      <c r="G4" s="9">
        <v>0</v>
      </c>
      <c r="H4" s="9">
        <f ca="1">IFERROR(__xludf.DUMMYFUNCTION("GOOGLEFINANCE(""NSE:""&amp;B4,""price"")"),1569)</f>
        <v>1569</v>
      </c>
      <c r="I4" s="10">
        <v>2</v>
      </c>
      <c r="J4" s="9">
        <f t="shared" si="0"/>
        <v>4669.5</v>
      </c>
      <c r="K4" s="9">
        <f t="shared" si="1"/>
        <v>4669.5</v>
      </c>
      <c r="L4" s="9">
        <f t="shared" ca="1" si="2"/>
        <v>-1531.5</v>
      </c>
      <c r="M4" s="53">
        <f t="shared" ca="1" si="3"/>
        <v>-0.32797944105364601</v>
      </c>
      <c r="N4" s="9">
        <f ca="1">IFERROR(__xludf.DUMMYFUNCTION("IF(G4&gt;0,0,GOOGLEFINANCE(""NSE:""&amp;B4,""change""))"),-6.4)</f>
        <v>-6.4</v>
      </c>
      <c r="O4" s="9">
        <f t="shared" ca="1" si="4"/>
        <v>-12.8</v>
      </c>
      <c r="P4" s="9">
        <f t="shared" si="5"/>
        <v>0</v>
      </c>
      <c r="Q4" s="53">
        <f t="shared" si="6"/>
        <v>0</v>
      </c>
      <c r="R4" s="9">
        <f t="shared" si="7"/>
        <v>4.6695000000000002</v>
      </c>
      <c r="S4" s="9">
        <f t="shared" si="8"/>
        <v>0.15175875</v>
      </c>
      <c r="T4" s="9">
        <f t="shared" si="9"/>
        <v>2.7316574999999999E-2</v>
      </c>
      <c r="U4" s="9">
        <f t="shared" si="10"/>
        <v>2.33475E-3</v>
      </c>
      <c r="V4" s="9">
        <f t="shared" si="11"/>
        <v>4.8509100750000007</v>
      </c>
      <c r="W4" s="9">
        <f t="shared" si="12"/>
        <v>0</v>
      </c>
      <c r="X4" s="9">
        <f t="shared" si="13"/>
        <v>4.8509100750000007</v>
      </c>
      <c r="Y4" s="9">
        <f t="shared" si="14"/>
        <v>0</v>
      </c>
      <c r="Z4" s="53">
        <f t="shared" si="15"/>
        <v>0</v>
      </c>
      <c r="AA4" s="55">
        <f t="shared" si="16"/>
        <v>39334.171020050002</v>
      </c>
      <c r="AB4" s="22"/>
      <c r="AC4" s="22"/>
      <c r="AD4" s="23" t="s">
        <v>100</v>
      </c>
      <c r="AE4" s="8">
        <f ca="1">AE3-AE2</f>
        <v>8782.0200000000041</v>
      </c>
      <c r="AG4" s="113" t="s">
        <v>97</v>
      </c>
      <c r="AH4" s="134"/>
      <c r="AI4" s="117">
        <v>0</v>
      </c>
      <c r="AJ4" s="118">
        <v>8471.9199999999983</v>
      </c>
      <c r="AL4" s="136" t="s">
        <v>198</v>
      </c>
      <c r="AM4" s="117">
        <v>414.74999999999966</v>
      </c>
      <c r="AN4" s="137">
        <v>0</v>
      </c>
      <c r="AO4" s="118">
        <v>0</v>
      </c>
    </row>
    <row r="5" spans="1:41">
      <c r="A5" s="10">
        <v>4</v>
      </c>
      <c r="B5" s="56" t="s">
        <v>199</v>
      </c>
      <c r="C5" s="51" t="s">
        <v>131</v>
      </c>
      <c r="D5" s="52">
        <v>44958</v>
      </c>
      <c r="E5" s="9">
        <v>638.25</v>
      </c>
      <c r="F5" s="52">
        <v>45152</v>
      </c>
      <c r="G5" s="9">
        <v>647.70000000000005</v>
      </c>
      <c r="H5" s="9">
        <f ca="1">IFERROR(__xludf.DUMMYFUNCTION("GOOGLEFINANCE(""NSE:""&amp;B5,""price"")"),512.3)</f>
        <v>512.29999999999995</v>
      </c>
      <c r="I5" s="10">
        <v>4</v>
      </c>
      <c r="J5" s="9">
        <f t="shared" si="0"/>
        <v>2553</v>
      </c>
      <c r="K5" s="9">
        <f t="shared" si="1"/>
        <v>5143.8</v>
      </c>
      <c r="L5" s="9">
        <f t="shared" si="2"/>
        <v>0</v>
      </c>
      <c r="M5" s="53">
        <f t="shared" si="3"/>
        <v>0</v>
      </c>
      <c r="N5" s="9">
        <f ca="1">IFERROR(__xludf.DUMMYFUNCTION("IF(G5&gt;0,0,GOOGLEFINANCE(""NSE:""&amp;B5,""change""))"),0)</f>
        <v>0</v>
      </c>
      <c r="O5" s="9">
        <f t="shared" ca="1" si="4"/>
        <v>0</v>
      </c>
      <c r="P5" s="9">
        <f t="shared" si="5"/>
        <v>37.800000000000182</v>
      </c>
      <c r="Q5" s="53">
        <f t="shared" si="6"/>
        <v>1.4806110458284442E-2</v>
      </c>
      <c r="R5" s="9">
        <f t="shared" si="7"/>
        <v>5.1438000000000006</v>
      </c>
      <c r="S5" s="9">
        <f t="shared" si="8"/>
        <v>0.1671735</v>
      </c>
      <c r="T5" s="9">
        <f t="shared" si="9"/>
        <v>3.009123E-2</v>
      </c>
      <c r="U5" s="9">
        <f t="shared" si="10"/>
        <v>2.5718999999999998E-3</v>
      </c>
      <c r="V5" s="9">
        <f t="shared" si="11"/>
        <v>5.3436366300000007</v>
      </c>
      <c r="W5" s="9">
        <f t="shared" si="12"/>
        <v>15.34</v>
      </c>
      <c r="X5" s="9">
        <f t="shared" si="13"/>
        <v>20.683636630000002</v>
      </c>
      <c r="Y5" s="9">
        <f t="shared" si="14"/>
        <v>17.11636337000018</v>
      </c>
      <c r="Z5" s="53">
        <f t="shared" si="15"/>
        <v>6.7044118174697138E-3</v>
      </c>
      <c r="AA5" s="55">
        <f t="shared" si="16"/>
        <v>39351.28738342</v>
      </c>
      <c r="AB5" s="22"/>
      <c r="AC5" s="22"/>
      <c r="AD5" s="23" t="s">
        <v>103</v>
      </c>
      <c r="AE5" s="24">
        <f ca="1">AE4/AE2</f>
        <v>0.23735189189189201</v>
      </c>
      <c r="AG5" s="113" t="s">
        <v>131</v>
      </c>
      <c r="AH5" s="134"/>
      <c r="AI5" s="117">
        <v>-3610.9500000000007</v>
      </c>
      <c r="AJ5" s="118">
        <v>136.30000000000246</v>
      </c>
      <c r="AL5" s="138" t="s">
        <v>21</v>
      </c>
      <c r="AM5" s="120">
        <v>-114.75000000000023</v>
      </c>
      <c r="AN5" s="139">
        <v>0</v>
      </c>
      <c r="AO5" s="121">
        <v>0</v>
      </c>
    </row>
    <row r="6" spans="1:41">
      <c r="A6" s="10">
        <v>5</v>
      </c>
      <c r="B6" s="56" t="s">
        <v>22</v>
      </c>
      <c r="C6" s="51" t="s">
        <v>131</v>
      </c>
      <c r="D6" s="52">
        <v>44960</v>
      </c>
      <c r="E6" s="9">
        <v>327.72</v>
      </c>
      <c r="F6" s="52"/>
      <c r="G6" s="9">
        <v>0</v>
      </c>
      <c r="H6" s="9">
        <f ca="1">IFERROR(__xludf.DUMMYFUNCTION("GOOGLEFINANCE(""NSE:""&amp;B6,""price"")"),369.7)</f>
        <v>369.7</v>
      </c>
      <c r="I6" s="10">
        <v>10</v>
      </c>
      <c r="J6" s="9">
        <f t="shared" si="0"/>
        <v>3277.2000000000003</v>
      </c>
      <c r="K6" s="9">
        <f t="shared" si="1"/>
        <v>3277.2000000000003</v>
      </c>
      <c r="L6" s="9">
        <f t="shared" ca="1" si="2"/>
        <v>419.79999999999961</v>
      </c>
      <c r="M6" s="53">
        <f t="shared" ca="1" si="3"/>
        <v>0.12809715610887329</v>
      </c>
      <c r="N6" s="9">
        <f ca="1">IFERROR(__xludf.DUMMYFUNCTION("IF(G6&gt;0,0,GOOGLEFINANCE(""NSE:""&amp;B6,""change""))"),-0.2)</f>
        <v>-0.2</v>
      </c>
      <c r="O6" s="9">
        <f t="shared" ca="1" si="4"/>
        <v>-2</v>
      </c>
      <c r="P6" s="9">
        <f t="shared" si="5"/>
        <v>0</v>
      </c>
      <c r="Q6" s="53">
        <f t="shared" si="6"/>
        <v>0</v>
      </c>
      <c r="R6" s="9">
        <f t="shared" si="7"/>
        <v>3.2772000000000006</v>
      </c>
      <c r="S6" s="9">
        <f t="shared" si="8"/>
        <v>0.10650900000000001</v>
      </c>
      <c r="T6" s="9">
        <f t="shared" si="9"/>
        <v>1.917162E-2</v>
      </c>
      <c r="U6" s="9">
        <f t="shared" si="10"/>
        <v>1.6386E-3</v>
      </c>
      <c r="V6" s="9">
        <f t="shared" si="11"/>
        <v>3.4045192200000005</v>
      </c>
      <c r="W6" s="9">
        <f t="shared" si="12"/>
        <v>0</v>
      </c>
      <c r="X6" s="9">
        <f t="shared" si="13"/>
        <v>3.4045192200000005</v>
      </c>
      <c r="Y6" s="9">
        <f t="shared" si="14"/>
        <v>0</v>
      </c>
      <c r="Z6" s="53">
        <f t="shared" si="15"/>
        <v>0</v>
      </c>
      <c r="AA6" s="55">
        <f t="shared" si="16"/>
        <v>39351.28738342</v>
      </c>
      <c r="AB6" s="22"/>
      <c r="AC6" s="22"/>
      <c r="AD6" s="22"/>
      <c r="AE6" s="26"/>
      <c r="AG6" s="113" t="s">
        <v>205</v>
      </c>
      <c r="AH6" s="134"/>
      <c r="AI6" s="117">
        <v>0</v>
      </c>
      <c r="AJ6" s="118">
        <v>283.79999999999973</v>
      </c>
      <c r="AL6" s="138" t="s">
        <v>29</v>
      </c>
      <c r="AM6" s="120">
        <v>433.79999999999973</v>
      </c>
      <c r="AN6" s="139">
        <v>0</v>
      </c>
      <c r="AO6" s="121">
        <v>0</v>
      </c>
    </row>
    <row r="7" spans="1:41">
      <c r="A7" s="10">
        <v>6</v>
      </c>
      <c r="B7" s="9" t="s">
        <v>21</v>
      </c>
      <c r="C7" s="10" t="s">
        <v>97</v>
      </c>
      <c r="D7" s="52">
        <v>45040</v>
      </c>
      <c r="E7" s="9">
        <v>878.5</v>
      </c>
      <c r="F7" s="52">
        <v>45044</v>
      </c>
      <c r="G7" s="9">
        <v>855.55</v>
      </c>
      <c r="H7" s="9">
        <f ca="1">IFERROR(__xludf.DUMMYFUNCTION("GOOGLEFINANCE(""NSE:""&amp;B7,""price"")"),1224.5)</f>
        <v>1224.5</v>
      </c>
      <c r="I7" s="10">
        <v>5</v>
      </c>
      <c r="J7" s="9">
        <f t="shared" si="0"/>
        <v>4392.5</v>
      </c>
      <c r="K7" s="9">
        <f t="shared" si="1"/>
        <v>8670.25</v>
      </c>
      <c r="L7" s="9">
        <f t="shared" si="2"/>
        <v>0</v>
      </c>
      <c r="M7" s="53">
        <f t="shared" si="3"/>
        <v>0</v>
      </c>
      <c r="N7" s="9">
        <f ca="1">IFERROR(__xludf.DUMMYFUNCTION("IF(G7&gt;0,0,GOOGLEFINANCE(""NSE:""&amp;B7,""change""))"),0)</f>
        <v>0</v>
      </c>
      <c r="O7" s="9">
        <f t="shared" ca="1" si="4"/>
        <v>0</v>
      </c>
      <c r="P7" s="9">
        <f t="shared" si="5"/>
        <v>-114.75000000000023</v>
      </c>
      <c r="Q7" s="53">
        <f t="shared" si="6"/>
        <v>-2.6124075128059244E-2</v>
      </c>
      <c r="R7" s="9" t="e">
        <f t="shared" ref="R7:R9" si="17">0.001*#REF!</f>
        <v>#REF!</v>
      </c>
      <c r="S7" s="9" t="e">
        <f t="shared" ref="S7:S9" si="18">0.0000325*#REF!</f>
        <v>#REF!</v>
      </c>
      <c r="T7" s="9" t="e">
        <f t="shared" si="9"/>
        <v>#REF!</v>
      </c>
      <c r="U7" s="9" t="e">
        <f t="shared" ref="U7:U9" si="19">0.0000005*#REF!</f>
        <v>#REF!</v>
      </c>
      <c r="V7" s="9" t="e">
        <f t="shared" si="11"/>
        <v>#REF!</v>
      </c>
      <c r="W7" s="9" t="e">
        <f t="shared" ref="W7:W9" si="20">IF(#REF!&gt;0,15.34,0)</f>
        <v>#REF!</v>
      </c>
      <c r="X7" s="9" t="e">
        <f t="shared" si="13"/>
        <v>#REF!</v>
      </c>
      <c r="Y7" s="9" t="e">
        <f t="shared" ref="Y7:Y9" si="21">IF(#REF!&gt;0,P7-X7,0)</f>
        <v>#REF!</v>
      </c>
      <c r="Z7" s="53" t="e">
        <f t="shared" ref="Z7:Z9" si="22">Y7/#REF!</f>
        <v>#REF!</v>
      </c>
      <c r="AA7" s="55" t="e">
        <f t="shared" si="16"/>
        <v>#REF!</v>
      </c>
      <c r="AB7" s="6" t="s">
        <v>200</v>
      </c>
      <c r="AD7" s="114" t="s">
        <v>76</v>
      </c>
      <c r="AE7" s="125" t="s">
        <v>8</v>
      </c>
      <c r="AG7" s="113" t="s">
        <v>139</v>
      </c>
      <c r="AH7" s="134"/>
      <c r="AI7" s="117">
        <v>1359.6000000000004</v>
      </c>
      <c r="AJ7" s="118">
        <v>0</v>
      </c>
      <c r="AL7" s="138" t="s">
        <v>201</v>
      </c>
      <c r="AM7" s="120">
        <v>438.74999999999955</v>
      </c>
      <c r="AN7" s="139">
        <v>0</v>
      </c>
      <c r="AO7" s="121">
        <v>0</v>
      </c>
    </row>
    <row r="8" spans="1:41">
      <c r="A8" s="10">
        <v>7</v>
      </c>
      <c r="B8" s="9" t="s">
        <v>202</v>
      </c>
      <c r="C8" s="10" t="s">
        <v>140</v>
      </c>
      <c r="D8" s="52">
        <v>45048</v>
      </c>
      <c r="E8" s="9">
        <v>590.75</v>
      </c>
      <c r="F8" s="52">
        <v>45058</v>
      </c>
      <c r="G8" s="9">
        <v>577</v>
      </c>
      <c r="H8" s="9">
        <f ca="1">IFERROR(__xludf.DUMMYFUNCTION("GOOGLEFINANCE(""NSE:""&amp;B8,""price"")"),1014)</f>
        <v>1014</v>
      </c>
      <c r="I8" s="10">
        <v>8</v>
      </c>
      <c r="J8" s="9">
        <f t="shared" si="0"/>
        <v>4726</v>
      </c>
      <c r="K8" s="9">
        <f t="shared" si="1"/>
        <v>9342</v>
      </c>
      <c r="L8" s="9">
        <f t="shared" si="2"/>
        <v>0</v>
      </c>
      <c r="M8" s="53">
        <f t="shared" si="3"/>
        <v>0</v>
      </c>
      <c r="N8" s="9">
        <f ca="1">IFERROR(__xludf.DUMMYFUNCTION("IF(G8&gt;0,0,GOOGLEFINANCE(""NSE:""&amp;B8,""change""))"),0)</f>
        <v>0</v>
      </c>
      <c r="O8" s="9">
        <f t="shared" ca="1" si="4"/>
        <v>0</v>
      </c>
      <c r="P8" s="9">
        <f t="shared" si="5"/>
        <v>-110</v>
      </c>
      <c r="Q8" s="53">
        <f t="shared" si="6"/>
        <v>-2.3275497249259414E-2</v>
      </c>
      <c r="R8" s="9" t="e">
        <f t="shared" si="17"/>
        <v>#REF!</v>
      </c>
      <c r="S8" s="9" t="e">
        <f t="shared" si="18"/>
        <v>#REF!</v>
      </c>
      <c r="T8" s="9" t="e">
        <f t="shared" si="9"/>
        <v>#REF!</v>
      </c>
      <c r="U8" s="9" t="e">
        <f t="shared" si="19"/>
        <v>#REF!</v>
      </c>
      <c r="V8" s="9" t="e">
        <f t="shared" si="11"/>
        <v>#REF!</v>
      </c>
      <c r="W8" s="9" t="e">
        <f t="shared" si="20"/>
        <v>#REF!</v>
      </c>
      <c r="X8" s="9" t="e">
        <f t="shared" si="13"/>
        <v>#REF!</v>
      </c>
      <c r="Y8" s="9" t="e">
        <f t="shared" si="21"/>
        <v>#REF!</v>
      </c>
      <c r="Z8" s="53" t="e">
        <f t="shared" si="22"/>
        <v>#REF!</v>
      </c>
      <c r="AA8" s="55" t="e">
        <f t="shared" si="16"/>
        <v>#REF!</v>
      </c>
      <c r="AB8" s="6" t="s">
        <v>184</v>
      </c>
      <c r="AD8" s="132">
        <v>45044</v>
      </c>
      <c r="AE8" s="127">
        <v>-114.75000000000023</v>
      </c>
      <c r="AG8" s="113" t="s">
        <v>140</v>
      </c>
      <c r="AH8" s="134"/>
      <c r="AI8" s="117">
        <v>0</v>
      </c>
      <c r="AJ8" s="118">
        <v>-110</v>
      </c>
      <c r="AL8" s="138" t="s">
        <v>22</v>
      </c>
      <c r="AM8" s="120">
        <v>0</v>
      </c>
      <c r="AN8" s="139">
        <v>419.79999999999961</v>
      </c>
      <c r="AO8" s="121">
        <v>-2</v>
      </c>
    </row>
    <row r="9" spans="1:41">
      <c r="A9" s="10">
        <v>8</v>
      </c>
      <c r="B9" s="57" t="s">
        <v>198</v>
      </c>
      <c r="C9" s="51" t="s">
        <v>131</v>
      </c>
      <c r="D9" s="58">
        <v>45062</v>
      </c>
      <c r="E9" s="9">
        <v>315</v>
      </c>
      <c r="F9" s="58">
        <v>45065</v>
      </c>
      <c r="G9" s="57">
        <v>342.65</v>
      </c>
      <c r="H9" s="9">
        <f ca="1">IFERROR(__xludf.DUMMYFUNCTION("GOOGLEFINANCE(""NSE:""&amp;B9,""price"")"),948)</f>
        <v>948</v>
      </c>
      <c r="I9" s="59">
        <v>15</v>
      </c>
      <c r="J9" s="9">
        <f t="shared" si="0"/>
        <v>4725</v>
      </c>
      <c r="K9" s="9">
        <f t="shared" si="1"/>
        <v>9864.75</v>
      </c>
      <c r="L9" s="9">
        <f t="shared" si="2"/>
        <v>0</v>
      </c>
      <c r="M9" s="53">
        <f t="shared" si="3"/>
        <v>0</v>
      </c>
      <c r="N9" s="9">
        <f ca="1">IFERROR(__xludf.DUMMYFUNCTION("IF(G9&gt;0,0,GOOGLEFINANCE(""NSE:""&amp;B9,""change""))"),0)</f>
        <v>0</v>
      </c>
      <c r="O9" s="9">
        <f t="shared" ca="1" si="4"/>
        <v>0</v>
      </c>
      <c r="P9" s="9">
        <f t="shared" si="5"/>
        <v>414.74999999999966</v>
      </c>
      <c r="Q9" s="53">
        <f t="shared" si="6"/>
        <v>8.7777777777777705E-2</v>
      </c>
      <c r="R9" s="9" t="e">
        <f t="shared" si="17"/>
        <v>#REF!</v>
      </c>
      <c r="S9" s="9" t="e">
        <f t="shared" si="18"/>
        <v>#REF!</v>
      </c>
      <c r="T9" s="9" t="e">
        <f t="shared" si="9"/>
        <v>#REF!</v>
      </c>
      <c r="U9" s="9" t="e">
        <f t="shared" si="19"/>
        <v>#REF!</v>
      </c>
      <c r="V9" s="9" t="e">
        <f t="shared" si="11"/>
        <v>#REF!</v>
      </c>
      <c r="W9" s="9" t="e">
        <f t="shared" si="20"/>
        <v>#REF!</v>
      </c>
      <c r="X9" s="9" t="e">
        <f t="shared" si="13"/>
        <v>#REF!</v>
      </c>
      <c r="Y9" s="9" t="e">
        <f t="shared" si="21"/>
        <v>#REF!</v>
      </c>
      <c r="Z9" s="53" t="e">
        <f t="shared" si="22"/>
        <v>#REF!</v>
      </c>
      <c r="AA9" s="55" t="e">
        <f t="shared" si="16"/>
        <v>#REF!</v>
      </c>
      <c r="AB9" s="6" t="s">
        <v>203</v>
      </c>
      <c r="AD9" s="133">
        <v>45058</v>
      </c>
      <c r="AE9" s="129">
        <v>-110</v>
      </c>
      <c r="AG9" s="113" t="s">
        <v>276</v>
      </c>
      <c r="AH9" s="136" t="s">
        <v>276</v>
      </c>
      <c r="AI9" s="117"/>
      <c r="AJ9" s="118"/>
      <c r="AL9" s="138" t="s">
        <v>166</v>
      </c>
      <c r="AM9" s="120">
        <v>513.39999999999964</v>
      </c>
      <c r="AN9" s="139">
        <v>0</v>
      </c>
      <c r="AO9" s="121">
        <v>0</v>
      </c>
    </row>
    <row r="10" spans="1:41">
      <c r="A10" s="10">
        <v>9</v>
      </c>
      <c r="B10" s="60" t="s">
        <v>204</v>
      </c>
      <c r="C10" s="10" t="s">
        <v>205</v>
      </c>
      <c r="D10" s="52">
        <v>45069</v>
      </c>
      <c r="E10" s="9">
        <v>195.65</v>
      </c>
      <c r="F10" s="52">
        <v>45070</v>
      </c>
      <c r="G10" s="9">
        <v>189.65</v>
      </c>
      <c r="H10" s="9">
        <f ca="1">IFERROR(__xludf.DUMMYFUNCTION("GOOGLEFINANCE(""NSE:""&amp;B10,""price"")"),441.05)</f>
        <v>441.05</v>
      </c>
      <c r="I10" s="10">
        <v>25</v>
      </c>
      <c r="J10" s="9">
        <f t="shared" si="0"/>
        <v>4891.25</v>
      </c>
      <c r="K10" s="9">
        <f t="shared" si="1"/>
        <v>9632.5</v>
      </c>
      <c r="L10" s="9">
        <f t="shared" si="2"/>
        <v>0</v>
      </c>
      <c r="M10" s="53">
        <f t="shared" si="3"/>
        <v>0</v>
      </c>
      <c r="N10" s="9">
        <f ca="1">IFERROR(__xludf.DUMMYFUNCTION("IF(G10&gt;0,0,GOOGLEFINANCE(""NSE:""&amp;B10,""change""))"),0)</f>
        <v>0</v>
      </c>
      <c r="O10" s="9">
        <f t="shared" ca="1" si="4"/>
        <v>0</v>
      </c>
      <c r="P10" s="9">
        <f t="shared" si="5"/>
        <v>-150</v>
      </c>
      <c r="Q10" s="53">
        <f t="shared" si="6"/>
        <v>-3.0667007411193457E-2</v>
      </c>
      <c r="R10" s="9"/>
      <c r="S10" s="9"/>
      <c r="T10" s="9"/>
      <c r="U10" s="9"/>
      <c r="V10" s="9"/>
      <c r="W10" s="9"/>
      <c r="X10" s="9"/>
      <c r="Y10" s="9"/>
      <c r="Z10" s="53"/>
      <c r="AA10" s="9"/>
      <c r="AB10" s="6" t="s">
        <v>206</v>
      </c>
      <c r="AD10" s="133">
        <v>45065</v>
      </c>
      <c r="AE10" s="129">
        <v>414.74999999999966</v>
      </c>
      <c r="AG10" s="113" t="s">
        <v>277</v>
      </c>
      <c r="AH10" s="134"/>
      <c r="AI10" s="117"/>
      <c r="AJ10" s="118"/>
      <c r="AL10" s="138" t="s">
        <v>199</v>
      </c>
      <c r="AM10" s="120">
        <v>-1012.1999999999998</v>
      </c>
      <c r="AN10" s="139">
        <v>0</v>
      </c>
      <c r="AO10" s="121">
        <v>0</v>
      </c>
    </row>
    <row r="11" spans="1:41">
      <c r="A11" s="10">
        <v>10</v>
      </c>
      <c r="B11" s="60" t="s">
        <v>29</v>
      </c>
      <c r="C11" s="10" t="s">
        <v>205</v>
      </c>
      <c r="D11" s="52">
        <v>45075</v>
      </c>
      <c r="E11" s="9">
        <v>1456.9</v>
      </c>
      <c r="F11" s="52">
        <v>45111</v>
      </c>
      <c r="G11" s="9">
        <v>1601.5</v>
      </c>
      <c r="H11" s="9">
        <f ca="1">IFERROR(__xludf.DUMMYFUNCTION("GOOGLEFINANCE(""NSE:""&amp;B11,""price"")"),2042)</f>
        <v>2042</v>
      </c>
      <c r="I11" s="10">
        <v>3</v>
      </c>
      <c r="J11" s="9">
        <f t="shared" si="0"/>
        <v>4370.7000000000007</v>
      </c>
      <c r="K11" s="9">
        <f t="shared" si="1"/>
        <v>9175.2000000000007</v>
      </c>
      <c r="L11" s="9">
        <f t="shared" si="2"/>
        <v>0</v>
      </c>
      <c r="M11" s="53">
        <f t="shared" si="3"/>
        <v>0</v>
      </c>
      <c r="N11" s="9">
        <f ca="1">IFERROR(__xludf.DUMMYFUNCTION("IF(G11&gt;0,0,GOOGLEFINANCE(""NSE:""&amp;B11,""change""))"),0)</f>
        <v>0</v>
      </c>
      <c r="O11" s="9">
        <f t="shared" ca="1" si="4"/>
        <v>0</v>
      </c>
      <c r="P11" s="9">
        <f t="shared" si="5"/>
        <v>433.79999999999973</v>
      </c>
      <c r="Q11" s="53">
        <f t="shared" si="6"/>
        <v>9.9251836090328713E-2</v>
      </c>
      <c r="R11" s="9"/>
      <c r="S11" s="9"/>
      <c r="T11" s="9"/>
      <c r="U11" s="9"/>
      <c r="V11" s="9"/>
      <c r="W11" s="9"/>
      <c r="X11" s="9"/>
      <c r="Y11" s="9"/>
      <c r="Z11" s="53"/>
      <c r="AA11" s="9"/>
      <c r="AB11" s="6" t="s">
        <v>207</v>
      </c>
      <c r="AD11" s="133">
        <v>45070</v>
      </c>
      <c r="AE11" s="129">
        <v>-150</v>
      </c>
      <c r="AG11" s="122" t="s">
        <v>48</v>
      </c>
      <c r="AH11" s="142"/>
      <c r="AI11" s="123">
        <v>-2251.3500000000004</v>
      </c>
      <c r="AJ11" s="124">
        <v>8782.02</v>
      </c>
      <c r="AL11" s="138" t="s">
        <v>208</v>
      </c>
      <c r="AM11" s="120">
        <v>114.65000000000009</v>
      </c>
      <c r="AN11" s="139">
        <v>0</v>
      </c>
      <c r="AO11" s="121">
        <v>0</v>
      </c>
    </row>
    <row r="12" spans="1:41">
      <c r="A12" s="10">
        <v>11</v>
      </c>
      <c r="B12" s="61" t="s">
        <v>201</v>
      </c>
      <c r="C12" s="51" t="s">
        <v>97</v>
      </c>
      <c r="D12" s="52">
        <v>45075</v>
      </c>
      <c r="E12" s="9">
        <v>184.65</v>
      </c>
      <c r="F12" s="52">
        <v>45111</v>
      </c>
      <c r="G12" s="9">
        <v>202.2</v>
      </c>
      <c r="H12" s="9">
        <f ca="1">IFERROR(__xludf.DUMMYFUNCTION("GOOGLEFINANCE(""NSE:""&amp;B12,""price"")"),292.9)</f>
        <v>292.89999999999998</v>
      </c>
      <c r="I12" s="10">
        <v>25</v>
      </c>
      <c r="J12" s="9">
        <f t="shared" si="0"/>
        <v>4616.25</v>
      </c>
      <c r="K12" s="9">
        <f t="shared" si="1"/>
        <v>9671.25</v>
      </c>
      <c r="L12" s="9">
        <f t="shared" si="2"/>
        <v>0</v>
      </c>
      <c r="M12" s="53">
        <f t="shared" si="3"/>
        <v>0</v>
      </c>
      <c r="N12" s="9">
        <f ca="1">IFERROR(__xludf.DUMMYFUNCTION("IF(G12&gt;0,0,GOOGLEFINANCE(""NSE:""&amp;B12,""change""))"),0)</f>
        <v>0</v>
      </c>
      <c r="O12" s="9">
        <f t="shared" ca="1" si="4"/>
        <v>0</v>
      </c>
      <c r="P12" s="9">
        <f t="shared" si="5"/>
        <v>438.74999999999955</v>
      </c>
      <c r="Q12" s="53">
        <f t="shared" si="6"/>
        <v>9.5044679122664399E-2</v>
      </c>
      <c r="R12" s="9"/>
      <c r="S12" s="9"/>
      <c r="T12" s="9"/>
      <c r="U12" s="9"/>
      <c r="V12" s="9"/>
      <c r="W12" s="9"/>
      <c r="X12" s="9"/>
      <c r="Y12" s="9"/>
      <c r="Z12" s="53"/>
      <c r="AA12" s="9"/>
      <c r="AB12" s="6" t="s">
        <v>209</v>
      </c>
      <c r="AD12" s="133">
        <v>45111</v>
      </c>
      <c r="AE12" s="129">
        <v>872.54999999999927</v>
      </c>
      <c r="AF12" s="8"/>
      <c r="AL12" s="138" t="s">
        <v>210</v>
      </c>
      <c r="AM12" s="120">
        <v>2725.16</v>
      </c>
      <c r="AN12" s="139">
        <v>0</v>
      </c>
      <c r="AO12" s="121">
        <v>0</v>
      </c>
    </row>
    <row r="13" spans="1:41">
      <c r="A13" s="10">
        <v>12</v>
      </c>
      <c r="B13" s="10" t="s">
        <v>208</v>
      </c>
      <c r="C13" s="51" t="s">
        <v>97</v>
      </c>
      <c r="D13" s="52">
        <v>45078</v>
      </c>
      <c r="E13" s="9">
        <v>3554.35</v>
      </c>
      <c r="F13" s="52">
        <v>45139</v>
      </c>
      <c r="G13" s="9">
        <v>3669</v>
      </c>
      <c r="H13" s="9">
        <f ca="1">IFERROR(__xludf.DUMMYFUNCTION("GOOGLEFINANCE(""NSE:""&amp;B13,""price"")"),6480)</f>
        <v>6480</v>
      </c>
      <c r="I13" s="10">
        <v>1</v>
      </c>
      <c r="J13" s="9">
        <f t="shared" si="0"/>
        <v>3554.35</v>
      </c>
      <c r="K13" s="9">
        <f t="shared" si="1"/>
        <v>7223.35</v>
      </c>
      <c r="L13" s="9">
        <f t="shared" si="2"/>
        <v>0</v>
      </c>
      <c r="M13" s="53">
        <f t="shared" si="3"/>
        <v>0</v>
      </c>
      <c r="N13" s="9">
        <f ca="1">IFERROR(__xludf.DUMMYFUNCTION("IF(G13&gt;0,0,GOOGLEFINANCE(""NSE:""&amp;B13,""change""))"),0)</f>
        <v>0</v>
      </c>
      <c r="O13" s="9">
        <f t="shared" ca="1" si="4"/>
        <v>0</v>
      </c>
      <c r="P13" s="9">
        <f t="shared" si="5"/>
        <v>114.65000000000009</v>
      </c>
      <c r="Q13" s="53">
        <f t="shared" si="6"/>
        <v>3.2256249384556977E-2</v>
      </c>
      <c r="R13" s="9"/>
      <c r="S13" s="9"/>
      <c r="T13" s="9"/>
      <c r="U13" s="9"/>
      <c r="V13" s="9"/>
      <c r="W13" s="9"/>
      <c r="X13" s="9"/>
      <c r="Y13" s="9"/>
      <c r="Z13" s="53"/>
      <c r="AA13" s="9"/>
      <c r="AB13" s="6" t="s">
        <v>211</v>
      </c>
      <c r="AD13" s="133">
        <v>45117</v>
      </c>
      <c r="AE13" s="129">
        <v>2184.7999999999997</v>
      </c>
      <c r="AL13" s="138" t="s">
        <v>133</v>
      </c>
      <c r="AM13" s="120">
        <v>2387.0000000000005</v>
      </c>
      <c r="AN13" s="139">
        <v>0</v>
      </c>
      <c r="AO13" s="121">
        <v>0</v>
      </c>
    </row>
    <row r="14" spans="1:41">
      <c r="A14" s="10">
        <v>13</v>
      </c>
      <c r="B14" s="9" t="s">
        <v>55</v>
      </c>
      <c r="C14" s="51" t="s">
        <v>97</v>
      </c>
      <c r="D14" s="52">
        <v>45084</v>
      </c>
      <c r="E14" s="9">
        <v>133.5</v>
      </c>
      <c r="F14" s="52">
        <v>45132</v>
      </c>
      <c r="G14" s="9">
        <v>160.44999999999999</v>
      </c>
      <c r="H14" s="9">
        <f ca="1">IFERROR(__xludf.DUMMYFUNCTION("GOOGLEFINANCE(""NSE:""&amp;B14,""price"")"),360)</f>
        <v>360</v>
      </c>
      <c r="I14" s="10">
        <v>12</v>
      </c>
      <c r="J14" s="9">
        <f t="shared" si="0"/>
        <v>1602</v>
      </c>
      <c r="K14" s="9">
        <f t="shared" si="1"/>
        <v>3527.3999999999996</v>
      </c>
      <c r="L14" s="9">
        <f t="shared" si="2"/>
        <v>0</v>
      </c>
      <c r="M14" s="53">
        <f t="shared" si="3"/>
        <v>0</v>
      </c>
      <c r="N14" s="9">
        <f ca="1">IFERROR(__xludf.DUMMYFUNCTION("IF(G14&gt;0,0,GOOGLEFINANCE(""NSE:""&amp;B14,""change""))"),0)</f>
        <v>0</v>
      </c>
      <c r="O14" s="9">
        <f t="shared" ca="1" si="4"/>
        <v>0</v>
      </c>
      <c r="P14" s="9">
        <f t="shared" si="5"/>
        <v>323.39999999999986</v>
      </c>
      <c r="Q14" s="53">
        <f t="shared" si="6"/>
        <v>0.20187265917602987</v>
      </c>
      <c r="R14" s="9"/>
      <c r="S14" s="9"/>
      <c r="T14" s="9"/>
      <c r="U14" s="9"/>
      <c r="V14" s="9"/>
      <c r="W14" s="9"/>
      <c r="X14" s="9"/>
      <c r="Y14" s="9"/>
      <c r="Z14" s="53"/>
      <c r="AA14" s="9"/>
      <c r="AB14" s="6" t="s">
        <v>212</v>
      </c>
      <c r="AC14" s="6" t="s">
        <v>128</v>
      </c>
      <c r="AD14" s="133">
        <v>45132</v>
      </c>
      <c r="AE14" s="129">
        <v>323.39999999999986</v>
      </c>
      <c r="AL14" s="138" t="s">
        <v>110</v>
      </c>
      <c r="AM14" s="120">
        <v>0</v>
      </c>
      <c r="AN14" s="139">
        <v>1359.6000000000004</v>
      </c>
      <c r="AO14" s="121">
        <v>13.2</v>
      </c>
    </row>
    <row r="15" spans="1:41">
      <c r="A15" s="10">
        <v>14</v>
      </c>
      <c r="B15" s="9" t="s">
        <v>69</v>
      </c>
      <c r="C15" s="10" t="s">
        <v>97</v>
      </c>
      <c r="D15" s="52">
        <v>45091</v>
      </c>
      <c r="E15" s="9">
        <v>113.8</v>
      </c>
      <c r="F15" s="52">
        <v>45117</v>
      </c>
      <c r="G15" s="9">
        <v>168.42</v>
      </c>
      <c r="H15" s="9">
        <f ca="1">IFERROR(__xludf.DUMMYFUNCTION("GOOGLEFINANCE(""NSE:""&amp;B15,""price"")"),170.82)</f>
        <v>170.82</v>
      </c>
      <c r="I15" s="10">
        <v>40</v>
      </c>
      <c r="J15" s="9">
        <f t="shared" si="0"/>
        <v>4552</v>
      </c>
      <c r="K15" s="9">
        <f t="shared" si="1"/>
        <v>11288.8</v>
      </c>
      <c r="L15" s="9">
        <f t="shared" si="2"/>
        <v>0</v>
      </c>
      <c r="M15" s="53">
        <f t="shared" si="3"/>
        <v>0</v>
      </c>
      <c r="N15" s="9">
        <f ca="1">IFERROR(__xludf.DUMMYFUNCTION("IF(G15&gt;0,0,GOOGLEFINANCE(""NSE:""&amp;B15,""change""))"),0)</f>
        <v>0</v>
      </c>
      <c r="O15" s="9">
        <f t="shared" ca="1" si="4"/>
        <v>0</v>
      </c>
      <c r="P15" s="9">
        <f t="shared" si="5"/>
        <v>2184.7999999999997</v>
      </c>
      <c r="Q15" s="53">
        <f t="shared" si="6"/>
        <v>0.47996485061511418</v>
      </c>
      <c r="R15" s="9"/>
      <c r="S15" s="9"/>
      <c r="T15" s="9"/>
      <c r="U15" s="9"/>
      <c r="V15" s="9"/>
      <c r="W15" s="9"/>
      <c r="X15" s="9"/>
      <c r="Y15" s="9"/>
      <c r="Z15" s="53"/>
      <c r="AA15" s="9"/>
      <c r="AB15" s="6" t="s">
        <v>213</v>
      </c>
      <c r="AC15" s="6" t="s">
        <v>128</v>
      </c>
      <c r="AD15" s="133">
        <v>45134</v>
      </c>
      <c r="AE15" s="129">
        <v>513.39999999999964</v>
      </c>
      <c r="AL15" s="138" t="s">
        <v>204</v>
      </c>
      <c r="AM15" s="120">
        <v>-150</v>
      </c>
      <c r="AN15" s="139">
        <v>0</v>
      </c>
      <c r="AO15" s="121">
        <v>0</v>
      </c>
    </row>
    <row r="16" spans="1:41">
      <c r="A16" s="10">
        <v>15</v>
      </c>
      <c r="B16" s="51" t="s">
        <v>166</v>
      </c>
      <c r="C16" s="51" t="s">
        <v>97</v>
      </c>
      <c r="D16" s="52">
        <v>45103</v>
      </c>
      <c r="E16" s="9">
        <v>1021.5</v>
      </c>
      <c r="F16" s="52">
        <v>45134</v>
      </c>
      <c r="G16" s="9">
        <v>1149.8499999999999</v>
      </c>
      <c r="H16" s="9">
        <f ca="1">IFERROR(__xludf.DUMMYFUNCTION("GOOGLEFINANCE(""NSE:""&amp;B16,""price"")"),1501.5)</f>
        <v>1501.5</v>
      </c>
      <c r="I16" s="10">
        <v>4</v>
      </c>
      <c r="J16" s="9">
        <f t="shared" si="0"/>
        <v>4086</v>
      </c>
      <c r="K16" s="9">
        <f t="shared" si="1"/>
        <v>8685.4</v>
      </c>
      <c r="L16" s="9">
        <f t="shared" si="2"/>
        <v>0</v>
      </c>
      <c r="M16" s="53">
        <f t="shared" si="3"/>
        <v>0</v>
      </c>
      <c r="N16" s="9">
        <f ca="1">IFERROR(__xludf.DUMMYFUNCTION("IF(G16&gt;0,0,GOOGLEFINANCE(""NSE:""&amp;B16,""change""))"),0)</f>
        <v>0</v>
      </c>
      <c r="O16" s="9">
        <f t="shared" ca="1" si="4"/>
        <v>0</v>
      </c>
      <c r="P16" s="9">
        <f t="shared" si="5"/>
        <v>513.39999999999964</v>
      </c>
      <c r="Q16" s="53">
        <f t="shared" si="6"/>
        <v>0.12564855604503172</v>
      </c>
      <c r="R16" s="9"/>
      <c r="S16" s="9"/>
      <c r="T16" s="9"/>
      <c r="U16" s="9"/>
      <c r="V16" s="9"/>
      <c r="W16" s="9"/>
      <c r="X16" s="9"/>
      <c r="Y16" s="9"/>
      <c r="Z16" s="53"/>
      <c r="AA16" s="9"/>
      <c r="AB16" s="6" t="s">
        <v>214</v>
      </c>
      <c r="AC16" s="6" t="s">
        <v>215</v>
      </c>
      <c r="AD16" s="133">
        <v>45139</v>
      </c>
      <c r="AE16" s="129">
        <v>518.64999999999986</v>
      </c>
      <c r="AL16" s="138" t="s">
        <v>35</v>
      </c>
      <c r="AM16" s="120">
        <v>-1700.4400000000005</v>
      </c>
      <c r="AN16" s="139">
        <v>0</v>
      </c>
      <c r="AO16" s="121">
        <v>0</v>
      </c>
    </row>
    <row r="17" spans="1:41">
      <c r="A17" s="10">
        <v>16</v>
      </c>
      <c r="B17" s="51" t="s">
        <v>68</v>
      </c>
      <c r="C17" s="51" t="s">
        <v>97</v>
      </c>
      <c r="D17" s="52">
        <v>45130</v>
      </c>
      <c r="E17" s="9">
        <v>221.8</v>
      </c>
      <c r="F17" s="52">
        <v>45139</v>
      </c>
      <c r="G17" s="9">
        <v>242</v>
      </c>
      <c r="H17" s="9">
        <f ca="1">IFERROR(__xludf.DUMMYFUNCTION("GOOGLEFINANCE(""NSE:""&amp;B17,""price"")"),382.4)</f>
        <v>382.4</v>
      </c>
      <c r="I17" s="10">
        <v>20</v>
      </c>
      <c r="J17" s="9">
        <f t="shared" si="0"/>
        <v>4436</v>
      </c>
      <c r="K17" s="9">
        <f t="shared" si="1"/>
        <v>9276</v>
      </c>
      <c r="L17" s="9">
        <f t="shared" si="2"/>
        <v>0</v>
      </c>
      <c r="M17" s="53">
        <f t="shared" si="3"/>
        <v>0</v>
      </c>
      <c r="N17" s="9">
        <f ca="1">IFERROR(__xludf.DUMMYFUNCTION("IF(G17&gt;0,0,GOOGLEFINANCE(""NSE:""&amp;B17,""change""))"),0)</f>
        <v>0</v>
      </c>
      <c r="O17" s="9">
        <f t="shared" ca="1" si="4"/>
        <v>0</v>
      </c>
      <c r="P17" s="9">
        <f t="shared" si="5"/>
        <v>403.99999999999977</v>
      </c>
      <c r="Q17" s="53">
        <f t="shared" si="6"/>
        <v>9.1073038773669915E-2</v>
      </c>
      <c r="R17" s="9"/>
      <c r="S17" s="9"/>
      <c r="T17" s="9"/>
      <c r="U17" s="9"/>
      <c r="V17" s="9"/>
      <c r="W17" s="9"/>
      <c r="X17" s="9"/>
      <c r="Y17" s="9"/>
      <c r="Z17" s="53"/>
      <c r="AA17" s="9"/>
      <c r="AB17" s="6" t="s">
        <v>216</v>
      </c>
      <c r="AC17" s="6" t="s">
        <v>128</v>
      </c>
      <c r="AD17" s="133">
        <v>45152</v>
      </c>
      <c r="AE17" s="129">
        <v>-1012.1999999999998</v>
      </c>
      <c r="AL17" s="138" t="s">
        <v>202</v>
      </c>
      <c r="AM17" s="120">
        <v>-110</v>
      </c>
      <c r="AN17" s="139">
        <v>0</v>
      </c>
      <c r="AO17" s="121">
        <v>0</v>
      </c>
    </row>
    <row r="18" spans="1:41">
      <c r="A18" s="10">
        <v>17</v>
      </c>
      <c r="B18" s="51" t="s">
        <v>51</v>
      </c>
      <c r="C18" s="51" t="s">
        <v>131</v>
      </c>
      <c r="D18" s="52">
        <v>45145</v>
      </c>
      <c r="E18" s="9">
        <v>411</v>
      </c>
      <c r="F18" s="52">
        <v>45225</v>
      </c>
      <c r="G18" s="9">
        <v>377.05</v>
      </c>
      <c r="H18" s="9">
        <f ca="1">IFERROR(__xludf.DUMMYFUNCTION("GOOGLEFINANCE(""NSE:""&amp;B18,""price"")"),271.3)</f>
        <v>271.3</v>
      </c>
      <c r="I18" s="10">
        <v>50</v>
      </c>
      <c r="J18" s="9">
        <f t="shared" si="0"/>
        <v>20550</v>
      </c>
      <c r="K18" s="9">
        <f t="shared" si="1"/>
        <v>39402.5</v>
      </c>
      <c r="L18" s="9">
        <f t="shared" si="2"/>
        <v>0</v>
      </c>
      <c r="M18" s="53">
        <f t="shared" si="3"/>
        <v>0</v>
      </c>
      <c r="N18" s="9">
        <f ca="1">IFERROR(__xludf.DUMMYFUNCTION("IF(G18&gt;0,0,GOOGLEFINANCE(""NSE:""&amp;B18,""change""))"),0)</f>
        <v>0</v>
      </c>
      <c r="O18" s="9">
        <f t="shared" ca="1" si="4"/>
        <v>0</v>
      </c>
      <c r="P18" s="9">
        <f t="shared" si="5"/>
        <v>-1697.4999999999995</v>
      </c>
      <c r="Q18" s="53">
        <f t="shared" si="6"/>
        <v>-8.2603406326034037E-2</v>
      </c>
      <c r="R18" s="9"/>
      <c r="S18" s="9"/>
      <c r="T18" s="9"/>
      <c r="U18" s="9"/>
      <c r="V18" s="9"/>
      <c r="W18" s="9"/>
      <c r="X18" s="9"/>
      <c r="Y18" s="9"/>
      <c r="Z18" s="53"/>
      <c r="AA18" s="9"/>
      <c r="AB18" s="6" t="s">
        <v>217</v>
      </c>
      <c r="AD18" s="133">
        <v>45173</v>
      </c>
      <c r="AE18" s="129">
        <v>44.250000000001819</v>
      </c>
      <c r="AL18" s="138" t="s">
        <v>36</v>
      </c>
      <c r="AM18" s="120">
        <v>0</v>
      </c>
      <c r="AN18" s="139">
        <v>2082.5</v>
      </c>
      <c r="AO18" s="121">
        <v>-1.75</v>
      </c>
    </row>
    <row r="19" spans="1:41">
      <c r="A19" s="10">
        <v>18</v>
      </c>
      <c r="B19" s="51" t="s">
        <v>199</v>
      </c>
      <c r="C19" s="51" t="s">
        <v>131</v>
      </c>
      <c r="D19" s="52">
        <v>45145</v>
      </c>
      <c r="E19" s="9">
        <v>697.7</v>
      </c>
      <c r="F19" s="52">
        <v>45152</v>
      </c>
      <c r="G19" s="9">
        <v>647.70000000000005</v>
      </c>
      <c r="H19" s="9">
        <f ca="1">IFERROR(__xludf.DUMMYFUNCTION("GOOGLEFINANCE(""NSE:""&amp;B19,""price"")"),512.3)</f>
        <v>512.29999999999995</v>
      </c>
      <c r="I19" s="10">
        <v>21</v>
      </c>
      <c r="J19" s="9">
        <f t="shared" si="0"/>
        <v>14651.7</v>
      </c>
      <c r="K19" s="9">
        <f t="shared" si="1"/>
        <v>28253.4</v>
      </c>
      <c r="L19" s="9">
        <f t="shared" si="2"/>
        <v>0</v>
      </c>
      <c r="M19" s="53">
        <f t="shared" si="3"/>
        <v>0</v>
      </c>
      <c r="N19" s="9">
        <f ca="1">IFERROR(__xludf.DUMMYFUNCTION("IF(G19&gt;0,0,GOOGLEFINANCE(""NSE:""&amp;B19,""change""))"),0)</f>
        <v>0</v>
      </c>
      <c r="O19" s="9">
        <f t="shared" ca="1" si="4"/>
        <v>0</v>
      </c>
      <c r="P19" s="9">
        <f t="shared" si="5"/>
        <v>-1050</v>
      </c>
      <c r="Q19" s="53">
        <f t="shared" si="6"/>
        <v>-7.1664038985237197E-2</v>
      </c>
      <c r="R19" s="9"/>
      <c r="S19" s="9"/>
      <c r="T19" s="9"/>
      <c r="U19" s="9"/>
      <c r="V19" s="9"/>
      <c r="W19" s="9"/>
      <c r="X19" s="9"/>
      <c r="Y19" s="9"/>
      <c r="Z19" s="53"/>
      <c r="AA19" s="9"/>
      <c r="AB19" s="6" t="s">
        <v>218</v>
      </c>
      <c r="AC19" s="6" t="s">
        <v>128</v>
      </c>
      <c r="AD19" s="133">
        <v>45183</v>
      </c>
      <c r="AE19" s="129">
        <v>2387.0000000000005</v>
      </c>
      <c r="AL19" s="138" t="s">
        <v>59</v>
      </c>
      <c r="AM19" s="120">
        <v>3004.7499999999991</v>
      </c>
      <c r="AN19" s="139">
        <v>0</v>
      </c>
      <c r="AO19" s="121">
        <v>0</v>
      </c>
    </row>
    <row r="20" spans="1:41">
      <c r="A20" s="10">
        <v>19</v>
      </c>
      <c r="B20" s="9" t="s">
        <v>219</v>
      </c>
      <c r="C20" s="51" t="s">
        <v>131</v>
      </c>
      <c r="D20" s="52">
        <v>45159</v>
      </c>
      <c r="E20" s="9">
        <v>3079.2</v>
      </c>
      <c r="F20" s="52">
        <v>45173</v>
      </c>
      <c r="G20" s="9">
        <v>3088.05</v>
      </c>
      <c r="H20" s="9">
        <f ca="1">IFERROR(__xludf.DUMMYFUNCTION("GOOGLEFINANCE(""NSE:""&amp;B20,""price"")"),3916.6)</f>
        <v>3916.6</v>
      </c>
      <c r="I20" s="10">
        <v>5</v>
      </c>
      <c r="J20" s="9">
        <f t="shared" si="0"/>
        <v>15396</v>
      </c>
      <c r="K20" s="9">
        <f t="shared" si="1"/>
        <v>30836.25</v>
      </c>
      <c r="L20" s="9">
        <f t="shared" si="2"/>
        <v>0</v>
      </c>
      <c r="M20" s="53">
        <f t="shared" si="3"/>
        <v>0</v>
      </c>
      <c r="N20" s="9">
        <f ca="1">IFERROR(__xludf.DUMMYFUNCTION("IF(G20&gt;0,0,GOOGLEFINANCE(""NSE:""&amp;B20,""change""))"),0)</f>
        <v>0</v>
      </c>
      <c r="O20" s="9">
        <f t="shared" ca="1" si="4"/>
        <v>0</v>
      </c>
      <c r="P20" s="9">
        <f t="shared" si="5"/>
        <v>44.250000000001819</v>
      </c>
      <c r="Q20" s="53">
        <f t="shared" si="6"/>
        <v>2.8741231488699547E-3</v>
      </c>
      <c r="R20" s="9"/>
      <c r="S20" s="9"/>
      <c r="T20" s="9"/>
      <c r="U20" s="9"/>
      <c r="V20" s="9"/>
      <c r="W20" s="9"/>
      <c r="X20" s="9"/>
      <c r="Y20" s="9"/>
      <c r="Z20" s="53"/>
      <c r="AA20" s="9"/>
      <c r="AB20" s="6" t="s">
        <v>184</v>
      </c>
      <c r="AC20" s="6" t="s">
        <v>128</v>
      </c>
      <c r="AD20" s="133">
        <v>45218</v>
      </c>
      <c r="AE20" s="129">
        <v>-1516.900000000001</v>
      </c>
      <c r="AL20" s="138" t="s">
        <v>55</v>
      </c>
      <c r="AM20" s="120">
        <v>323.39999999999986</v>
      </c>
      <c r="AN20" s="139">
        <v>0</v>
      </c>
      <c r="AO20" s="121">
        <v>0</v>
      </c>
    </row>
    <row r="21" spans="1:41">
      <c r="A21" s="10">
        <v>20</v>
      </c>
      <c r="B21" s="9" t="s">
        <v>110</v>
      </c>
      <c r="C21" s="10" t="s">
        <v>139</v>
      </c>
      <c r="D21" s="52">
        <v>45168</v>
      </c>
      <c r="E21" s="9">
        <v>639.4</v>
      </c>
      <c r="F21" s="52"/>
      <c r="G21" s="9">
        <v>0</v>
      </c>
      <c r="H21" s="9">
        <f ca="1">IFERROR(__xludf.DUMMYFUNCTION("GOOGLEFINANCE(""NSE:""&amp;B21,""price"")"),763)</f>
        <v>763</v>
      </c>
      <c r="I21" s="10">
        <v>11</v>
      </c>
      <c r="J21" s="9">
        <f t="shared" si="0"/>
        <v>7033.4</v>
      </c>
      <c r="K21" s="9">
        <f t="shared" si="1"/>
        <v>7033.4</v>
      </c>
      <c r="L21" s="9">
        <f t="shared" ca="1" si="2"/>
        <v>1359.6000000000004</v>
      </c>
      <c r="M21" s="53">
        <f t="shared" ca="1" si="3"/>
        <v>0.193306224585549</v>
      </c>
      <c r="N21" s="9">
        <f ca="1">IFERROR(__xludf.DUMMYFUNCTION("IF(G21&gt;0,0,GOOGLEFINANCE(""NSE:""&amp;B21,""change""))"),1.2)</f>
        <v>1.2</v>
      </c>
      <c r="O21" s="9">
        <f t="shared" ca="1" si="4"/>
        <v>13.2</v>
      </c>
      <c r="P21" s="9">
        <f t="shared" si="5"/>
        <v>0</v>
      </c>
      <c r="Q21" s="53">
        <f t="shared" si="6"/>
        <v>0</v>
      </c>
      <c r="R21" s="9"/>
      <c r="S21" s="9"/>
      <c r="T21" s="9"/>
      <c r="U21" s="9"/>
      <c r="V21" s="9"/>
      <c r="W21" s="9"/>
      <c r="X21" s="9"/>
      <c r="Y21" s="9"/>
      <c r="Z21" s="53"/>
      <c r="AA21" s="9"/>
      <c r="AB21" s="6" t="s">
        <v>220</v>
      </c>
      <c r="AC21" s="6" t="s">
        <v>102</v>
      </c>
      <c r="AD21" s="133">
        <v>45225</v>
      </c>
      <c r="AE21" s="129">
        <v>-4911.5399999999991</v>
      </c>
      <c r="AL21" s="138" t="s">
        <v>221</v>
      </c>
      <c r="AM21" s="120">
        <v>-1513.5999999999995</v>
      </c>
      <c r="AN21" s="139">
        <v>0</v>
      </c>
      <c r="AO21" s="121">
        <v>0</v>
      </c>
    </row>
    <row r="22" spans="1:41">
      <c r="A22" s="10">
        <v>21</v>
      </c>
      <c r="B22" s="9" t="s">
        <v>36</v>
      </c>
      <c r="C22" s="51" t="s">
        <v>131</v>
      </c>
      <c r="D22" s="52"/>
      <c r="E22" s="9">
        <v>1</v>
      </c>
      <c r="F22" s="52"/>
      <c r="G22" s="9">
        <v>0</v>
      </c>
      <c r="H22" s="9">
        <f ca="1">IFERROR(__xludf.DUMMYFUNCTION("GOOGLEFINANCE(""NSE:""&amp;B22,""price"")"),298.5)</f>
        <v>298.5</v>
      </c>
      <c r="I22" s="10">
        <v>7</v>
      </c>
      <c r="J22" s="9">
        <f t="shared" si="0"/>
        <v>7</v>
      </c>
      <c r="K22" s="9">
        <f t="shared" si="1"/>
        <v>7</v>
      </c>
      <c r="L22" s="9">
        <f t="shared" ca="1" si="2"/>
        <v>2082.5</v>
      </c>
      <c r="M22" s="53">
        <f t="shared" ca="1" si="3"/>
        <v>297.5</v>
      </c>
      <c r="N22" s="9">
        <f ca="1">IFERROR(__xludf.DUMMYFUNCTION("IF(G22&gt;0,0,GOOGLEFINANCE(""NSE:""&amp;B22,""change""))"),-0.25)</f>
        <v>-0.25</v>
      </c>
      <c r="O22" s="9">
        <f t="shared" ca="1" si="4"/>
        <v>-1.75</v>
      </c>
      <c r="P22" s="9">
        <f t="shared" si="5"/>
        <v>0</v>
      </c>
      <c r="Q22" s="53">
        <f t="shared" si="6"/>
        <v>0</v>
      </c>
      <c r="R22" s="9"/>
      <c r="S22" s="9"/>
      <c r="T22" s="9"/>
      <c r="U22" s="9"/>
      <c r="V22" s="9"/>
      <c r="W22" s="9"/>
      <c r="X22" s="9"/>
      <c r="Y22" s="9"/>
      <c r="Z22" s="53"/>
      <c r="AA22" s="9"/>
      <c r="AB22" s="6" t="s">
        <v>222</v>
      </c>
      <c r="AC22" s="6" t="s">
        <v>102</v>
      </c>
      <c r="AD22" s="133">
        <v>45261</v>
      </c>
      <c r="AE22" s="129">
        <v>2725.16</v>
      </c>
      <c r="AL22" s="138" t="s">
        <v>39</v>
      </c>
      <c r="AM22" s="120">
        <v>0</v>
      </c>
      <c r="AN22" s="139">
        <v>-6113.25</v>
      </c>
      <c r="AO22" s="121">
        <v>-44.8</v>
      </c>
    </row>
    <row r="23" spans="1:41">
      <c r="A23" s="10">
        <v>22</v>
      </c>
      <c r="B23" s="9" t="s">
        <v>221</v>
      </c>
      <c r="C23" s="51" t="s">
        <v>97</v>
      </c>
      <c r="D23" s="52">
        <v>45202</v>
      </c>
      <c r="E23" s="9">
        <v>252.7</v>
      </c>
      <c r="F23" s="52">
        <v>45225</v>
      </c>
      <c r="G23" s="9">
        <v>217.5</v>
      </c>
      <c r="H23" s="9">
        <f ca="1">IFERROR(__xludf.DUMMYFUNCTION("GOOGLEFINANCE(""NSE:""&amp;B23,""price"")"),302.9)</f>
        <v>302.89999999999998</v>
      </c>
      <c r="I23" s="10">
        <v>43</v>
      </c>
      <c r="J23" s="9">
        <f t="shared" si="0"/>
        <v>10866.1</v>
      </c>
      <c r="K23" s="9">
        <f t="shared" si="1"/>
        <v>20218.599999999999</v>
      </c>
      <c r="L23" s="9">
        <f t="shared" si="2"/>
        <v>0</v>
      </c>
      <c r="M23" s="53">
        <f t="shared" si="3"/>
        <v>0</v>
      </c>
      <c r="N23" s="9">
        <f ca="1">IFERROR(__xludf.DUMMYFUNCTION("IF(G23&gt;0,0,GOOGLEFINANCE(""NSE:""&amp;B23,""change""))"),0)</f>
        <v>0</v>
      </c>
      <c r="O23" s="9">
        <f t="shared" ca="1" si="4"/>
        <v>0</v>
      </c>
      <c r="P23" s="9">
        <f t="shared" si="5"/>
        <v>-1513.5999999999995</v>
      </c>
      <c r="Q23" s="53">
        <f t="shared" si="6"/>
        <v>-0.13929560743965172</v>
      </c>
      <c r="R23" s="9"/>
      <c r="S23" s="9"/>
      <c r="T23" s="9"/>
      <c r="U23" s="9"/>
      <c r="V23" s="9"/>
      <c r="W23" s="9"/>
      <c r="X23" s="9"/>
      <c r="Y23" s="9"/>
      <c r="Z23" s="53"/>
      <c r="AA23" s="9"/>
      <c r="AB23" s="6" t="s">
        <v>223</v>
      </c>
      <c r="AC23" s="6" t="s">
        <v>224</v>
      </c>
      <c r="AD23" s="133">
        <v>45288</v>
      </c>
      <c r="AE23" s="129">
        <v>3004.7499999999991</v>
      </c>
      <c r="AL23" s="138" t="s">
        <v>116</v>
      </c>
      <c r="AM23" s="120">
        <v>3608.7000000000021</v>
      </c>
      <c r="AN23" s="139">
        <v>0</v>
      </c>
      <c r="AO23" s="121">
        <v>0</v>
      </c>
    </row>
    <row r="24" spans="1:41">
      <c r="A24" s="10">
        <v>24</v>
      </c>
      <c r="B24" s="9" t="s">
        <v>35</v>
      </c>
      <c r="C24" s="10" t="s">
        <v>97</v>
      </c>
      <c r="D24" s="52">
        <v>45202</v>
      </c>
      <c r="E24" s="9">
        <v>704.4</v>
      </c>
      <c r="F24" s="52">
        <v>45225</v>
      </c>
      <c r="G24" s="9">
        <v>643.66999999999996</v>
      </c>
      <c r="H24" s="9">
        <f ca="1">IFERROR(__xludf.DUMMYFUNCTION("GOOGLEFINANCE(""NSE:""&amp;B24,""price"")"),680.5)</f>
        <v>680.5</v>
      </c>
      <c r="I24" s="10">
        <v>28</v>
      </c>
      <c r="J24" s="9">
        <f t="shared" si="0"/>
        <v>19723.2</v>
      </c>
      <c r="K24" s="9">
        <f t="shared" si="1"/>
        <v>37745.96</v>
      </c>
      <c r="L24" s="9">
        <f t="shared" si="2"/>
        <v>0</v>
      </c>
      <c r="M24" s="53">
        <f t="shared" si="3"/>
        <v>0</v>
      </c>
      <c r="N24" s="9">
        <f ca="1">IFERROR(__xludf.DUMMYFUNCTION("IF(G24&gt;0,0,GOOGLEFINANCE(""NSE:""&amp;B24,""change""))"),0)</f>
        <v>0</v>
      </c>
      <c r="O24" s="9">
        <f t="shared" ca="1" si="4"/>
        <v>0</v>
      </c>
      <c r="P24" s="9">
        <f t="shared" si="5"/>
        <v>-1700.4400000000005</v>
      </c>
      <c r="Q24" s="53">
        <f t="shared" si="6"/>
        <v>-8.621521862578084E-2</v>
      </c>
      <c r="R24" s="9"/>
      <c r="S24" s="9"/>
      <c r="T24" s="9"/>
      <c r="U24" s="9"/>
      <c r="V24" s="9"/>
      <c r="W24" s="9"/>
      <c r="X24" s="9"/>
      <c r="Y24" s="9"/>
      <c r="Z24" s="53"/>
      <c r="AA24" s="9"/>
      <c r="AB24" s="6" t="s">
        <v>223</v>
      </c>
      <c r="AD24" s="133">
        <v>45289</v>
      </c>
      <c r="AE24" s="129">
        <v>3608.7000000000021</v>
      </c>
      <c r="AL24" s="138" t="s">
        <v>68</v>
      </c>
      <c r="AM24" s="120">
        <v>403.99999999999977</v>
      </c>
      <c r="AN24" s="139">
        <v>0</v>
      </c>
      <c r="AO24" s="121">
        <v>0</v>
      </c>
    </row>
    <row r="25" spans="1:41">
      <c r="A25" s="10">
        <v>25</v>
      </c>
      <c r="B25" s="9" t="s">
        <v>173</v>
      </c>
      <c r="C25" s="51" t="s">
        <v>97</v>
      </c>
      <c r="D25" s="52">
        <v>45205</v>
      </c>
      <c r="E25" s="9">
        <v>3602.4</v>
      </c>
      <c r="F25" s="52">
        <v>45218</v>
      </c>
      <c r="G25" s="9">
        <v>3464.5</v>
      </c>
      <c r="H25" s="9">
        <f ca="1">IFERROR(__xludf.DUMMYFUNCTION("GOOGLEFINANCE(""NSE:""&amp;B25,""price"")"),3305.1)</f>
        <v>3305.1</v>
      </c>
      <c r="I25" s="10">
        <v>11</v>
      </c>
      <c r="J25" s="9">
        <f t="shared" si="0"/>
        <v>39626.400000000001</v>
      </c>
      <c r="K25" s="9">
        <f t="shared" si="1"/>
        <v>77735.899999999994</v>
      </c>
      <c r="L25" s="9">
        <f t="shared" si="2"/>
        <v>0</v>
      </c>
      <c r="M25" s="53">
        <f t="shared" si="3"/>
        <v>0</v>
      </c>
      <c r="N25" s="9">
        <f ca="1">IFERROR(__xludf.DUMMYFUNCTION("IF(G25&gt;0,0,GOOGLEFINANCE(""NSE:""&amp;B25,""change""))"),0)</f>
        <v>0</v>
      </c>
      <c r="O25" s="9">
        <f t="shared" ca="1" si="4"/>
        <v>0</v>
      </c>
      <c r="P25" s="9">
        <f t="shared" si="5"/>
        <v>-1516.900000000001</v>
      </c>
      <c r="Q25" s="53">
        <f t="shared" si="6"/>
        <v>-3.8280035531867665E-2</v>
      </c>
      <c r="R25" s="9"/>
      <c r="S25" s="9"/>
      <c r="T25" s="9"/>
      <c r="U25" s="9"/>
      <c r="V25" s="9"/>
      <c r="W25" s="9"/>
      <c r="X25" s="9"/>
      <c r="Y25" s="9"/>
      <c r="Z25" s="53"/>
      <c r="AA25" s="9"/>
      <c r="AB25" s="6" t="s">
        <v>184</v>
      </c>
      <c r="AD25" s="119" t="s">
        <v>276</v>
      </c>
      <c r="AE25" s="129">
        <v>0</v>
      </c>
      <c r="AL25" s="138" t="s">
        <v>69</v>
      </c>
      <c r="AM25" s="120">
        <v>2184.7999999999997</v>
      </c>
      <c r="AN25" s="139">
        <v>0</v>
      </c>
      <c r="AO25" s="121">
        <v>0</v>
      </c>
    </row>
    <row r="26" spans="1:41">
      <c r="A26" s="10">
        <v>26</v>
      </c>
      <c r="B26" s="9" t="s">
        <v>116</v>
      </c>
      <c r="C26" s="51" t="s">
        <v>97</v>
      </c>
      <c r="D26" s="52">
        <v>45212</v>
      </c>
      <c r="E26" s="9">
        <v>915.55</v>
      </c>
      <c r="F26" s="52">
        <v>45289</v>
      </c>
      <c r="G26" s="9">
        <v>1072.45</v>
      </c>
      <c r="H26" s="9">
        <f ca="1">IFERROR(__xludf.DUMMYFUNCTION("GOOGLEFINANCE(""NSE:""&amp;B26,""price"")"),1185.2)</f>
        <v>1185.2</v>
      </c>
      <c r="I26" s="10">
        <v>23</v>
      </c>
      <c r="J26" s="9">
        <f t="shared" si="0"/>
        <v>21057.649999999998</v>
      </c>
      <c r="K26" s="9">
        <f t="shared" si="1"/>
        <v>45724</v>
      </c>
      <c r="L26" s="9">
        <f t="shared" si="2"/>
        <v>0</v>
      </c>
      <c r="M26" s="53">
        <f t="shared" si="3"/>
        <v>0</v>
      </c>
      <c r="N26" s="9">
        <f ca="1">IFERROR(__xludf.DUMMYFUNCTION("IF(G26&gt;0,0,GOOGLEFINANCE(""NSE:""&amp;B26,""change""))"),0)</f>
        <v>0</v>
      </c>
      <c r="O26" s="9">
        <f t="shared" ca="1" si="4"/>
        <v>0</v>
      </c>
      <c r="P26" s="9">
        <f t="shared" si="5"/>
        <v>3608.7000000000021</v>
      </c>
      <c r="Q26" s="53">
        <f t="shared" si="6"/>
        <v>0.17137239910436361</v>
      </c>
      <c r="R26" s="9"/>
      <c r="S26" s="9"/>
      <c r="T26" s="9"/>
      <c r="U26" s="9"/>
      <c r="V26" s="9"/>
      <c r="W26" s="9"/>
      <c r="X26" s="9"/>
      <c r="Y26" s="9"/>
      <c r="Z26" s="53"/>
      <c r="AA26" s="9"/>
      <c r="AB26" s="6" t="s">
        <v>225</v>
      </c>
      <c r="AC26" s="6" t="s">
        <v>128</v>
      </c>
      <c r="AD26" s="122" t="s">
        <v>48</v>
      </c>
      <c r="AE26" s="131">
        <v>8782.02</v>
      </c>
      <c r="AL26" s="138" t="s">
        <v>173</v>
      </c>
      <c r="AM26" s="120">
        <v>-1516.900000000001</v>
      </c>
      <c r="AN26" s="139">
        <v>0</v>
      </c>
      <c r="AO26" s="121">
        <v>0</v>
      </c>
    </row>
    <row r="27" spans="1:41">
      <c r="A27" s="10">
        <v>27</v>
      </c>
      <c r="B27" s="9" t="s">
        <v>210</v>
      </c>
      <c r="C27" s="51" t="s">
        <v>97</v>
      </c>
      <c r="D27" s="52">
        <v>45236</v>
      </c>
      <c r="E27" s="9">
        <v>5325.9</v>
      </c>
      <c r="F27" s="52">
        <v>45261</v>
      </c>
      <c r="G27" s="9">
        <v>6007.19</v>
      </c>
      <c r="H27" s="9">
        <f ca="1">IFERROR(__xludf.DUMMYFUNCTION("GOOGLEFINANCE(""NSE:""&amp;B27,""price"")"),12855)</f>
        <v>12855</v>
      </c>
      <c r="I27" s="10">
        <v>4</v>
      </c>
      <c r="J27" s="9">
        <f t="shared" si="0"/>
        <v>21303.599999999999</v>
      </c>
      <c r="K27" s="9">
        <f t="shared" si="1"/>
        <v>45332.36</v>
      </c>
      <c r="L27" s="9">
        <f t="shared" si="2"/>
        <v>0</v>
      </c>
      <c r="M27" s="53">
        <f t="shared" si="3"/>
        <v>0</v>
      </c>
      <c r="N27" s="9">
        <f ca="1">IFERROR(__xludf.DUMMYFUNCTION("IF(G27&gt;0,0,GOOGLEFINANCE(""NSE:""&amp;B27,""change""))"),0)</f>
        <v>0</v>
      </c>
      <c r="O27" s="9">
        <f t="shared" ca="1" si="4"/>
        <v>0</v>
      </c>
      <c r="P27" s="9">
        <f t="shared" si="5"/>
        <v>2725.16</v>
      </c>
      <c r="Q27" s="53">
        <f t="shared" si="6"/>
        <v>0.12792016372819617</v>
      </c>
      <c r="R27" s="9"/>
      <c r="S27" s="9"/>
      <c r="T27" s="9"/>
      <c r="U27" s="9"/>
      <c r="V27" s="9"/>
      <c r="W27" s="9"/>
      <c r="X27" s="9"/>
      <c r="Y27" s="9"/>
      <c r="Z27" s="53"/>
      <c r="AA27" s="9"/>
      <c r="AC27" s="6" t="s">
        <v>128</v>
      </c>
      <c r="AL27" s="138" t="s">
        <v>219</v>
      </c>
      <c r="AM27" s="120">
        <v>44.250000000001819</v>
      </c>
      <c r="AN27" s="139">
        <v>0</v>
      </c>
      <c r="AO27" s="121">
        <v>0</v>
      </c>
    </row>
    <row r="28" spans="1:41">
      <c r="A28" s="10">
        <v>28</v>
      </c>
      <c r="B28" s="9" t="s">
        <v>59</v>
      </c>
      <c r="C28" s="51" t="s">
        <v>97</v>
      </c>
      <c r="D28" s="52">
        <v>45236</v>
      </c>
      <c r="E28" s="9">
        <v>2955</v>
      </c>
      <c r="F28" s="52">
        <v>45288</v>
      </c>
      <c r="G28" s="9">
        <v>3555.95</v>
      </c>
      <c r="H28" s="9">
        <f ca="1">IFERROR(__xludf.DUMMYFUNCTION("GOOGLEFINANCE(""NSE:""&amp;B28,""price"")"),4070)</f>
        <v>4070</v>
      </c>
      <c r="I28" s="10">
        <v>5</v>
      </c>
      <c r="J28" s="9">
        <f t="shared" si="0"/>
        <v>14775</v>
      </c>
      <c r="K28" s="9">
        <f t="shared" si="1"/>
        <v>32554.75</v>
      </c>
      <c r="L28" s="9">
        <f t="shared" si="2"/>
        <v>0</v>
      </c>
      <c r="M28" s="53">
        <f t="shared" si="3"/>
        <v>0</v>
      </c>
      <c r="N28" s="9">
        <f ca="1">IFERROR(__xludf.DUMMYFUNCTION("IF(G28&gt;0,0,GOOGLEFINANCE(""NSE:""&amp;B28,""change""))"),0)</f>
        <v>0</v>
      </c>
      <c r="O28" s="9">
        <f t="shared" ca="1" si="4"/>
        <v>0</v>
      </c>
      <c r="P28" s="9">
        <f t="shared" si="5"/>
        <v>3004.7499999999991</v>
      </c>
      <c r="Q28" s="53">
        <f t="shared" si="6"/>
        <v>0.2033671742808798</v>
      </c>
      <c r="R28" s="9"/>
      <c r="S28" s="9"/>
      <c r="T28" s="9"/>
      <c r="U28" s="9"/>
      <c r="V28" s="9"/>
      <c r="W28" s="9"/>
      <c r="X28" s="9"/>
      <c r="Y28" s="9"/>
      <c r="Z28" s="53"/>
      <c r="AA28" s="9"/>
      <c r="AC28" s="6" t="s">
        <v>128</v>
      </c>
      <c r="AL28" s="138" t="s">
        <v>51</v>
      </c>
      <c r="AM28" s="120">
        <v>-1697.4999999999995</v>
      </c>
      <c r="AN28" s="139">
        <v>0</v>
      </c>
      <c r="AO28" s="121">
        <v>0</v>
      </c>
    </row>
    <row r="29" spans="1:41">
      <c r="A29" s="10">
        <v>29</v>
      </c>
      <c r="B29" s="9"/>
      <c r="C29" s="51"/>
      <c r="D29" s="52"/>
      <c r="E29" s="9"/>
      <c r="F29" s="52"/>
      <c r="G29" s="9"/>
      <c r="H29" s="9"/>
      <c r="I29" s="10"/>
      <c r="J29" s="9"/>
      <c r="K29" s="9"/>
      <c r="L29" s="9"/>
      <c r="M29" s="53"/>
      <c r="N29" s="9"/>
      <c r="O29" s="9"/>
      <c r="P29" s="9"/>
      <c r="Q29" s="53"/>
      <c r="R29" s="9"/>
      <c r="S29" s="9"/>
      <c r="T29" s="9"/>
      <c r="U29" s="9"/>
      <c r="V29" s="9"/>
      <c r="W29" s="9"/>
      <c r="X29" s="9"/>
      <c r="Y29" s="9"/>
      <c r="Z29" s="53"/>
      <c r="AA29" s="9"/>
      <c r="AL29" s="138" t="s">
        <v>276</v>
      </c>
      <c r="AM29" s="120"/>
      <c r="AN29" s="139"/>
      <c r="AO29" s="121"/>
    </row>
    <row r="30" spans="1:41" ht="13.2">
      <c r="A30" s="10">
        <v>30</v>
      </c>
      <c r="B30" s="9"/>
      <c r="C30" s="51"/>
      <c r="D30" s="52"/>
      <c r="E30" s="9"/>
      <c r="F30" s="52"/>
      <c r="G30" s="9"/>
      <c r="H30" s="9"/>
      <c r="I30" s="10"/>
      <c r="J30" s="9"/>
      <c r="K30" s="9"/>
      <c r="L30" s="9"/>
      <c r="M30" s="53"/>
      <c r="N30" s="9"/>
      <c r="O30" s="9"/>
      <c r="P30" s="9"/>
      <c r="Q30" s="53"/>
      <c r="R30" s="9"/>
      <c r="S30" s="9"/>
      <c r="T30" s="9"/>
      <c r="U30" s="9"/>
      <c r="V30" s="9"/>
      <c r="W30" s="9"/>
      <c r="X30" s="9"/>
      <c r="Y30" s="9"/>
      <c r="Z30" s="53"/>
      <c r="AA30" s="9"/>
      <c r="AL30" s="140" t="s">
        <v>48</v>
      </c>
      <c r="AM30" s="123">
        <v>8782.02</v>
      </c>
      <c r="AN30" s="141">
        <v>-2251.35</v>
      </c>
      <c r="AO30" s="124">
        <v>-35.349999999999994</v>
      </c>
    </row>
    <row r="31" spans="1:41">
      <c r="A31" s="10">
        <v>31</v>
      </c>
      <c r="B31" s="9"/>
      <c r="C31" s="51"/>
      <c r="D31" s="52"/>
      <c r="E31" s="9"/>
      <c r="F31" s="52"/>
      <c r="G31" s="9"/>
      <c r="H31" s="9"/>
      <c r="I31" s="10"/>
      <c r="J31" s="9"/>
      <c r="K31" s="9"/>
      <c r="L31" s="9"/>
      <c r="M31" s="53"/>
      <c r="N31" s="9"/>
      <c r="O31" s="9"/>
      <c r="P31" s="9"/>
      <c r="Q31" s="53"/>
      <c r="R31" s="9"/>
      <c r="S31" s="9"/>
      <c r="T31" s="9"/>
      <c r="U31" s="9"/>
      <c r="V31" s="9"/>
      <c r="W31" s="9"/>
      <c r="X31" s="9"/>
      <c r="Y31" s="9"/>
      <c r="Z31" s="53"/>
      <c r="AA31" s="9"/>
      <c r="AM31" s="8"/>
      <c r="AN31" s="8"/>
      <c r="AO31" s="8"/>
    </row>
    <row r="32" spans="1:41">
      <c r="A32" s="10">
        <v>32</v>
      </c>
      <c r="B32" s="9"/>
      <c r="C32" s="51"/>
      <c r="D32" s="52"/>
      <c r="E32" s="9"/>
      <c r="F32" s="52"/>
      <c r="G32" s="9"/>
      <c r="H32" s="9"/>
      <c r="I32" s="10"/>
      <c r="J32" s="9"/>
      <c r="K32" s="9"/>
      <c r="L32" s="9"/>
      <c r="M32" s="53"/>
      <c r="N32" s="9"/>
      <c r="O32" s="9"/>
      <c r="P32" s="9"/>
      <c r="Q32" s="53"/>
      <c r="R32" s="9"/>
      <c r="S32" s="9"/>
      <c r="T32" s="9"/>
      <c r="U32" s="9"/>
      <c r="V32" s="9"/>
      <c r="W32" s="9"/>
      <c r="X32" s="9"/>
      <c r="Y32" s="9"/>
      <c r="Z32" s="53"/>
      <c r="AA32" s="9"/>
    </row>
    <row r="33" spans="1:27">
      <c r="A33" s="10">
        <v>33</v>
      </c>
      <c r="B33" s="9"/>
      <c r="C33" s="51"/>
      <c r="D33" s="52"/>
      <c r="E33" s="9"/>
      <c r="F33" s="52"/>
      <c r="G33" s="9"/>
      <c r="H33" s="9"/>
      <c r="I33" s="10"/>
      <c r="J33" s="9"/>
      <c r="K33" s="9"/>
      <c r="L33" s="9"/>
      <c r="M33" s="53"/>
      <c r="N33" s="9"/>
      <c r="O33" s="9"/>
      <c r="P33" s="9"/>
      <c r="Q33" s="53"/>
    </row>
    <row r="34" spans="1:27">
      <c r="A34" s="10">
        <v>34</v>
      </c>
      <c r="B34" s="9"/>
      <c r="C34" s="51"/>
      <c r="D34" s="52"/>
      <c r="E34" s="9"/>
      <c r="F34" s="52"/>
      <c r="G34" s="9"/>
      <c r="H34" s="9"/>
      <c r="I34" s="10"/>
      <c r="J34" s="9"/>
      <c r="K34" s="9"/>
      <c r="L34" s="9"/>
      <c r="M34" s="53"/>
      <c r="N34" s="9"/>
      <c r="O34" s="9"/>
      <c r="P34" s="9"/>
      <c r="Q34" s="53"/>
      <c r="R34" s="9"/>
      <c r="S34" s="9"/>
      <c r="T34" s="9"/>
      <c r="U34" s="9"/>
      <c r="V34" s="9"/>
      <c r="W34" s="9"/>
      <c r="X34" s="9"/>
      <c r="Y34" s="9"/>
      <c r="Z34" s="53"/>
      <c r="AA34" s="9"/>
    </row>
    <row r="35" spans="1:27">
      <c r="A35" s="10">
        <v>35</v>
      </c>
      <c r="B35" s="9"/>
      <c r="C35" s="51"/>
      <c r="D35" s="52"/>
      <c r="E35" s="9"/>
      <c r="F35" s="52"/>
      <c r="G35" s="9"/>
      <c r="H35" s="9"/>
      <c r="I35" s="10"/>
      <c r="J35" s="9"/>
      <c r="K35" s="9"/>
      <c r="L35" s="9"/>
      <c r="M35" s="53"/>
      <c r="N35" s="9"/>
      <c r="O35" s="9"/>
      <c r="P35" s="9"/>
      <c r="Q35" s="53"/>
      <c r="R35" s="9"/>
      <c r="S35" s="9"/>
      <c r="T35" s="9"/>
      <c r="U35" s="9"/>
      <c r="V35" s="9"/>
      <c r="W35" s="9"/>
      <c r="X35" s="9"/>
      <c r="Y35" s="9"/>
      <c r="Z35" s="53"/>
      <c r="AA35" s="9"/>
    </row>
    <row r="36" spans="1:27">
      <c r="A36" s="10">
        <v>36</v>
      </c>
      <c r="B36" s="9"/>
      <c r="C36" s="51"/>
      <c r="D36" s="52"/>
      <c r="E36" s="9"/>
      <c r="F36" s="52"/>
      <c r="G36" s="9"/>
      <c r="H36" s="9"/>
      <c r="I36" s="10"/>
      <c r="J36" s="9"/>
      <c r="K36" s="9"/>
      <c r="L36" s="9"/>
      <c r="M36" s="53"/>
      <c r="N36" s="9"/>
      <c r="O36" s="9"/>
      <c r="P36" s="9"/>
      <c r="Q36" s="53"/>
      <c r="R36" s="9"/>
      <c r="S36" s="9"/>
      <c r="T36" s="9"/>
      <c r="U36" s="9"/>
      <c r="V36" s="9"/>
      <c r="W36" s="9"/>
      <c r="X36" s="9"/>
      <c r="Y36" s="9"/>
      <c r="Z36" s="53"/>
      <c r="AA36" s="9"/>
    </row>
    <row r="37" spans="1:27">
      <c r="A37" s="10">
        <v>37</v>
      </c>
      <c r="B37" s="9"/>
      <c r="C37" s="51"/>
      <c r="D37" s="52"/>
      <c r="E37" s="9"/>
      <c r="F37" s="52"/>
      <c r="G37" s="9"/>
      <c r="H37" s="9"/>
      <c r="I37" s="10"/>
      <c r="J37" s="9"/>
      <c r="K37" s="9"/>
      <c r="L37" s="9"/>
      <c r="M37" s="53"/>
      <c r="N37" s="9"/>
      <c r="O37" s="9"/>
      <c r="P37" s="9"/>
      <c r="Q37" s="53"/>
      <c r="R37" s="9"/>
      <c r="S37" s="9"/>
      <c r="T37" s="9"/>
      <c r="U37" s="9"/>
      <c r="V37" s="9"/>
      <c r="W37" s="9"/>
      <c r="X37" s="9"/>
      <c r="Y37" s="9"/>
      <c r="Z37" s="53"/>
      <c r="AA37" s="9"/>
    </row>
    <row r="38" spans="1:27">
      <c r="A38" s="10">
        <v>38</v>
      </c>
      <c r="B38" s="9"/>
      <c r="C38" s="51"/>
      <c r="D38" s="52"/>
      <c r="E38" s="9"/>
      <c r="F38" s="52"/>
      <c r="G38" s="9"/>
      <c r="H38" s="9"/>
      <c r="I38" s="10"/>
      <c r="J38" s="9"/>
      <c r="K38" s="9"/>
      <c r="L38" s="9"/>
      <c r="M38" s="53"/>
      <c r="N38" s="9"/>
      <c r="O38" s="9"/>
      <c r="P38" s="9"/>
      <c r="Q38" s="53"/>
      <c r="R38" s="9"/>
      <c r="S38" s="9"/>
      <c r="T38" s="9"/>
      <c r="U38" s="9"/>
      <c r="V38" s="9"/>
      <c r="W38" s="9"/>
      <c r="X38" s="9"/>
      <c r="Y38" s="9"/>
      <c r="Z38" s="53"/>
      <c r="AA38" s="9"/>
    </row>
    <row r="39" spans="1:27">
      <c r="A39" s="10">
        <v>39</v>
      </c>
      <c r="B39" s="9"/>
      <c r="C39" s="51"/>
      <c r="D39" s="52"/>
      <c r="E39" s="9"/>
      <c r="F39" s="52"/>
      <c r="G39" s="9"/>
      <c r="H39" s="9"/>
      <c r="I39" s="10"/>
      <c r="J39" s="9"/>
      <c r="K39" s="9"/>
      <c r="L39" s="9"/>
      <c r="M39" s="53"/>
      <c r="N39" s="9"/>
      <c r="O39" s="9"/>
      <c r="P39" s="9"/>
      <c r="Q39" s="53"/>
      <c r="R39" s="9"/>
      <c r="S39" s="9"/>
      <c r="T39" s="9"/>
      <c r="U39" s="9"/>
      <c r="V39" s="9"/>
      <c r="W39" s="9"/>
      <c r="X39" s="9"/>
      <c r="Y39" s="9"/>
      <c r="Z39" s="53"/>
      <c r="AA39" s="9"/>
    </row>
    <row r="40" spans="1:27">
      <c r="A40" s="10">
        <v>40</v>
      </c>
      <c r="B40" s="9"/>
      <c r="C40" s="51"/>
      <c r="D40" s="52"/>
      <c r="E40" s="9"/>
      <c r="F40" s="52"/>
      <c r="G40" s="9"/>
      <c r="H40" s="9"/>
      <c r="I40" s="10"/>
      <c r="J40" s="9"/>
      <c r="K40" s="9"/>
      <c r="L40" s="9"/>
      <c r="M40" s="53"/>
      <c r="N40" s="9"/>
      <c r="O40" s="9"/>
      <c r="P40" s="9"/>
      <c r="Q40" s="53"/>
      <c r="R40" s="9"/>
      <c r="S40" s="9"/>
      <c r="T40" s="9"/>
      <c r="U40" s="9"/>
      <c r="V40" s="9"/>
      <c r="W40" s="9"/>
      <c r="X40" s="9"/>
      <c r="Y40" s="9"/>
      <c r="Z40" s="53"/>
      <c r="AA40" s="9"/>
    </row>
    <row r="41" spans="1:27">
      <c r="A41" s="10">
        <v>41</v>
      </c>
      <c r="B41" s="9"/>
      <c r="C41" s="51"/>
      <c r="D41" s="52"/>
      <c r="E41" s="9"/>
      <c r="F41" s="52"/>
      <c r="G41" s="9"/>
      <c r="H41" s="9"/>
      <c r="I41" s="10"/>
      <c r="J41" s="9"/>
      <c r="K41" s="9"/>
      <c r="L41" s="9"/>
      <c r="M41" s="53"/>
      <c r="N41" s="9"/>
      <c r="O41" s="9"/>
      <c r="P41" s="9"/>
      <c r="Q41" s="53"/>
      <c r="R41" s="9"/>
      <c r="S41" s="9"/>
      <c r="T41" s="9"/>
      <c r="U41" s="9"/>
      <c r="V41" s="9"/>
      <c r="W41" s="9"/>
      <c r="X41" s="9"/>
      <c r="Y41" s="9"/>
      <c r="Z41" s="53"/>
      <c r="AA41" s="9"/>
    </row>
    <row r="42" spans="1:27">
      <c r="A42" s="10">
        <v>42</v>
      </c>
      <c r="B42" s="9"/>
      <c r="C42" s="51"/>
      <c r="D42" s="52"/>
      <c r="E42" s="9"/>
      <c r="F42" s="52"/>
      <c r="G42" s="9"/>
      <c r="H42" s="9"/>
      <c r="I42" s="10"/>
      <c r="J42" s="9"/>
      <c r="K42" s="9"/>
      <c r="L42" s="9"/>
      <c r="M42" s="53"/>
      <c r="N42" s="9"/>
      <c r="O42" s="9"/>
      <c r="P42" s="9"/>
      <c r="Q42" s="53"/>
      <c r="R42" s="9"/>
      <c r="S42" s="9"/>
      <c r="T42" s="9"/>
      <c r="U42" s="9"/>
      <c r="V42" s="9"/>
      <c r="W42" s="9"/>
      <c r="X42" s="9"/>
      <c r="Y42" s="9"/>
      <c r="Z42" s="53"/>
      <c r="AA42" s="9"/>
    </row>
    <row r="43" spans="1:27" ht="13.2">
      <c r="A43" s="10">
        <v>43</v>
      </c>
      <c r="B43" s="9"/>
      <c r="C43" s="51"/>
      <c r="D43" s="52"/>
      <c r="E43" s="9"/>
      <c r="F43" s="10"/>
      <c r="G43" s="9"/>
      <c r="H43" s="9"/>
      <c r="I43" s="10"/>
      <c r="J43" s="9"/>
      <c r="K43" s="9"/>
      <c r="L43" s="9"/>
      <c r="M43" s="53"/>
      <c r="N43" s="9"/>
      <c r="O43" s="9"/>
      <c r="P43" s="9"/>
      <c r="Q43" s="53"/>
      <c r="R43" s="9"/>
      <c r="S43" s="9"/>
      <c r="T43" s="9"/>
      <c r="U43" s="9"/>
      <c r="V43" s="9"/>
      <c r="W43" s="9"/>
      <c r="X43" s="9"/>
      <c r="Y43" s="9"/>
      <c r="Z43" s="53"/>
      <c r="AA43" s="9"/>
    </row>
    <row r="44" spans="1:27" ht="13.2">
      <c r="A44" s="10">
        <v>44</v>
      </c>
      <c r="B44" s="9"/>
      <c r="C44" s="51"/>
      <c r="D44" s="52"/>
      <c r="E44" s="9"/>
      <c r="F44" s="52"/>
      <c r="G44" s="9"/>
      <c r="H44" s="9"/>
      <c r="I44" s="10"/>
      <c r="J44" s="9"/>
      <c r="K44" s="9"/>
      <c r="L44" s="9"/>
      <c r="M44" s="53"/>
      <c r="N44" s="9"/>
      <c r="O44" s="9"/>
      <c r="P44" s="9"/>
      <c r="Q44" s="53"/>
      <c r="R44" s="9"/>
      <c r="S44" s="9"/>
      <c r="T44" s="9"/>
      <c r="U44" s="9"/>
      <c r="V44" s="9"/>
      <c r="W44" s="9"/>
      <c r="X44" s="9"/>
      <c r="Y44" s="9"/>
      <c r="Z44" s="53"/>
      <c r="AA44" s="9"/>
    </row>
    <row r="45" spans="1:27" ht="13.2">
      <c r="A45" s="10">
        <v>45</v>
      </c>
      <c r="B45" s="9"/>
      <c r="C45" s="51"/>
      <c r="D45" s="52"/>
      <c r="E45" s="9"/>
      <c r="F45" s="52"/>
      <c r="G45" s="9"/>
      <c r="H45" s="9"/>
      <c r="I45" s="10"/>
      <c r="J45" s="9"/>
      <c r="K45" s="9"/>
      <c r="L45" s="9"/>
      <c r="M45" s="53"/>
      <c r="N45" s="9"/>
      <c r="O45" s="9"/>
      <c r="P45" s="9"/>
      <c r="Q45" s="53"/>
      <c r="R45" s="9"/>
      <c r="S45" s="9"/>
      <c r="T45" s="9"/>
      <c r="U45" s="9"/>
      <c r="V45" s="9"/>
      <c r="W45" s="9"/>
      <c r="X45" s="9"/>
      <c r="Y45" s="9"/>
      <c r="Z45" s="53"/>
      <c r="AA45" s="9"/>
    </row>
    <row r="46" spans="1:27" ht="13.2">
      <c r="A46" s="10">
        <v>46</v>
      </c>
      <c r="B46" s="9"/>
      <c r="C46" s="51"/>
      <c r="D46" s="52"/>
      <c r="E46" s="9"/>
      <c r="F46" s="52"/>
      <c r="G46" s="9"/>
      <c r="H46" s="9"/>
      <c r="I46" s="10"/>
      <c r="J46" s="9"/>
      <c r="K46" s="9"/>
      <c r="L46" s="9"/>
      <c r="M46" s="53"/>
      <c r="N46" s="9"/>
      <c r="O46" s="9"/>
      <c r="P46" s="9"/>
      <c r="Q46" s="53"/>
      <c r="R46" s="9"/>
      <c r="S46" s="9"/>
      <c r="T46" s="9"/>
      <c r="U46" s="9"/>
      <c r="V46" s="9"/>
      <c r="W46" s="9"/>
      <c r="X46" s="9"/>
      <c r="Y46" s="9"/>
      <c r="Z46" s="53"/>
      <c r="AA46" s="9"/>
    </row>
    <row r="47" spans="1:27" ht="13.2">
      <c r="A47" s="10">
        <v>47</v>
      </c>
      <c r="B47" s="9"/>
      <c r="C47" s="51"/>
      <c r="D47" s="52"/>
      <c r="E47" s="9"/>
      <c r="F47" s="52"/>
      <c r="G47" s="9"/>
      <c r="H47" s="9"/>
      <c r="I47" s="10"/>
      <c r="J47" s="9"/>
      <c r="K47" s="9"/>
      <c r="L47" s="9"/>
      <c r="M47" s="53"/>
      <c r="N47" s="9"/>
      <c r="O47" s="9"/>
      <c r="P47" s="9"/>
      <c r="Q47" s="53"/>
      <c r="R47" s="9"/>
      <c r="S47" s="9"/>
      <c r="T47" s="9"/>
      <c r="U47" s="9"/>
      <c r="V47" s="9"/>
      <c r="W47" s="9"/>
      <c r="X47" s="9"/>
      <c r="Y47" s="9"/>
      <c r="Z47" s="53"/>
      <c r="AA47" s="9"/>
    </row>
    <row r="48" spans="1:27" ht="13.2">
      <c r="A48" s="10">
        <v>48</v>
      </c>
      <c r="B48" s="9"/>
      <c r="C48" s="51"/>
      <c r="D48" s="52"/>
      <c r="E48" s="9"/>
      <c r="F48" s="52"/>
      <c r="G48" s="9"/>
      <c r="H48" s="9"/>
      <c r="I48" s="10"/>
      <c r="J48" s="9"/>
      <c r="K48" s="9"/>
      <c r="L48" s="9"/>
      <c r="M48" s="53"/>
      <c r="N48" s="9"/>
      <c r="O48" s="9"/>
      <c r="P48" s="9"/>
      <c r="Q48" s="53"/>
      <c r="R48" s="9"/>
      <c r="S48" s="9"/>
      <c r="T48" s="9"/>
      <c r="U48" s="9"/>
      <c r="V48" s="9"/>
      <c r="W48" s="9"/>
      <c r="X48" s="9"/>
      <c r="Y48" s="9"/>
      <c r="Z48" s="53"/>
      <c r="AA48" s="9"/>
    </row>
    <row r="49" spans="1:27" ht="13.2">
      <c r="A49" s="10">
        <v>49</v>
      </c>
      <c r="B49" s="9"/>
      <c r="C49" s="51"/>
      <c r="D49" s="52"/>
      <c r="E49" s="9"/>
      <c r="F49" s="52"/>
      <c r="G49" s="9"/>
      <c r="H49" s="9"/>
      <c r="I49" s="10"/>
      <c r="J49" s="9"/>
      <c r="K49" s="9"/>
      <c r="L49" s="9"/>
      <c r="M49" s="53"/>
      <c r="N49" s="9"/>
      <c r="O49" s="9"/>
      <c r="P49" s="9"/>
      <c r="Q49" s="53"/>
      <c r="R49" s="9"/>
      <c r="S49" s="9"/>
      <c r="T49" s="9"/>
      <c r="U49" s="9"/>
      <c r="V49" s="9"/>
      <c r="W49" s="9"/>
      <c r="X49" s="9"/>
      <c r="Y49" s="9"/>
      <c r="Z49" s="53"/>
      <c r="AA49" s="9"/>
    </row>
    <row r="50" spans="1:27" ht="13.2">
      <c r="A50" s="10">
        <v>50</v>
      </c>
      <c r="B50" s="9"/>
      <c r="C50" s="51"/>
      <c r="D50" s="52"/>
      <c r="E50" s="9"/>
      <c r="F50" s="10"/>
      <c r="G50" s="9"/>
      <c r="H50" s="9"/>
      <c r="I50" s="10"/>
      <c r="J50" s="9"/>
      <c r="K50" s="9"/>
      <c r="L50" s="9"/>
      <c r="M50" s="53"/>
      <c r="N50" s="9"/>
      <c r="O50" s="9"/>
      <c r="P50" s="9"/>
      <c r="Q50" s="53"/>
      <c r="R50" s="9"/>
      <c r="S50" s="9"/>
      <c r="T50" s="9"/>
      <c r="U50" s="9"/>
      <c r="V50" s="9"/>
      <c r="W50" s="9"/>
      <c r="X50" s="9"/>
      <c r="Y50" s="9"/>
      <c r="Z50" s="53"/>
      <c r="AA50" s="9"/>
    </row>
    <row r="51" spans="1:27" ht="13.2">
      <c r="A51" s="10">
        <v>51</v>
      </c>
      <c r="B51" s="57"/>
      <c r="C51" s="62"/>
      <c r="D51" s="58"/>
      <c r="E51" s="57"/>
      <c r="F51" s="58"/>
      <c r="G51" s="57"/>
      <c r="H51" s="9"/>
      <c r="I51" s="59"/>
      <c r="J51" s="9"/>
      <c r="K51" s="9"/>
      <c r="L51" s="9"/>
      <c r="M51" s="53"/>
      <c r="N51" s="9"/>
      <c r="O51" s="9"/>
      <c r="P51" s="9"/>
      <c r="Q51" s="53"/>
      <c r="R51" s="9"/>
      <c r="S51" s="9"/>
      <c r="T51" s="9"/>
      <c r="U51" s="9"/>
      <c r="V51" s="9"/>
      <c r="W51" s="9"/>
      <c r="X51" s="9"/>
      <c r="Y51" s="9"/>
      <c r="Z51" s="53"/>
      <c r="AA51" s="9"/>
    </row>
    <row r="52" spans="1:27" ht="13.2">
      <c r="A52" s="10">
        <v>52</v>
      </c>
      <c r="B52" s="9"/>
      <c r="C52" s="51"/>
      <c r="D52" s="52"/>
      <c r="E52" s="9"/>
      <c r="F52" s="52"/>
      <c r="G52" s="9"/>
      <c r="H52" s="9"/>
      <c r="I52" s="10"/>
      <c r="J52" s="9"/>
      <c r="K52" s="9"/>
      <c r="L52" s="9"/>
      <c r="M52" s="53"/>
      <c r="N52" s="9"/>
      <c r="O52" s="9"/>
      <c r="P52" s="9"/>
      <c r="Q52" s="53"/>
      <c r="R52" s="9"/>
      <c r="S52" s="9"/>
      <c r="T52" s="9"/>
      <c r="U52" s="9"/>
      <c r="V52" s="9"/>
      <c r="W52" s="9"/>
      <c r="X52" s="9"/>
      <c r="Y52" s="9"/>
      <c r="Z52" s="53"/>
      <c r="AA52" s="9"/>
    </row>
    <row r="53" spans="1:27" ht="13.2">
      <c r="A53" s="10">
        <v>53</v>
      </c>
      <c r="B53" s="57"/>
      <c r="C53" s="62"/>
      <c r="D53" s="58"/>
      <c r="E53" s="59"/>
      <c r="F53" s="58"/>
      <c r="G53" s="57"/>
      <c r="H53" s="9"/>
      <c r="I53" s="59"/>
      <c r="J53" s="57"/>
      <c r="K53" s="57"/>
      <c r="L53" s="57"/>
      <c r="M53" s="63"/>
      <c r="N53" s="57"/>
      <c r="O53" s="57"/>
      <c r="P53" s="57"/>
      <c r="Q53" s="63"/>
      <c r="R53" s="57"/>
      <c r="S53" s="57"/>
      <c r="T53" s="57"/>
      <c r="U53" s="57"/>
      <c r="V53" s="57"/>
      <c r="W53" s="57"/>
      <c r="X53" s="57"/>
      <c r="Y53" s="57"/>
      <c r="Z53" s="63"/>
      <c r="AA53" s="57"/>
    </row>
    <row r="54" spans="1:27" ht="13.2">
      <c r="A54" s="64"/>
      <c r="B54" s="104" t="s">
        <v>226</v>
      </c>
      <c r="C54" s="105"/>
      <c r="D54" s="105"/>
      <c r="E54" s="105"/>
      <c r="F54" s="105"/>
      <c r="G54" s="105"/>
      <c r="H54" s="105"/>
      <c r="I54" s="106"/>
      <c r="J54" s="65">
        <f t="array" aca="1" ref="J54" ca="1">SUM(INDIRECT("J2"&amp; ":J" &amp; ROW()-1) )</f>
        <v>270718.55000000005</v>
      </c>
      <c r="K54" s="65">
        <f t="array" aca="1" ref="K54" ca="1">SUM(INDIRECT("K2"&amp; ":K" &amp; ROW()-1) )</f>
        <v>522805.27</v>
      </c>
      <c r="L54" s="65">
        <f t="array" aca="1" ref="L54" ca="1">SUM( INDIRECT("L2"&amp; ":L" &amp; ROW()-1) )</f>
        <v>-2251.3500000000004</v>
      </c>
      <c r="M54" s="66">
        <f ca="1">L54/AE2</f>
        <v>-6.0847297297297306E-2</v>
      </c>
      <c r="N54" s="65"/>
      <c r="O54" s="65">
        <f ca="1">SUM(O2:O22)</f>
        <v>-35.349999999999994</v>
      </c>
      <c r="P54" s="65">
        <f t="array" aca="1" ref="P54" ca="1">SUM(INDIRECT("P2"&amp; ":P" &amp; ROW()-1) )</f>
        <v>8782.02</v>
      </c>
      <c r="Q54" s="66">
        <f ca="1">P54/AE2</f>
        <v>0.2373518918918919</v>
      </c>
      <c r="R54" s="65">
        <f t="array" aca="1" ref="R54" ca="1">SUM(INDIRECT("P2"&amp; ":P" &amp; ROW()-1) )</f>
        <v>8782.02</v>
      </c>
      <c r="S54" s="66">
        <f t="array" aca="1" ref="S54" ca="1">SUM(INDIRECT("Q2"&amp; ":Q" &amp; ROW()-1) )</f>
        <v>1.3767664520769332</v>
      </c>
      <c r="T54" s="67" t="e">
        <f t="array" aca="1" ref="T54" ca="1">SUM(INDIRECT("R2"&amp; ":R" &amp; ROW()-1) )</f>
        <v>#REF!</v>
      </c>
      <c r="U54" s="67" t="e">
        <f t="array" aca="1" ref="U54" ca="1">SUM(INDIRECT("S2"&amp; ":S" &amp; ROW()-1) )</f>
        <v>#REF!</v>
      </c>
      <c r="V54" s="67" t="e">
        <f t="array" aca="1" ref="V54" ca="1">SUM(INDIRECT("T2"&amp; ":T" &amp; ROW()-1) )</f>
        <v>#REF!</v>
      </c>
      <c r="W54" s="67" t="e">
        <f t="array" aca="1" ref="W54" ca="1">SUM(INDIRECT("U2"&amp; ":U" &amp; ROW()-1) )</f>
        <v>#REF!</v>
      </c>
      <c r="X54" s="68" t="e">
        <f t="array" aca="1" ref="X54" ca="1">SUM(INDIRECT("V2"&amp; ":V" &amp; ROW()-1) )</f>
        <v>#REF!</v>
      </c>
      <c r="Y54" s="65" t="e">
        <f t="array" aca="1" ref="Y54" ca="1">SUM(INDIRECT("W2"&amp; ":W" &amp; ROW()-1) )</f>
        <v>#REF!</v>
      </c>
      <c r="Z54" s="66" t="e">
        <f ca="1">Y54/AE2</f>
        <v>#REF!</v>
      </c>
      <c r="AA54" s="67" t="e">
        <f t="array" aca="1" ref="AA54" ca="1">AE2+SUM(INDIRECT("W2"&amp; ":W" &amp; ROW()-1) )-X54+Y54</f>
        <v>#REF!</v>
      </c>
    </row>
  </sheetData>
  <mergeCells count="1">
    <mergeCell ref="B54:I54"/>
  </mergeCells>
  <conditionalFormatting sqref="L2:Q54 Y2:Z54 AM3:AO3 AE4:AE6 AF12 AM31:AO31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2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3" max="3" width="9.44140625" customWidth="1"/>
    <col min="4" max="4" width="10.88671875" customWidth="1"/>
    <col min="5" max="5" width="8.33203125" customWidth="1"/>
    <col min="6" max="6" width="10.44140625" customWidth="1"/>
    <col min="7" max="8" width="8.33203125" customWidth="1"/>
    <col min="9" max="9" width="4.33203125" customWidth="1"/>
    <col min="10" max="11" width="10.21875" customWidth="1"/>
    <col min="12" max="12" width="11.88671875" customWidth="1"/>
    <col min="13" max="13" width="9.109375" customWidth="1"/>
    <col min="15" max="15" width="7.109375" customWidth="1"/>
    <col min="16" max="16" width="7" customWidth="1"/>
    <col min="17" max="17" width="9.77734375" customWidth="1"/>
    <col min="18" max="18" width="5.109375" customWidth="1"/>
    <col min="19" max="19" width="11.21875" customWidth="1"/>
    <col min="20" max="20" width="8" customWidth="1"/>
    <col min="21" max="21" width="10.109375" customWidth="1"/>
    <col min="22" max="22" width="11.21875" customWidth="1"/>
    <col min="23" max="23" width="9.33203125" customWidth="1"/>
    <col min="24" max="24" width="8.44140625" customWidth="1"/>
    <col min="26" max="26" width="7.109375" customWidth="1"/>
    <col min="27" max="27" width="17.88671875" customWidth="1"/>
  </cols>
  <sheetData>
    <row r="1" spans="1:29">
      <c r="A1" s="49" t="s">
        <v>197</v>
      </c>
      <c r="B1" s="49" t="s">
        <v>4</v>
      </c>
      <c r="C1" s="49" t="s">
        <v>73</v>
      </c>
      <c r="D1" s="49" t="s">
        <v>74</v>
      </c>
      <c r="E1" s="49" t="s">
        <v>75</v>
      </c>
      <c r="F1" s="49" t="s">
        <v>76</v>
      </c>
      <c r="G1" s="49" t="s">
        <v>77</v>
      </c>
      <c r="H1" s="49" t="s">
        <v>78</v>
      </c>
      <c r="I1" s="49" t="s">
        <v>79</v>
      </c>
      <c r="J1" s="49" t="s">
        <v>80</v>
      </c>
      <c r="K1" s="49" t="s">
        <v>81</v>
      </c>
      <c r="L1" s="49" t="s">
        <v>6</v>
      </c>
      <c r="M1" s="49" t="s">
        <v>82</v>
      </c>
      <c r="N1" s="49" t="s">
        <v>5</v>
      </c>
      <c r="O1" s="49" t="s">
        <v>85</v>
      </c>
      <c r="P1" s="49" t="s">
        <v>86</v>
      </c>
      <c r="Q1" s="49" t="s">
        <v>87</v>
      </c>
      <c r="R1" s="49" t="s">
        <v>88</v>
      </c>
      <c r="S1" s="49" t="s">
        <v>89</v>
      </c>
      <c r="T1" s="49" t="s">
        <v>90</v>
      </c>
      <c r="U1" s="49" t="s">
        <v>91</v>
      </c>
      <c r="V1" s="49" t="s">
        <v>92</v>
      </c>
      <c r="W1" s="49" t="s">
        <v>93</v>
      </c>
      <c r="X1" s="49" t="s">
        <v>94</v>
      </c>
      <c r="Y1" s="50" t="s">
        <v>95</v>
      </c>
      <c r="Z1" s="13"/>
      <c r="AA1" s="14"/>
    </row>
    <row r="2" spans="1:29" ht="15.75" customHeight="1">
      <c r="A2" s="10">
        <v>1</v>
      </c>
      <c r="B2" s="9" t="s">
        <v>51</v>
      </c>
      <c r="C2" s="51" t="s">
        <v>227</v>
      </c>
      <c r="D2" s="52">
        <v>44565</v>
      </c>
      <c r="E2" s="9">
        <v>714.25</v>
      </c>
      <c r="F2" s="52"/>
      <c r="G2" s="9">
        <v>0</v>
      </c>
      <c r="H2" s="9">
        <f ca="1">IFERROR(__xludf.DUMMYFUNCTION("GOOGLEFINANCE(""NSE:""&amp;B2,""price"")"),271.3)</f>
        <v>271.3</v>
      </c>
      <c r="I2" s="10">
        <v>18</v>
      </c>
      <c r="J2" s="9">
        <f t="shared" ref="J2:J27" si="0">E2*I2</f>
        <v>12856.5</v>
      </c>
      <c r="K2" s="9">
        <f t="shared" ref="K2:K27" si="1">IF(G2&gt;0,(E2+G2)*I2,E2*I2)</f>
        <v>12856.5</v>
      </c>
      <c r="L2" s="9">
        <f t="shared" ref="L2:L27" ca="1" si="2">IF(G2&gt;0,0,(H2-E2)*I2)</f>
        <v>-7973.0999999999995</v>
      </c>
      <c r="M2" s="53">
        <f t="shared" ref="M2:M27" ca="1" si="3">IF(G2&gt;0,0,(H2-E2)/E2)</f>
        <v>-0.62016100805040253</v>
      </c>
      <c r="N2" s="9">
        <f t="shared" ref="N2:N27" si="4">IF(G2=0,0,(G2-E2)*I2)</f>
        <v>0</v>
      </c>
      <c r="O2" s="53">
        <f t="shared" ref="O2:O27" si="5">IF(G2&gt;0,(G2-E2)/E2,0)</f>
        <v>0</v>
      </c>
      <c r="P2" s="9">
        <f t="shared" ref="P2:P27" si="6">0.001*K2</f>
        <v>12.8565</v>
      </c>
      <c r="Q2" s="9">
        <f t="shared" ref="Q2:Q27" si="7">0.0000325*K2</f>
        <v>0.41783624999999996</v>
      </c>
      <c r="R2" s="9">
        <f t="shared" ref="R2:R27" si="8">0.18*Q2</f>
        <v>7.5210524999999986E-2</v>
      </c>
      <c r="S2" s="54">
        <f t="shared" ref="S2:S27" si="9">0.0000005*K2</f>
        <v>6.4282499999999999E-3</v>
      </c>
      <c r="T2" s="9">
        <f t="shared" ref="T2:T27" si="10">P2+Q2+R2+S2</f>
        <v>13.355975025000001</v>
      </c>
      <c r="U2" s="9">
        <f t="shared" ref="U2:U6" si="11">IF(G2&gt;0,15.34,0)</f>
        <v>0</v>
      </c>
      <c r="V2" s="9">
        <f t="shared" ref="V2:V27" si="12">T2+U2</f>
        <v>13.355975025000001</v>
      </c>
      <c r="W2" s="9">
        <f t="shared" ref="W2:W27" si="13">IF(G2&gt;0,N2-V2,0)</f>
        <v>0</v>
      </c>
      <c r="X2" s="53">
        <f t="shared" ref="X2:X27" si="14">W2/J2</f>
        <v>0</v>
      </c>
      <c r="Y2" s="55">
        <f>SUM($AB$2,W2)</f>
        <v>109000</v>
      </c>
      <c r="Z2" s="22"/>
      <c r="AA2" s="23" t="s">
        <v>98</v>
      </c>
      <c r="AB2" s="8">
        <v>109000</v>
      </c>
    </row>
    <row r="3" spans="1:29">
      <c r="A3" s="10">
        <v>2</v>
      </c>
      <c r="B3" s="9" t="s">
        <v>133</v>
      </c>
      <c r="C3" s="10" t="s">
        <v>227</v>
      </c>
      <c r="D3" s="52">
        <v>44565</v>
      </c>
      <c r="E3" s="9">
        <v>1669</v>
      </c>
      <c r="F3" s="52">
        <v>44572</v>
      </c>
      <c r="G3" s="9">
        <v>1853.85</v>
      </c>
      <c r="H3" s="9">
        <f ca="1">IFERROR(__xludf.DUMMYFUNCTION("GOOGLEFINANCE(""NSE:""&amp;B3,""price"")"),2823.1)</f>
        <v>2823.1</v>
      </c>
      <c r="I3" s="10">
        <v>7</v>
      </c>
      <c r="J3" s="9">
        <f t="shared" si="0"/>
        <v>11683</v>
      </c>
      <c r="K3" s="9">
        <f t="shared" si="1"/>
        <v>24659.95</v>
      </c>
      <c r="L3" s="9">
        <f t="shared" si="2"/>
        <v>0</v>
      </c>
      <c r="M3" s="53">
        <f t="shared" si="3"/>
        <v>0</v>
      </c>
      <c r="N3" s="9">
        <f t="shared" si="4"/>
        <v>1293.9499999999994</v>
      </c>
      <c r="O3" s="53">
        <f t="shared" si="5"/>
        <v>0.11075494307968838</v>
      </c>
      <c r="P3" s="9">
        <f t="shared" si="6"/>
        <v>24.659950000000002</v>
      </c>
      <c r="Q3" s="9">
        <f t="shared" si="7"/>
        <v>0.80144837499999999</v>
      </c>
      <c r="R3" s="9">
        <f t="shared" si="8"/>
        <v>0.1442607075</v>
      </c>
      <c r="S3" s="9">
        <f t="shared" si="9"/>
        <v>1.2329975E-2</v>
      </c>
      <c r="T3" s="9">
        <f t="shared" si="10"/>
        <v>25.617989057500001</v>
      </c>
      <c r="U3" s="9">
        <f t="shared" si="11"/>
        <v>15.34</v>
      </c>
      <c r="V3" s="9">
        <f t="shared" si="12"/>
        <v>40.957989057500001</v>
      </c>
      <c r="W3" s="9">
        <f t="shared" si="13"/>
        <v>1252.9920109424993</v>
      </c>
      <c r="X3" s="53">
        <f t="shared" si="14"/>
        <v>0.10724916639069582</v>
      </c>
      <c r="Y3" s="55">
        <f t="shared" ref="Y3:Y6" si="15">SUM(Y2,W3)</f>
        <v>110252.9920109425</v>
      </c>
      <c r="Z3" s="22"/>
      <c r="AA3" s="23" t="s">
        <v>99</v>
      </c>
      <c r="AB3" s="8">
        <f ca="1">AB2+W28</f>
        <v>119538.0175644305</v>
      </c>
    </row>
    <row r="4" spans="1:29">
      <c r="A4" s="10">
        <v>3</v>
      </c>
      <c r="B4" s="10" t="s">
        <v>228</v>
      </c>
      <c r="C4" s="10" t="s">
        <v>227</v>
      </c>
      <c r="D4" s="52">
        <v>44565</v>
      </c>
      <c r="E4" s="9">
        <v>2645.75</v>
      </c>
      <c r="F4" s="52">
        <v>44903</v>
      </c>
      <c r="G4" s="9">
        <v>2652.03</v>
      </c>
      <c r="H4" s="9" t="str">
        <f ca="1">IFERROR(__xludf.DUMMYFUNCTION("GOOGLEFINANCE(""NSE:""&amp;B4,""price"")"),"#N/A")</f>
        <v>#N/A</v>
      </c>
      <c r="I4" s="10">
        <v>4</v>
      </c>
      <c r="J4" s="9">
        <f t="shared" si="0"/>
        <v>10583</v>
      </c>
      <c r="K4" s="9">
        <f t="shared" si="1"/>
        <v>21191.120000000003</v>
      </c>
      <c r="L4" s="9">
        <f t="shared" si="2"/>
        <v>0</v>
      </c>
      <c r="M4" s="53">
        <f t="shared" si="3"/>
        <v>0</v>
      </c>
      <c r="N4" s="9">
        <f t="shared" si="4"/>
        <v>25.1200000000008</v>
      </c>
      <c r="O4" s="53">
        <f t="shared" si="5"/>
        <v>2.3736180667108383E-3</v>
      </c>
      <c r="P4" s="9">
        <f t="shared" si="6"/>
        <v>21.191120000000002</v>
      </c>
      <c r="Q4" s="9">
        <f t="shared" si="7"/>
        <v>0.68871139999999997</v>
      </c>
      <c r="R4" s="9">
        <f t="shared" si="8"/>
        <v>0.123968052</v>
      </c>
      <c r="S4" s="9">
        <f t="shared" si="9"/>
        <v>1.059556E-2</v>
      </c>
      <c r="T4" s="9">
        <f t="shared" si="10"/>
        <v>22.014395011999998</v>
      </c>
      <c r="U4" s="9">
        <f t="shared" si="11"/>
        <v>15.34</v>
      </c>
      <c r="V4" s="9">
        <f t="shared" si="12"/>
        <v>37.354395011999998</v>
      </c>
      <c r="W4" s="9">
        <f t="shared" si="13"/>
        <v>-12.234395011999197</v>
      </c>
      <c r="X4" s="53">
        <f t="shared" si="14"/>
        <v>-1.1560422386846072E-3</v>
      </c>
      <c r="Y4" s="55">
        <f t="shared" si="15"/>
        <v>110240.7576159305</v>
      </c>
      <c r="Z4" s="22"/>
      <c r="AA4" s="23" t="s">
        <v>100</v>
      </c>
      <c r="AB4" s="8">
        <f ca="1">AB3-AB2</f>
        <v>10538.017564430498</v>
      </c>
    </row>
    <row r="5" spans="1:29">
      <c r="A5" s="10">
        <v>4</v>
      </c>
      <c r="B5" s="69" t="s">
        <v>68</v>
      </c>
      <c r="C5" s="70" t="s">
        <v>227</v>
      </c>
      <c r="D5" s="52">
        <v>44565</v>
      </c>
      <c r="E5" s="9">
        <v>225.15</v>
      </c>
      <c r="F5" s="52"/>
      <c r="G5" s="9">
        <v>0</v>
      </c>
      <c r="H5" s="9">
        <f ca="1">IFERROR(__xludf.DUMMYFUNCTION("GOOGLEFINANCE(""NSE:""&amp;B5,""price"")"),382.4)</f>
        <v>382.4</v>
      </c>
      <c r="I5" s="10">
        <v>22</v>
      </c>
      <c r="J5" s="9">
        <f t="shared" si="0"/>
        <v>4953.3</v>
      </c>
      <c r="K5" s="9">
        <f t="shared" si="1"/>
        <v>4953.3</v>
      </c>
      <c r="L5" s="9">
        <f t="shared" ca="1" si="2"/>
        <v>3459.4999999999995</v>
      </c>
      <c r="M5" s="53">
        <f t="shared" ca="1" si="3"/>
        <v>0.69842327337330656</v>
      </c>
      <c r="N5" s="9">
        <f t="shared" si="4"/>
        <v>0</v>
      </c>
      <c r="O5" s="53">
        <f t="shared" si="5"/>
        <v>0</v>
      </c>
      <c r="P5" s="9">
        <f t="shared" si="6"/>
        <v>4.9533000000000005</v>
      </c>
      <c r="Q5" s="9">
        <f t="shared" si="7"/>
        <v>0.16098224999999999</v>
      </c>
      <c r="R5" s="9">
        <f t="shared" si="8"/>
        <v>2.8976804999999998E-2</v>
      </c>
      <c r="S5" s="9">
        <f t="shared" si="9"/>
        <v>2.4766499999999999E-3</v>
      </c>
      <c r="T5" s="9">
        <f t="shared" si="10"/>
        <v>5.1457357050000008</v>
      </c>
      <c r="U5" s="9">
        <f t="shared" si="11"/>
        <v>0</v>
      </c>
      <c r="V5" s="9">
        <f t="shared" si="12"/>
        <v>5.1457357050000008</v>
      </c>
      <c r="W5" s="9">
        <f t="shared" si="13"/>
        <v>0</v>
      </c>
      <c r="X5" s="53">
        <f t="shared" si="14"/>
        <v>0</v>
      </c>
      <c r="Y5" s="9">
        <f t="shared" si="15"/>
        <v>110240.7576159305</v>
      </c>
      <c r="Z5" s="22"/>
      <c r="AA5" s="23" t="s">
        <v>103</v>
      </c>
      <c r="AB5" s="24">
        <f ca="1">AB4/AB2</f>
        <v>9.6679060224133015E-2</v>
      </c>
    </row>
    <row r="6" spans="1:29">
      <c r="A6" s="10">
        <v>5</v>
      </c>
      <c r="B6" s="69" t="s">
        <v>68</v>
      </c>
      <c r="C6" s="70" t="s">
        <v>227</v>
      </c>
      <c r="D6" s="52">
        <v>44565</v>
      </c>
      <c r="E6" s="9">
        <v>225.15</v>
      </c>
      <c r="F6" s="52">
        <v>44657</v>
      </c>
      <c r="G6" s="9">
        <v>293.55</v>
      </c>
      <c r="H6" s="9">
        <f ca="1">IFERROR(__xludf.DUMMYFUNCTION("GOOGLEFINANCE(""NSE:""&amp;B6,""price"")"),382.4)</f>
        <v>382.4</v>
      </c>
      <c r="I6" s="10">
        <v>30</v>
      </c>
      <c r="J6" s="9">
        <f t="shared" si="0"/>
        <v>6754.5</v>
      </c>
      <c r="K6" s="9">
        <f t="shared" si="1"/>
        <v>15561.000000000002</v>
      </c>
      <c r="L6" s="9">
        <f t="shared" si="2"/>
        <v>0</v>
      </c>
      <c r="M6" s="53">
        <f t="shared" si="3"/>
        <v>0</v>
      </c>
      <c r="N6" s="9">
        <f t="shared" si="4"/>
        <v>2052</v>
      </c>
      <c r="O6" s="53">
        <f t="shared" si="5"/>
        <v>0.30379746835443039</v>
      </c>
      <c r="P6" s="9">
        <f t="shared" si="6"/>
        <v>15.561000000000002</v>
      </c>
      <c r="Q6" s="9">
        <f t="shared" si="7"/>
        <v>0.50573250000000003</v>
      </c>
      <c r="R6" s="9">
        <f t="shared" si="8"/>
        <v>9.1031849999999997E-2</v>
      </c>
      <c r="S6" s="9">
        <f t="shared" si="9"/>
        <v>7.780500000000001E-3</v>
      </c>
      <c r="T6" s="9">
        <f t="shared" si="10"/>
        <v>16.16554485</v>
      </c>
      <c r="U6" s="9">
        <f t="shared" si="11"/>
        <v>15.34</v>
      </c>
      <c r="V6" s="9">
        <f t="shared" si="12"/>
        <v>31.50554485</v>
      </c>
      <c r="W6" s="9">
        <f t="shared" si="13"/>
        <v>2020.49445515</v>
      </c>
      <c r="X6" s="53">
        <f t="shared" si="14"/>
        <v>0.29913308981419795</v>
      </c>
      <c r="Y6" s="9">
        <f t="shared" si="15"/>
        <v>112261.2520710805</v>
      </c>
      <c r="Z6" s="22"/>
      <c r="AA6" s="22"/>
      <c r="AB6" s="26"/>
    </row>
    <row r="7" spans="1:29">
      <c r="A7" s="10">
        <v>6</v>
      </c>
      <c r="B7" s="9" t="s">
        <v>23</v>
      </c>
      <c r="C7" s="10" t="s">
        <v>140</v>
      </c>
      <c r="D7" s="52">
        <v>44565</v>
      </c>
      <c r="E7" s="9">
        <v>1520</v>
      </c>
      <c r="F7" s="52">
        <v>44574</v>
      </c>
      <c r="G7" s="9">
        <v>1539.1</v>
      </c>
      <c r="H7" s="9">
        <f ca="1">IFERROR(__xludf.DUMMYFUNCTION("GOOGLEFINANCE(""NSE:""&amp;B7,""price"")"),997)</f>
        <v>997</v>
      </c>
      <c r="I7" s="10">
        <v>10</v>
      </c>
      <c r="J7" s="9">
        <f t="shared" si="0"/>
        <v>15200</v>
      </c>
      <c r="K7" s="9">
        <f t="shared" si="1"/>
        <v>30591</v>
      </c>
      <c r="L7" s="9">
        <f t="shared" si="2"/>
        <v>0</v>
      </c>
      <c r="M7" s="53">
        <f t="shared" si="3"/>
        <v>0</v>
      </c>
      <c r="N7" s="9">
        <f t="shared" si="4"/>
        <v>190.99999999999909</v>
      </c>
      <c r="O7" s="53">
        <f t="shared" si="5"/>
        <v>1.256578947368415E-2</v>
      </c>
      <c r="P7" s="9">
        <f t="shared" si="6"/>
        <v>30.591000000000001</v>
      </c>
      <c r="Q7" s="9">
        <f t="shared" si="7"/>
        <v>0.99420749999999991</v>
      </c>
      <c r="R7" s="9">
        <f t="shared" si="8"/>
        <v>0.17895734999999999</v>
      </c>
      <c r="S7" s="9">
        <f t="shared" si="9"/>
        <v>1.52955E-2</v>
      </c>
      <c r="T7" s="9">
        <f t="shared" si="10"/>
        <v>31.779460350000004</v>
      </c>
      <c r="U7" s="9">
        <v>23.6</v>
      </c>
      <c r="V7" s="9">
        <f t="shared" si="12"/>
        <v>55.379460350000002</v>
      </c>
      <c r="W7" s="9">
        <f t="shared" si="13"/>
        <v>135.6205396499991</v>
      </c>
      <c r="X7" s="53">
        <f t="shared" si="14"/>
        <v>8.9224039243420462E-3</v>
      </c>
      <c r="Y7" s="9">
        <f>SUM(Y5,W7)</f>
        <v>110376.3781555805</v>
      </c>
      <c r="AA7" s="114" t="s">
        <v>76</v>
      </c>
      <c r="AB7" s="125" t="s">
        <v>229</v>
      </c>
    </row>
    <row r="8" spans="1:29">
      <c r="A8" s="10">
        <v>7</v>
      </c>
      <c r="B8" s="9" t="s">
        <v>59</v>
      </c>
      <c r="C8" s="10" t="s">
        <v>140</v>
      </c>
      <c r="D8" s="52">
        <v>44565</v>
      </c>
      <c r="E8" s="9">
        <v>1938</v>
      </c>
      <c r="F8" s="52">
        <v>44574</v>
      </c>
      <c r="G8" s="9">
        <v>1985.3</v>
      </c>
      <c r="H8" s="9">
        <f ca="1">IFERROR(__xludf.DUMMYFUNCTION("GOOGLEFINANCE(""NSE:""&amp;B8,""price"")"),4070)</f>
        <v>4070</v>
      </c>
      <c r="I8" s="10">
        <v>15</v>
      </c>
      <c r="J8" s="9">
        <f t="shared" si="0"/>
        <v>29070</v>
      </c>
      <c r="K8" s="9">
        <f t="shared" si="1"/>
        <v>58849.5</v>
      </c>
      <c r="L8" s="9">
        <f t="shared" si="2"/>
        <v>0</v>
      </c>
      <c r="M8" s="53">
        <f t="shared" si="3"/>
        <v>0</v>
      </c>
      <c r="N8" s="9">
        <f t="shared" si="4"/>
        <v>709.49999999999932</v>
      </c>
      <c r="O8" s="53">
        <f t="shared" si="5"/>
        <v>2.4406604747162001E-2</v>
      </c>
      <c r="P8" s="9">
        <f t="shared" si="6"/>
        <v>58.849499999999999</v>
      </c>
      <c r="Q8" s="9">
        <f t="shared" si="7"/>
        <v>1.9126087499999997</v>
      </c>
      <c r="R8" s="9">
        <f t="shared" si="8"/>
        <v>0.34426957499999994</v>
      </c>
      <c r="S8" s="9">
        <f t="shared" si="9"/>
        <v>2.942475E-2</v>
      </c>
      <c r="T8" s="9">
        <f t="shared" si="10"/>
        <v>61.135803074999991</v>
      </c>
      <c r="U8" s="9">
        <v>23.6</v>
      </c>
      <c r="V8" s="9">
        <f t="shared" si="12"/>
        <v>84.735803074999993</v>
      </c>
      <c r="W8" s="9">
        <f t="shared" si="13"/>
        <v>624.76419692499928</v>
      </c>
      <c r="X8" s="53">
        <f t="shared" si="14"/>
        <v>2.1491716440488452E-2</v>
      </c>
      <c r="Y8" s="9">
        <f t="shared" ref="Y8:Y27" si="16">SUM(Y7,W8)</f>
        <v>111001.1423525055</v>
      </c>
      <c r="AA8" s="132">
        <v>44572</v>
      </c>
      <c r="AB8" s="127">
        <v>1252.9920109424993</v>
      </c>
    </row>
    <row r="9" spans="1:29">
      <c r="A9" s="10">
        <v>8</v>
      </c>
      <c r="B9" s="9" t="s">
        <v>34</v>
      </c>
      <c r="C9" s="51" t="s">
        <v>109</v>
      </c>
      <c r="D9" s="52">
        <v>44568</v>
      </c>
      <c r="E9" s="9">
        <v>1293.3</v>
      </c>
      <c r="F9" s="52"/>
      <c r="G9" s="9">
        <v>0</v>
      </c>
      <c r="H9" s="9">
        <f ca="1">IFERROR(__xludf.DUMMYFUNCTION("GOOGLEFINANCE(""NSE:""&amp;B9,""price"")"),1674.8)</f>
        <v>1674.8</v>
      </c>
      <c r="I9" s="10">
        <v>10</v>
      </c>
      <c r="J9" s="9">
        <f t="shared" si="0"/>
        <v>12933</v>
      </c>
      <c r="K9" s="9">
        <f t="shared" si="1"/>
        <v>12933</v>
      </c>
      <c r="L9" s="9">
        <f t="shared" ca="1" si="2"/>
        <v>3815</v>
      </c>
      <c r="M9" s="53">
        <f t="shared" ca="1" si="3"/>
        <v>0.29498182942859352</v>
      </c>
      <c r="N9" s="9">
        <f t="shared" si="4"/>
        <v>0</v>
      </c>
      <c r="O9" s="53">
        <f t="shared" si="5"/>
        <v>0</v>
      </c>
      <c r="P9" s="9">
        <f t="shared" si="6"/>
        <v>12.933</v>
      </c>
      <c r="Q9" s="9">
        <f t="shared" si="7"/>
        <v>0.42032249999999999</v>
      </c>
      <c r="R9" s="9">
        <f t="shared" si="8"/>
        <v>7.5658049999999991E-2</v>
      </c>
      <c r="S9" s="9">
        <f t="shared" si="9"/>
        <v>6.4665E-3</v>
      </c>
      <c r="T9" s="9">
        <f t="shared" si="10"/>
        <v>13.435447049999999</v>
      </c>
      <c r="U9" s="9">
        <f t="shared" ref="U9:U12" si="17">IF(G9&gt;0,16,0)</f>
        <v>0</v>
      </c>
      <c r="V9" s="9">
        <f t="shared" si="12"/>
        <v>13.435447049999999</v>
      </c>
      <c r="W9" s="9">
        <f t="shared" si="13"/>
        <v>0</v>
      </c>
      <c r="X9" s="53">
        <f t="shared" si="14"/>
        <v>0</v>
      </c>
      <c r="Y9" s="9">
        <f t="shared" si="16"/>
        <v>111001.1423525055</v>
      </c>
      <c r="AA9" s="133">
        <v>44574</v>
      </c>
      <c r="AB9" s="129">
        <v>760.38473657499844</v>
      </c>
    </row>
    <row r="10" spans="1:29">
      <c r="A10" s="10">
        <v>9</v>
      </c>
      <c r="B10" s="9" t="s">
        <v>34</v>
      </c>
      <c r="C10" s="10" t="s">
        <v>109</v>
      </c>
      <c r="D10" s="52">
        <v>44589</v>
      </c>
      <c r="E10" s="9">
        <v>1090.7</v>
      </c>
      <c r="F10" s="52"/>
      <c r="G10" s="9">
        <v>0</v>
      </c>
      <c r="H10" s="9">
        <f ca="1">IFERROR(__xludf.DUMMYFUNCTION("GOOGLEFINANCE(""NSE:""&amp;B10,""price"")"),1674.8)</f>
        <v>1674.8</v>
      </c>
      <c r="I10" s="10">
        <v>7</v>
      </c>
      <c r="J10" s="9">
        <f t="shared" si="0"/>
        <v>7634.9000000000005</v>
      </c>
      <c r="K10" s="9">
        <f t="shared" si="1"/>
        <v>7634.9000000000005</v>
      </c>
      <c r="L10" s="9">
        <f t="shared" ca="1" si="2"/>
        <v>4088.6999999999994</v>
      </c>
      <c r="M10" s="53">
        <f t="shared" ca="1" si="3"/>
        <v>0.53552764279820286</v>
      </c>
      <c r="N10" s="9">
        <f t="shared" si="4"/>
        <v>0</v>
      </c>
      <c r="O10" s="53">
        <f t="shared" si="5"/>
        <v>0</v>
      </c>
      <c r="P10" s="9">
        <f t="shared" si="6"/>
        <v>7.6349000000000009</v>
      </c>
      <c r="Q10" s="9">
        <f t="shared" si="7"/>
        <v>0.24813425</v>
      </c>
      <c r="R10" s="9">
        <f t="shared" si="8"/>
        <v>4.4664164999999999E-2</v>
      </c>
      <c r="S10" s="9">
        <f t="shared" si="9"/>
        <v>3.81745E-3</v>
      </c>
      <c r="T10" s="9">
        <f t="shared" si="10"/>
        <v>7.9315158650000006</v>
      </c>
      <c r="U10" s="9">
        <f t="shared" si="17"/>
        <v>0</v>
      </c>
      <c r="V10" s="9">
        <f t="shared" si="12"/>
        <v>7.9315158650000006</v>
      </c>
      <c r="W10" s="9">
        <f t="shared" si="13"/>
        <v>0</v>
      </c>
      <c r="X10" s="53">
        <f t="shared" si="14"/>
        <v>0</v>
      </c>
      <c r="Y10" s="9">
        <f t="shared" si="16"/>
        <v>111001.1423525055</v>
      </c>
      <c r="AA10" s="133">
        <v>44600</v>
      </c>
      <c r="AB10" s="129">
        <v>1121.7229305000001</v>
      </c>
    </row>
    <row r="11" spans="1:29">
      <c r="A11" s="10">
        <v>10</v>
      </c>
      <c r="B11" s="9" t="s">
        <v>230</v>
      </c>
      <c r="C11" s="10" t="s">
        <v>227</v>
      </c>
      <c r="D11" s="52">
        <v>44589</v>
      </c>
      <c r="E11" s="9">
        <v>3741.85</v>
      </c>
      <c r="F11" s="52">
        <v>44630</v>
      </c>
      <c r="G11" s="9">
        <v>4107.05</v>
      </c>
      <c r="H11" s="9">
        <v>3400</v>
      </c>
      <c r="I11" s="10">
        <v>3</v>
      </c>
      <c r="J11" s="9">
        <f t="shared" si="0"/>
        <v>11225.55</v>
      </c>
      <c r="K11" s="9">
        <f t="shared" si="1"/>
        <v>23546.699999999997</v>
      </c>
      <c r="L11" s="9">
        <f t="shared" si="2"/>
        <v>0</v>
      </c>
      <c r="M11" s="53">
        <f t="shared" si="3"/>
        <v>0</v>
      </c>
      <c r="N11" s="9">
        <f t="shared" si="4"/>
        <v>1095.6000000000008</v>
      </c>
      <c r="O11" s="53">
        <f t="shared" si="5"/>
        <v>9.7598781351470598E-2</v>
      </c>
      <c r="P11" s="9">
        <f t="shared" si="6"/>
        <v>23.546699999999998</v>
      </c>
      <c r="Q11" s="9">
        <f t="shared" si="7"/>
        <v>0.7652677499999998</v>
      </c>
      <c r="R11" s="9">
        <f t="shared" si="8"/>
        <v>0.13774819499999996</v>
      </c>
      <c r="S11" s="9">
        <f t="shared" si="9"/>
        <v>1.1773349999999998E-2</v>
      </c>
      <c r="T11" s="9">
        <f t="shared" si="10"/>
        <v>24.461489294999996</v>
      </c>
      <c r="U11" s="9">
        <f t="shared" si="17"/>
        <v>16</v>
      </c>
      <c r="V11" s="9">
        <f t="shared" si="12"/>
        <v>40.461489294999993</v>
      </c>
      <c r="W11" s="9">
        <f t="shared" si="13"/>
        <v>1055.1385107050007</v>
      </c>
      <c r="X11" s="53">
        <f t="shared" si="14"/>
        <v>9.3994370939954011E-2</v>
      </c>
      <c r="Y11" s="9">
        <f t="shared" si="16"/>
        <v>112056.2808632105</v>
      </c>
      <c r="AA11" s="133">
        <v>44630</v>
      </c>
      <c r="AB11" s="129">
        <v>1055.1385107050007</v>
      </c>
    </row>
    <row r="12" spans="1:29">
      <c r="A12" s="10">
        <v>11</v>
      </c>
      <c r="B12" s="57" t="s">
        <v>231</v>
      </c>
      <c r="C12" s="62" t="s">
        <v>140</v>
      </c>
      <c r="D12" s="58">
        <v>44600</v>
      </c>
      <c r="E12" s="9">
        <v>230</v>
      </c>
      <c r="F12" s="58">
        <v>44600</v>
      </c>
      <c r="G12" s="57">
        <v>248</v>
      </c>
      <c r="H12" s="9">
        <f ca="1">IFERROR(__xludf.DUMMYFUNCTION("GOOGLEFINANCE(""NSE:""&amp;B12,""price"")"),238.85)</f>
        <v>238.85</v>
      </c>
      <c r="I12" s="59">
        <v>65</v>
      </c>
      <c r="J12" s="9">
        <f t="shared" si="0"/>
        <v>14950</v>
      </c>
      <c r="K12" s="9">
        <f t="shared" si="1"/>
        <v>31070</v>
      </c>
      <c r="L12" s="9">
        <f t="shared" si="2"/>
        <v>0</v>
      </c>
      <c r="M12" s="53">
        <f t="shared" si="3"/>
        <v>0</v>
      </c>
      <c r="N12" s="9">
        <f t="shared" si="4"/>
        <v>1170</v>
      </c>
      <c r="O12" s="53">
        <f t="shared" si="5"/>
        <v>7.8260869565217397E-2</v>
      </c>
      <c r="P12" s="9">
        <f t="shared" si="6"/>
        <v>31.07</v>
      </c>
      <c r="Q12" s="9">
        <f t="shared" si="7"/>
        <v>1.0097749999999999</v>
      </c>
      <c r="R12" s="9">
        <f t="shared" si="8"/>
        <v>0.18175949999999996</v>
      </c>
      <c r="S12" s="9">
        <f t="shared" si="9"/>
        <v>1.5534999999999998E-2</v>
      </c>
      <c r="T12" s="9">
        <f t="shared" si="10"/>
        <v>32.277069499999996</v>
      </c>
      <c r="U12" s="9">
        <f t="shared" si="17"/>
        <v>16</v>
      </c>
      <c r="V12" s="9">
        <f t="shared" si="12"/>
        <v>48.277069499999996</v>
      </c>
      <c r="W12" s="9">
        <f t="shared" si="13"/>
        <v>1121.7229305000001</v>
      </c>
      <c r="X12" s="53">
        <f t="shared" si="14"/>
        <v>7.5031634147157189E-2</v>
      </c>
      <c r="Y12" s="9">
        <f t="shared" si="16"/>
        <v>113178.00379371049</v>
      </c>
      <c r="AA12" s="133">
        <v>44631</v>
      </c>
      <c r="AB12" s="129">
        <v>766.4670036</v>
      </c>
      <c r="AC12" s="8"/>
    </row>
    <row r="13" spans="1:29">
      <c r="A13" s="10">
        <v>12</v>
      </c>
      <c r="B13" s="60" t="s">
        <v>232</v>
      </c>
      <c r="C13" s="10" t="s">
        <v>140</v>
      </c>
      <c r="D13" s="52">
        <v>44629</v>
      </c>
      <c r="E13" s="9">
        <v>1990</v>
      </c>
      <c r="F13" s="52">
        <v>44631</v>
      </c>
      <c r="G13" s="9">
        <v>2093</v>
      </c>
      <c r="H13" s="9">
        <f ca="1">IFERROR(__xludf.DUMMYFUNCTION("GOOGLEFINANCE(""NSE:""&amp;B13,""price"")"),2298.1)</f>
        <v>2298.1</v>
      </c>
      <c r="I13" s="10">
        <v>8</v>
      </c>
      <c r="J13" s="9">
        <f t="shared" si="0"/>
        <v>15920</v>
      </c>
      <c r="K13" s="9">
        <f t="shared" si="1"/>
        <v>32664</v>
      </c>
      <c r="L13" s="9">
        <f t="shared" si="2"/>
        <v>0</v>
      </c>
      <c r="M13" s="53">
        <f t="shared" si="3"/>
        <v>0</v>
      </c>
      <c r="N13" s="9">
        <f t="shared" si="4"/>
        <v>824</v>
      </c>
      <c r="O13" s="53">
        <f t="shared" si="5"/>
        <v>5.1758793969849247E-2</v>
      </c>
      <c r="P13" s="9">
        <f t="shared" si="6"/>
        <v>32.664000000000001</v>
      </c>
      <c r="Q13" s="9">
        <f t="shared" si="7"/>
        <v>1.06158</v>
      </c>
      <c r="R13" s="9">
        <f t="shared" si="8"/>
        <v>0.19108439999999999</v>
      </c>
      <c r="S13" s="9">
        <f t="shared" si="9"/>
        <v>1.6331999999999999E-2</v>
      </c>
      <c r="T13" s="9">
        <f t="shared" si="10"/>
        <v>33.9329964</v>
      </c>
      <c r="U13" s="9">
        <v>23.6</v>
      </c>
      <c r="V13" s="9">
        <f t="shared" si="12"/>
        <v>57.532996400000002</v>
      </c>
      <c r="W13" s="9">
        <f t="shared" si="13"/>
        <v>766.4670036</v>
      </c>
      <c r="X13" s="53">
        <f t="shared" si="14"/>
        <v>4.8144912286432161E-2</v>
      </c>
      <c r="Y13" s="9">
        <f t="shared" si="16"/>
        <v>113944.4707973105</v>
      </c>
      <c r="AA13" s="133">
        <v>44634</v>
      </c>
      <c r="AB13" s="129">
        <v>717.08473758999867</v>
      </c>
    </row>
    <row r="14" spans="1:29">
      <c r="A14" s="10">
        <v>13</v>
      </c>
      <c r="B14" s="60" t="s">
        <v>233</v>
      </c>
      <c r="C14" s="10" t="s">
        <v>140</v>
      </c>
      <c r="D14" s="52">
        <v>44634</v>
      </c>
      <c r="E14" s="9">
        <v>2056.8000000000002</v>
      </c>
      <c r="F14" s="52">
        <v>44634</v>
      </c>
      <c r="G14" s="9">
        <v>2167</v>
      </c>
      <c r="H14" s="9">
        <f ca="1">IFERROR(__xludf.DUMMYFUNCTION("GOOGLEFINANCE(""NSE:""&amp;B14,""price"")"),1697.9)</f>
        <v>1697.9</v>
      </c>
      <c r="I14" s="10">
        <v>7</v>
      </c>
      <c r="J14" s="9">
        <f t="shared" si="0"/>
        <v>14397.600000000002</v>
      </c>
      <c r="K14" s="9">
        <f t="shared" si="1"/>
        <v>29566.600000000002</v>
      </c>
      <c r="L14" s="9">
        <f t="shared" si="2"/>
        <v>0</v>
      </c>
      <c r="M14" s="53">
        <f t="shared" si="3"/>
        <v>0</v>
      </c>
      <c r="N14" s="9">
        <f t="shared" si="4"/>
        <v>771.39999999999873</v>
      </c>
      <c r="O14" s="53">
        <f t="shared" si="5"/>
        <v>5.3578374173473262E-2</v>
      </c>
      <c r="P14" s="9">
        <f t="shared" si="6"/>
        <v>29.566600000000001</v>
      </c>
      <c r="Q14" s="9">
        <f t="shared" si="7"/>
        <v>0.9609145</v>
      </c>
      <c r="R14" s="9">
        <f t="shared" si="8"/>
        <v>0.17296460999999999</v>
      </c>
      <c r="S14" s="9">
        <f t="shared" si="9"/>
        <v>1.4783300000000001E-2</v>
      </c>
      <c r="T14" s="9">
        <f t="shared" si="10"/>
        <v>30.715262410000005</v>
      </c>
      <c r="U14" s="9">
        <v>23.6</v>
      </c>
      <c r="V14" s="9">
        <f t="shared" si="12"/>
        <v>54.315262410000003</v>
      </c>
      <c r="W14" s="9">
        <f t="shared" si="13"/>
        <v>717.08473758999867</v>
      </c>
      <c r="X14" s="53">
        <f t="shared" si="14"/>
        <v>4.9805852196893825E-2</v>
      </c>
      <c r="Y14" s="9">
        <f t="shared" si="16"/>
        <v>114661.5555349005</v>
      </c>
      <c r="AA14" s="133">
        <v>44637</v>
      </c>
      <c r="AB14" s="129">
        <v>628.53610849999723</v>
      </c>
    </row>
    <row r="15" spans="1:29">
      <c r="A15" s="10">
        <v>14</v>
      </c>
      <c r="B15" s="61" t="s">
        <v>234</v>
      </c>
      <c r="C15" s="51" t="s">
        <v>140</v>
      </c>
      <c r="D15" s="52">
        <v>44634</v>
      </c>
      <c r="E15" s="9">
        <v>1070.4000000000001</v>
      </c>
      <c r="F15" s="52">
        <v>44637</v>
      </c>
      <c r="G15" s="9">
        <v>1115.5999999999999</v>
      </c>
      <c r="H15" s="9">
        <f ca="1">IFERROR(__xludf.DUMMYFUNCTION("GOOGLEFINANCE(""NSE:""&amp;B15,""price"")"),2024)</f>
        <v>2024</v>
      </c>
      <c r="I15" s="10">
        <v>15</v>
      </c>
      <c r="J15" s="9">
        <f t="shared" si="0"/>
        <v>16056.000000000002</v>
      </c>
      <c r="K15" s="9">
        <f t="shared" si="1"/>
        <v>32790</v>
      </c>
      <c r="L15" s="9">
        <f t="shared" si="2"/>
        <v>0</v>
      </c>
      <c r="M15" s="53">
        <f t="shared" si="3"/>
        <v>0</v>
      </c>
      <c r="N15" s="9">
        <f t="shared" si="4"/>
        <v>677.99999999999727</v>
      </c>
      <c r="O15" s="53">
        <f t="shared" si="5"/>
        <v>4.2227204783258421E-2</v>
      </c>
      <c r="P15" s="9">
        <f t="shared" si="6"/>
        <v>32.79</v>
      </c>
      <c r="Q15" s="9">
        <f t="shared" si="7"/>
        <v>1.0656749999999999</v>
      </c>
      <c r="R15" s="9">
        <f t="shared" si="8"/>
        <v>0.19182149999999998</v>
      </c>
      <c r="S15" s="9">
        <f t="shared" si="9"/>
        <v>1.6395E-2</v>
      </c>
      <c r="T15" s="9">
        <f t="shared" si="10"/>
        <v>34.063891500000004</v>
      </c>
      <c r="U15" s="9">
        <v>15.4</v>
      </c>
      <c r="V15" s="9">
        <f t="shared" si="12"/>
        <v>49.463891500000003</v>
      </c>
      <c r="W15" s="9">
        <f t="shared" si="13"/>
        <v>628.53610849999723</v>
      </c>
      <c r="X15" s="53">
        <f t="shared" si="14"/>
        <v>3.9146494052067583E-2</v>
      </c>
      <c r="Y15" s="9">
        <f t="shared" si="16"/>
        <v>115290.0916434005</v>
      </c>
      <c r="AA15" s="133">
        <v>44644</v>
      </c>
      <c r="AB15" s="129">
        <v>195.70412647500001</v>
      </c>
    </row>
    <row r="16" spans="1:29" ht="13.2">
      <c r="A16" s="10">
        <v>15</v>
      </c>
      <c r="B16" s="10" t="s">
        <v>235</v>
      </c>
      <c r="C16" s="51" t="s">
        <v>227</v>
      </c>
      <c r="D16" s="52">
        <v>44634</v>
      </c>
      <c r="E16" s="9">
        <v>777</v>
      </c>
      <c r="F16" s="52">
        <v>44652</v>
      </c>
      <c r="G16" s="9">
        <v>792.7</v>
      </c>
      <c r="H16" s="9">
        <f ca="1">IFERROR(__xludf.DUMMYFUNCTION("GOOGLEFINANCE(""NSE:""&amp;B16,""price"")"),1144.1)</f>
        <v>1144.0999999999999</v>
      </c>
      <c r="I16" s="10">
        <v>15</v>
      </c>
      <c r="J16" s="9">
        <f t="shared" si="0"/>
        <v>11655</v>
      </c>
      <c r="K16" s="9">
        <f t="shared" si="1"/>
        <v>23545.5</v>
      </c>
      <c r="L16" s="9">
        <f t="shared" si="2"/>
        <v>0</v>
      </c>
      <c r="M16" s="53">
        <f t="shared" si="3"/>
        <v>0</v>
      </c>
      <c r="N16" s="9">
        <f t="shared" si="4"/>
        <v>235.50000000000068</v>
      </c>
      <c r="O16" s="53">
        <f t="shared" si="5"/>
        <v>2.0205920205920266E-2</v>
      </c>
      <c r="P16" s="9">
        <f t="shared" si="6"/>
        <v>23.545500000000001</v>
      </c>
      <c r="Q16" s="9">
        <f t="shared" si="7"/>
        <v>0.7652287499999999</v>
      </c>
      <c r="R16" s="9">
        <f t="shared" si="8"/>
        <v>0.13774117499999997</v>
      </c>
      <c r="S16" s="9">
        <f t="shared" si="9"/>
        <v>1.177275E-2</v>
      </c>
      <c r="T16" s="9">
        <f t="shared" si="10"/>
        <v>24.460242674999996</v>
      </c>
      <c r="U16" s="9">
        <v>15.34</v>
      </c>
      <c r="V16" s="9">
        <f t="shared" si="12"/>
        <v>39.800242674999993</v>
      </c>
      <c r="W16" s="9">
        <f t="shared" si="13"/>
        <v>195.69975732500069</v>
      </c>
      <c r="X16" s="53">
        <f t="shared" si="14"/>
        <v>1.679105596954103E-2</v>
      </c>
      <c r="Y16" s="9">
        <f t="shared" si="16"/>
        <v>115485.7914007255</v>
      </c>
      <c r="AA16" s="133">
        <v>44648</v>
      </c>
      <c r="AB16" s="129">
        <v>-238.0400952</v>
      </c>
    </row>
    <row r="17" spans="1:28">
      <c r="A17" s="10">
        <v>16</v>
      </c>
      <c r="B17" s="9" t="s">
        <v>39</v>
      </c>
      <c r="C17" s="51" t="s">
        <v>140</v>
      </c>
      <c r="D17" s="52">
        <v>44642</v>
      </c>
      <c r="E17" s="9">
        <v>2522.9</v>
      </c>
      <c r="F17" s="52">
        <v>44644</v>
      </c>
      <c r="G17" s="9">
        <v>2570.4</v>
      </c>
      <c r="H17" s="9">
        <f ca="1">IFERROR(__xludf.DUMMYFUNCTION("GOOGLEFINANCE(""NSE:""&amp;B17,""price"")"),1569)</f>
        <v>1569</v>
      </c>
      <c r="I17" s="10">
        <v>5</v>
      </c>
      <c r="J17" s="9">
        <f t="shared" si="0"/>
        <v>12614.5</v>
      </c>
      <c r="K17" s="9">
        <f t="shared" si="1"/>
        <v>25466.5</v>
      </c>
      <c r="L17" s="9">
        <f t="shared" si="2"/>
        <v>0</v>
      </c>
      <c r="M17" s="53">
        <f t="shared" si="3"/>
        <v>0</v>
      </c>
      <c r="N17" s="9">
        <f t="shared" si="4"/>
        <v>237.5</v>
      </c>
      <c r="O17" s="53">
        <f t="shared" si="5"/>
        <v>1.8827539736018074E-2</v>
      </c>
      <c r="P17" s="9">
        <f t="shared" si="6"/>
        <v>25.4665</v>
      </c>
      <c r="Q17" s="9">
        <f t="shared" si="7"/>
        <v>0.8276612499999999</v>
      </c>
      <c r="R17" s="9">
        <f t="shared" si="8"/>
        <v>0.14897902499999999</v>
      </c>
      <c r="S17" s="9">
        <f t="shared" si="9"/>
        <v>1.273325E-2</v>
      </c>
      <c r="T17" s="9">
        <f t="shared" si="10"/>
        <v>26.455873524999998</v>
      </c>
      <c r="U17" s="9">
        <v>15.34</v>
      </c>
      <c r="V17" s="9">
        <f t="shared" si="12"/>
        <v>41.795873524999998</v>
      </c>
      <c r="W17" s="9">
        <f t="shared" si="13"/>
        <v>195.70412647500001</v>
      </c>
      <c r="X17" s="53">
        <f t="shared" si="14"/>
        <v>1.5514219864045345E-2</v>
      </c>
      <c r="Y17" s="9">
        <f t="shared" si="16"/>
        <v>115681.4955272005</v>
      </c>
      <c r="AA17" s="133">
        <v>44651</v>
      </c>
      <c r="AB17" s="129">
        <v>184.98707632499955</v>
      </c>
    </row>
    <row r="18" spans="1:28">
      <c r="A18" s="10">
        <v>17</v>
      </c>
      <c r="B18" s="9" t="s">
        <v>173</v>
      </c>
      <c r="C18" s="10" t="s">
        <v>140</v>
      </c>
      <c r="D18" s="52">
        <v>44643</v>
      </c>
      <c r="E18" s="9">
        <v>3718</v>
      </c>
      <c r="F18" s="52">
        <v>44648</v>
      </c>
      <c r="G18" s="9">
        <v>3670</v>
      </c>
      <c r="H18" s="9">
        <f ca="1">IFERROR(__xludf.DUMMYFUNCTION("GOOGLEFINANCE(""NSE:""&amp;B18,""price"")"),3305.1)</f>
        <v>3305.1</v>
      </c>
      <c r="I18" s="10">
        <v>4</v>
      </c>
      <c r="J18" s="9">
        <f t="shared" si="0"/>
        <v>14872</v>
      </c>
      <c r="K18" s="9">
        <f t="shared" si="1"/>
        <v>29552</v>
      </c>
      <c r="L18" s="9">
        <f t="shared" si="2"/>
        <v>0</v>
      </c>
      <c r="M18" s="53">
        <f t="shared" si="3"/>
        <v>0</v>
      </c>
      <c r="N18" s="9">
        <f t="shared" si="4"/>
        <v>-192</v>
      </c>
      <c r="O18" s="53">
        <f t="shared" si="5"/>
        <v>-1.2910166756320602E-2</v>
      </c>
      <c r="P18" s="9">
        <f t="shared" si="6"/>
        <v>29.552</v>
      </c>
      <c r="Q18" s="9">
        <f t="shared" si="7"/>
        <v>0.96043999999999996</v>
      </c>
      <c r="R18" s="9">
        <f t="shared" si="8"/>
        <v>0.17287919999999998</v>
      </c>
      <c r="S18" s="9">
        <f t="shared" si="9"/>
        <v>1.4775999999999999E-2</v>
      </c>
      <c r="T18" s="9">
        <f t="shared" si="10"/>
        <v>30.7000952</v>
      </c>
      <c r="U18" s="9">
        <v>15.34</v>
      </c>
      <c r="V18" s="9">
        <f t="shared" si="12"/>
        <v>46.040095199999996</v>
      </c>
      <c r="W18" s="9">
        <f t="shared" si="13"/>
        <v>-238.0400952</v>
      </c>
      <c r="X18" s="53">
        <f t="shared" si="14"/>
        <v>-1.600592356105433E-2</v>
      </c>
      <c r="Y18" s="9">
        <f t="shared" si="16"/>
        <v>115443.4554320005</v>
      </c>
      <c r="AA18" s="133">
        <v>44652</v>
      </c>
      <c r="AB18" s="129">
        <v>195.69975732500069</v>
      </c>
    </row>
    <row r="19" spans="1:28">
      <c r="A19" s="10">
        <v>18</v>
      </c>
      <c r="B19" s="69" t="s">
        <v>23</v>
      </c>
      <c r="C19" s="70" t="s">
        <v>140</v>
      </c>
      <c r="D19" s="52">
        <v>44644</v>
      </c>
      <c r="E19" s="9">
        <v>1439</v>
      </c>
      <c r="F19" s="52">
        <v>44651</v>
      </c>
      <c r="G19" s="9">
        <v>1482.1</v>
      </c>
      <c r="H19" s="9">
        <f ca="1">IFERROR(__xludf.DUMMYFUNCTION("GOOGLEFINANCE(""NSE:""&amp;B19,""price"")"),997)</f>
        <v>997</v>
      </c>
      <c r="I19" s="10">
        <v>5</v>
      </c>
      <c r="J19" s="9">
        <f t="shared" si="0"/>
        <v>7195</v>
      </c>
      <c r="K19" s="9">
        <f t="shared" si="1"/>
        <v>14605.5</v>
      </c>
      <c r="L19" s="9">
        <f t="shared" si="2"/>
        <v>0</v>
      </c>
      <c r="M19" s="53">
        <f t="shared" si="3"/>
        <v>0</v>
      </c>
      <c r="N19" s="9">
        <f t="shared" si="4"/>
        <v>215.49999999999955</v>
      </c>
      <c r="O19" s="53">
        <f t="shared" si="5"/>
        <v>2.9951355107713625E-2</v>
      </c>
      <c r="P19" s="9">
        <f t="shared" si="6"/>
        <v>14.605500000000001</v>
      </c>
      <c r="Q19" s="9">
        <f t="shared" si="7"/>
        <v>0.47467874999999998</v>
      </c>
      <c r="R19" s="9">
        <f t="shared" si="8"/>
        <v>8.5442174999999995E-2</v>
      </c>
      <c r="S19" s="9">
        <f t="shared" si="9"/>
        <v>7.3027499999999993E-3</v>
      </c>
      <c r="T19" s="9">
        <f t="shared" si="10"/>
        <v>15.172923675000002</v>
      </c>
      <c r="U19" s="9">
        <v>15.34</v>
      </c>
      <c r="V19" s="9">
        <f t="shared" si="12"/>
        <v>30.512923675000003</v>
      </c>
      <c r="W19" s="9">
        <f t="shared" si="13"/>
        <v>184.98707632499955</v>
      </c>
      <c r="X19" s="53">
        <f t="shared" si="14"/>
        <v>2.571050400625428E-2</v>
      </c>
      <c r="Y19" s="9">
        <f t="shared" si="16"/>
        <v>115628.44250832549</v>
      </c>
      <c r="AA19" s="133">
        <v>44655</v>
      </c>
      <c r="AB19" s="129">
        <v>1134.2417596624996</v>
      </c>
    </row>
    <row r="20" spans="1:28">
      <c r="A20" s="10">
        <v>19</v>
      </c>
      <c r="B20" s="69" t="s">
        <v>23</v>
      </c>
      <c r="C20" s="71" t="s">
        <v>140</v>
      </c>
      <c r="D20" s="52">
        <v>44644</v>
      </c>
      <c r="E20" s="9">
        <v>1439</v>
      </c>
      <c r="F20" s="52">
        <v>44655</v>
      </c>
      <c r="G20" s="9">
        <v>1646.75</v>
      </c>
      <c r="H20" s="9">
        <f ca="1">IFERROR(__xludf.DUMMYFUNCTION("GOOGLEFINANCE(""NSE:""&amp;B20,""price"")"),997)</f>
        <v>997</v>
      </c>
      <c r="I20" s="10">
        <v>5</v>
      </c>
      <c r="J20" s="9">
        <f t="shared" si="0"/>
        <v>7195</v>
      </c>
      <c r="K20" s="9">
        <f t="shared" si="1"/>
        <v>15428.75</v>
      </c>
      <c r="L20" s="9">
        <f t="shared" si="2"/>
        <v>0</v>
      </c>
      <c r="M20" s="53">
        <f t="shared" si="3"/>
        <v>0</v>
      </c>
      <c r="N20" s="9">
        <f t="shared" si="4"/>
        <v>1038.75</v>
      </c>
      <c r="O20" s="53">
        <f t="shared" si="5"/>
        <v>0.14437109103544127</v>
      </c>
      <c r="P20" s="9">
        <f t="shared" si="6"/>
        <v>15.428750000000001</v>
      </c>
      <c r="Q20" s="9">
        <f t="shared" si="7"/>
        <v>0.50143437499999999</v>
      </c>
      <c r="R20" s="9">
        <f t="shared" si="8"/>
        <v>9.0258187499999989E-2</v>
      </c>
      <c r="S20" s="9">
        <f t="shared" si="9"/>
        <v>7.7143749999999999E-3</v>
      </c>
      <c r="T20" s="9">
        <f t="shared" si="10"/>
        <v>16.0281569375</v>
      </c>
      <c r="U20" s="9">
        <v>15.34</v>
      </c>
      <c r="V20" s="9">
        <f t="shared" si="12"/>
        <v>31.3681569375</v>
      </c>
      <c r="W20" s="9">
        <f t="shared" si="13"/>
        <v>1007.3818430625</v>
      </c>
      <c r="X20" s="53">
        <f t="shared" si="14"/>
        <v>0.14001137499131341</v>
      </c>
      <c r="Y20" s="9">
        <f t="shared" si="16"/>
        <v>116635.82435138799</v>
      </c>
      <c r="AA20" s="133">
        <v>44657</v>
      </c>
      <c r="AB20" s="129">
        <v>2020.49445515</v>
      </c>
    </row>
    <row r="21" spans="1:28">
      <c r="A21" s="10">
        <v>20</v>
      </c>
      <c r="B21" s="69" t="s">
        <v>147</v>
      </c>
      <c r="C21" s="71" t="s">
        <v>140</v>
      </c>
      <c r="D21" s="52">
        <v>44649</v>
      </c>
      <c r="E21" s="9">
        <v>437.6</v>
      </c>
      <c r="F21" s="52">
        <v>44655</v>
      </c>
      <c r="G21" s="9">
        <v>448</v>
      </c>
      <c r="H21" s="9" t="str">
        <f ca="1">IFERROR(__xludf.DUMMYFUNCTION("GOOGLEFINANCE(""NSE:""&amp;B21,""price"")"),"#N/A")</f>
        <v>#N/A</v>
      </c>
      <c r="I21" s="10">
        <v>15</v>
      </c>
      <c r="J21" s="9">
        <f t="shared" si="0"/>
        <v>6564</v>
      </c>
      <c r="K21" s="9">
        <f t="shared" si="1"/>
        <v>13284</v>
      </c>
      <c r="L21" s="9">
        <f t="shared" si="2"/>
        <v>0</v>
      </c>
      <c r="M21" s="53">
        <f t="shared" si="3"/>
        <v>0</v>
      </c>
      <c r="N21" s="9">
        <f t="shared" si="4"/>
        <v>155.99999999999966</v>
      </c>
      <c r="O21" s="53">
        <f t="shared" si="5"/>
        <v>2.3765996343692818E-2</v>
      </c>
      <c r="P21" s="9">
        <f t="shared" si="6"/>
        <v>13.284000000000001</v>
      </c>
      <c r="Q21" s="9">
        <f t="shared" si="7"/>
        <v>0.43172999999999995</v>
      </c>
      <c r="R21" s="9">
        <f t="shared" si="8"/>
        <v>7.7711399999999986E-2</v>
      </c>
      <c r="S21" s="9">
        <f t="shared" si="9"/>
        <v>6.6419999999999995E-3</v>
      </c>
      <c r="T21" s="9">
        <f t="shared" si="10"/>
        <v>13.8000834</v>
      </c>
      <c r="U21" s="9">
        <v>15.34</v>
      </c>
      <c r="V21" s="9">
        <f t="shared" si="12"/>
        <v>29.140083400000002</v>
      </c>
      <c r="W21" s="9">
        <f t="shared" si="13"/>
        <v>126.85991659999965</v>
      </c>
      <c r="X21" s="53">
        <f t="shared" si="14"/>
        <v>1.9326617397928039E-2</v>
      </c>
      <c r="Y21" s="9">
        <f t="shared" si="16"/>
        <v>116762.68426798799</v>
      </c>
      <c r="AA21" s="133">
        <v>44712</v>
      </c>
      <c r="AB21" s="129">
        <v>307.83358398249948</v>
      </c>
    </row>
    <row r="22" spans="1:28">
      <c r="A22" s="10">
        <v>21</v>
      </c>
      <c r="B22" s="69" t="s">
        <v>147</v>
      </c>
      <c r="C22" s="71" t="s">
        <v>140</v>
      </c>
      <c r="D22" s="52">
        <v>44649</v>
      </c>
      <c r="E22" s="9">
        <v>437.6</v>
      </c>
      <c r="F22" s="52">
        <v>44712</v>
      </c>
      <c r="G22" s="9">
        <v>448.75</v>
      </c>
      <c r="H22" s="9" t="str">
        <f ca="1">IFERROR(__xludf.DUMMYFUNCTION("GOOGLEFINANCE(""NSE:""&amp;B22,""price"")"),"#N/A")</f>
        <v>#N/A</v>
      </c>
      <c r="I22" s="10">
        <v>15</v>
      </c>
      <c r="J22" s="9">
        <f t="shared" si="0"/>
        <v>6564</v>
      </c>
      <c r="K22" s="9">
        <f t="shared" si="1"/>
        <v>13295.25</v>
      </c>
      <c r="L22" s="9">
        <f t="shared" si="2"/>
        <v>0</v>
      </c>
      <c r="M22" s="53">
        <f t="shared" si="3"/>
        <v>0</v>
      </c>
      <c r="N22" s="9">
        <f t="shared" si="4"/>
        <v>167.24999999999966</v>
      </c>
      <c r="O22" s="53">
        <f t="shared" si="5"/>
        <v>2.5479890310786051E-2</v>
      </c>
      <c r="P22" s="9">
        <f t="shared" si="6"/>
        <v>13.295250000000001</v>
      </c>
      <c r="Q22" s="9">
        <f t="shared" si="7"/>
        <v>0.43209562499999998</v>
      </c>
      <c r="R22" s="9">
        <f t="shared" si="8"/>
        <v>7.7777212499999998E-2</v>
      </c>
      <c r="S22" s="9">
        <f t="shared" si="9"/>
        <v>6.6476249999999999E-3</v>
      </c>
      <c r="T22" s="9">
        <f t="shared" si="10"/>
        <v>13.8117704625</v>
      </c>
      <c r="U22" s="9">
        <v>15.34</v>
      </c>
      <c r="V22" s="9">
        <f t="shared" si="12"/>
        <v>29.1517704625</v>
      </c>
      <c r="W22" s="9">
        <f t="shared" si="13"/>
        <v>138.09822953749966</v>
      </c>
      <c r="X22" s="53">
        <f t="shared" si="14"/>
        <v>2.1038730886273563E-2</v>
      </c>
      <c r="Y22" s="9">
        <f t="shared" si="16"/>
        <v>116900.78249752549</v>
      </c>
      <c r="AA22" s="133">
        <v>44896</v>
      </c>
      <c r="AB22" s="129">
        <v>-172.05948807499999</v>
      </c>
    </row>
    <row r="23" spans="1:28">
      <c r="A23" s="10">
        <v>22</v>
      </c>
      <c r="B23" s="9" t="s">
        <v>23</v>
      </c>
      <c r="C23" s="51" t="s">
        <v>227</v>
      </c>
      <c r="D23" s="52">
        <v>44662</v>
      </c>
      <c r="E23" s="9">
        <v>1505.2</v>
      </c>
      <c r="F23" s="52">
        <v>44904</v>
      </c>
      <c r="G23" s="9">
        <v>1624.85</v>
      </c>
      <c r="H23" s="9">
        <f ca="1">IFERROR(__xludf.DUMMYFUNCTION("GOOGLEFINANCE(""NSE:""&amp;B23,""price"")"),997)</f>
        <v>997</v>
      </c>
      <c r="I23" s="10">
        <v>10</v>
      </c>
      <c r="J23" s="9">
        <f t="shared" si="0"/>
        <v>15052</v>
      </c>
      <c r="K23" s="9">
        <f t="shared" si="1"/>
        <v>31300.5</v>
      </c>
      <c r="L23" s="9">
        <f t="shared" si="2"/>
        <v>0</v>
      </c>
      <c r="M23" s="53">
        <f t="shared" si="3"/>
        <v>0</v>
      </c>
      <c r="N23" s="9">
        <f t="shared" si="4"/>
        <v>1196.4999999999986</v>
      </c>
      <c r="O23" s="53">
        <f t="shared" si="5"/>
        <v>7.9491097528567534E-2</v>
      </c>
      <c r="P23" s="9">
        <f t="shared" si="6"/>
        <v>31.3005</v>
      </c>
      <c r="Q23" s="9">
        <f t="shared" si="7"/>
        <v>1.0172662499999998</v>
      </c>
      <c r="R23" s="9">
        <f t="shared" si="8"/>
        <v>0.18310792499999995</v>
      </c>
      <c r="S23" s="9">
        <f t="shared" si="9"/>
        <v>1.5650250000000001E-2</v>
      </c>
      <c r="T23" s="9">
        <f t="shared" si="10"/>
        <v>32.516524425</v>
      </c>
      <c r="U23" s="9">
        <v>15.34</v>
      </c>
      <c r="V23" s="9">
        <f t="shared" si="12"/>
        <v>47.856524425000003</v>
      </c>
      <c r="W23" s="9">
        <f t="shared" si="13"/>
        <v>1148.6434755749985</v>
      </c>
      <c r="X23" s="53">
        <f t="shared" si="14"/>
        <v>7.631168453195579E-2</v>
      </c>
      <c r="Y23" s="9">
        <f t="shared" si="16"/>
        <v>118049.42597310049</v>
      </c>
      <c r="AA23" s="133">
        <v>44903</v>
      </c>
      <c r="AB23" s="129">
        <v>-12.234395011999197</v>
      </c>
    </row>
    <row r="24" spans="1:28">
      <c r="A24" s="10">
        <v>24</v>
      </c>
      <c r="B24" s="9" t="s">
        <v>230</v>
      </c>
      <c r="C24" s="51" t="s">
        <v>140</v>
      </c>
      <c r="D24" s="52">
        <v>44678</v>
      </c>
      <c r="E24" s="9">
        <v>3549.5</v>
      </c>
      <c r="F24" s="52">
        <v>44896</v>
      </c>
      <c r="G24" s="9">
        <v>3400</v>
      </c>
      <c r="H24" s="9">
        <v>3400</v>
      </c>
      <c r="I24" s="10">
        <v>1</v>
      </c>
      <c r="J24" s="9">
        <f t="shared" si="0"/>
        <v>3549.5</v>
      </c>
      <c r="K24" s="9">
        <f t="shared" si="1"/>
        <v>6949.5</v>
      </c>
      <c r="L24" s="9">
        <f t="shared" si="2"/>
        <v>0</v>
      </c>
      <c r="M24" s="53">
        <f t="shared" si="3"/>
        <v>0</v>
      </c>
      <c r="N24" s="9">
        <f t="shared" si="4"/>
        <v>-149.5</v>
      </c>
      <c r="O24" s="53">
        <f t="shared" si="5"/>
        <v>-4.2118608254683755E-2</v>
      </c>
      <c r="P24" s="9">
        <f t="shared" si="6"/>
        <v>6.9495000000000005</v>
      </c>
      <c r="Q24" s="9">
        <f t="shared" si="7"/>
        <v>0.22585874999999997</v>
      </c>
      <c r="R24" s="9">
        <f t="shared" si="8"/>
        <v>4.0654574999999991E-2</v>
      </c>
      <c r="S24" s="9">
        <f t="shared" si="9"/>
        <v>3.47475E-3</v>
      </c>
      <c r="T24" s="9">
        <f t="shared" si="10"/>
        <v>7.2194880749999992</v>
      </c>
      <c r="U24" s="9">
        <v>15.34</v>
      </c>
      <c r="V24" s="9">
        <f t="shared" si="12"/>
        <v>22.559488074999997</v>
      </c>
      <c r="W24" s="9">
        <f t="shared" si="13"/>
        <v>-172.05948807499999</v>
      </c>
      <c r="X24" s="53">
        <f t="shared" si="14"/>
        <v>-4.8474288794196366E-2</v>
      </c>
      <c r="Y24" s="9">
        <f t="shared" si="16"/>
        <v>117877.36648502549</v>
      </c>
      <c r="AA24" s="133">
        <v>44904</v>
      </c>
      <c r="AB24" s="129">
        <v>1148.6434755749985</v>
      </c>
    </row>
    <row r="25" spans="1:28">
      <c r="A25" s="10">
        <v>25</v>
      </c>
      <c r="B25" s="9" t="s">
        <v>23</v>
      </c>
      <c r="C25" s="10" t="s">
        <v>140</v>
      </c>
      <c r="D25" s="52">
        <v>44694</v>
      </c>
      <c r="E25" s="9">
        <v>1305.9000000000001</v>
      </c>
      <c r="F25" s="52">
        <v>44712</v>
      </c>
      <c r="G25" s="9">
        <v>1401.25</v>
      </c>
      <c r="H25" s="9">
        <f ca="1">IFERROR(__xludf.DUMMYFUNCTION("GOOGLEFINANCE(""NSE:""&amp;B25,""price"")"),997)</f>
        <v>997</v>
      </c>
      <c r="I25" s="10">
        <v>2</v>
      </c>
      <c r="J25" s="9">
        <f t="shared" si="0"/>
        <v>2611.8000000000002</v>
      </c>
      <c r="K25" s="9">
        <f t="shared" si="1"/>
        <v>5414.3</v>
      </c>
      <c r="L25" s="9">
        <f t="shared" si="2"/>
        <v>0</v>
      </c>
      <c r="M25" s="53">
        <f t="shared" si="3"/>
        <v>0</v>
      </c>
      <c r="N25" s="9">
        <f t="shared" si="4"/>
        <v>190.69999999999982</v>
      </c>
      <c r="O25" s="53">
        <f t="shared" si="5"/>
        <v>7.3014779079561914E-2</v>
      </c>
      <c r="P25" s="9">
        <f t="shared" si="6"/>
        <v>5.4142999999999999</v>
      </c>
      <c r="Q25" s="9">
        <f t="shared" si="7"/>
        <v>0.17596475</v>
      </c>
      <c r="R25" s="9">
        <f t="shared" si="8"/>
        <v>3.1673655000000002E-2</v>
      </c>
      <c r="S25" s="9">
        <f t="shared" si="9"/>
        <v>2.7071500000000002E-3</v>
      </c>
      <c r="T25" s="9">
        <f t="shared" si="10"/>
        <v>5.6246455549999999</v>
      </c>
      <c r="U25" s="9">
        <v>15.34</v>
      </c>
      <c r="V25" s="9">
        <f t="shared" si="12"/>
        <v>20.964645555000001</v>
      </c>
      <c r="W25" s="9">
        <f t="shared" si="13"/>
        <v>169.73535444499981</v>
      </c>
      <c r="X25" s="53">
        <f t="shared" si="14"/>
        <v>6.4987883622405929E-2</v>
      </c>
      <c r="Y25" s="9">
        <f t="shared" si="16"/>
        <v>118047.10183947049</v>
      </c>
      <c r="AA25" s="133">
        <v>44911</v>
      </c>
      <c r="AB25" s="129">
        <v>-529.57873019000124</v>
      </c>
    </row>
    <row r="26" spans="1:28">
      <c r="A26" s="10">
        <v>26</v>
      </c>
      <c r="B26" s="9" t="s">
        <v>199</v>
      </c>
      <c r="C26" s="51" t="s">
        <v>140</v>
      </c>
      <c r="D26" s="52">
        <v>44903</v>
      </c>
      <c r="E26" s="9">
        <v>784</v>
      </c>
      <c r="F26" s="52">
        <v>44911</v>
      </c>
      <c r="G26" s="9">
        <v>758.8</v>
      </c>
      <c r="H26" s="9">
        <f ca="1">IFERROR(__xludf.DUMMYFUNCTION("GOOGLEFINANCE(""NSE:""&amp;B26,""price"")"),512.3)</f>
        <v>512.29999999999995</v>
      </c>
      <c r="I26" s="10">
        <v>13</v>
      </c>
      <c r="J26" s="9">
        <f t="shared" si="0"/>
        <v>10192</v>
      </c>
      <c r="K26" s="9">
        <f t="shared" si="1"/>
        <v>20056.399999999998</v>
      </c>
      <c r="L26" s="9">
        <f t="shared" si="2"/>
        <v>0</v>
      </c>
      <c r="M26" s="53">
        <f t="shared" si="3"/>
        <v>0</v>
      </c>
      <c r="N26" s="9">
        <f t="shared" si="4"/>
        <v>-327.60000000000059</v>
      </c>
      <c r="O26" s="53">
        <f t="shared" si="5"/>
        <v>-3.2142857142857202E-2</v>
      </c>
      <c r="P26" s="9">
        <f t="shared" si="6"/>
        <v>20.0564</v>
      </c>
      <c r="Q26" s="9">
        <f t="shared" si="7"/>
        <v>0.65183299999999988</v>
      </c>
      <c r="R26" s="9">
        <f t="shared" si="8"/>
        <v>0.11732993999999998</v>
      </c>
      <c r="S26" s="9">
        <f t="shared" si="9"/>
        <v>1.0028199999999999E-2</v>
      </c>
      <c r="T26" s="9">
        <f t="shared" si="10"/>
        <v>20.835591140000002</v>
      </c>
      <c r="U26" s="9">
        <v>15.34</v>
      </c>
      <c r="V26" s="9">
        <f t="shared" si="12"/>
        <v>36.175591140000002</v>
      </c>
      <c r="W26" s="9">
        <f t="shared" si="13"/>
        <v>-363.77559114000059</v>
      </c>
      <c r="X26" s="53">
        <f t="shared" si="14"/>
        <v>-3.569226757653067E-2</v>
      </c>
      <c r="Y26" s="9">
        <f t="shared" si="16"/>
        <v>117683.32624833049</v>
      </c>
      <c r="AA26" s="119" t="s">
        <v>276</v>
      </c>
      <c r="AB26" s="129">
        <v>0</v>
      </c>
    </row>
    <row r="27" spans="1:28">
      <c r="A27" s="10">
        <v>27</v>
      </c>
      <c r="B27" s="9" t="s">
        <v>170</v>
      </c>
      <c r="C27" s="51" t="s">
        <v>140</v>
      </c>
      <c r="D27" s="52">
        <v>44909</v>
      </c>
      <c r="E27" s="9">
        <v>749.35</v>
      </c>
      <c r="F27" s="52">
        <v>44911</v>
      </c>
      <c r="G27" s="9">
        <v>740.15</v>
      </c>
      <c r="H27" s="9">
        <f ca="1">IFERROR(__xludf.DUMMYFUNCTION("GOOGLEFINANCE(""NSE:""&amp;B27,""price"")"),1095.9)</f>
        <v>1095.9000000000001</v>
      </c>
      <c r="I27" s="10">
        <v>14</v>
      </c>
      <c r="J27" s="9">
        <f t="shared" si="0"/>
        <v>10490.9</v>
      </c>
      <c r="K27" s="9">
        <f t="shared" si="1"/>
        <v>20853</v>
      </c>
      <c r="L27" s="9">
        <f t="shared" si="2"/>
        <v>0</v>
      </c>
      <c r="M27" s="53">
        <f t="shared" si="3"/>
        <v>0</v>
      </c>
      <c r="N27" s="9">
        <f t="shared" si="4"/>
        <v>-128.80000000000064</v>
      </c>
      <c r="O27" s="53">
        <f t="shared" si="5"/>
        <v>-1.2277306999399541E-2</v>
      </c>
      <c r="P27" s="9">
        <f t="shared" si="6"/>
        <v>20.853000000000002</v>
      </c>
      <c r="Q27" s="9">
        <f t="shared" si="7"/>
        <v>0.67772249999999989</v>
      </c>
      <c r="R27" s="9">
        <f t="shared" si="8"/>
        <v>0.12199004999999997</v>
      </c>
      <c r="S27" s="9">
        <f t="shared" si="9"/>
        <v>1.04265E-2</v>
      </c>
      <c r="T27" s="9">
        <f t="shared" si="10"/>
        <v>21.663139050000005</v>
      </c>
      <c r="U27" s="9">
        <v>15.34</v>
      </c>
      <c r="V27" s="9">
        <f t="shared" si="12"/>
        <v>37.003139050000001</v>
      </c>
      <c r="W27" s="9">
        <f t="shared" si="13"/>
        <v>-165.80313905000065</v>
      </c>
      <c r="X27" s="53">
        <f t="shared" si="14"/>
        <v>-1.5804472356995173E-2</v>
      </c>
      <c r="Y27" s="9">
        <f t="shared" si="16"/>
        <v>117517.52310928049</v>
      </c>
      <c r="AA27" s="122" t="s">
        <v>48</v>
      </c>
      <c r="AB27" s="131">
        <v>10538.017564430489</v>
      </c>
    </row>
    <row r="28" spans="1:28">
      <c r="A28" s="64"/>
      <c r="B28" s="104" t="s">
        <v>226</v>
      </c>
      <c r="C28" s="105"/>
      <c r="D28" s="105"/>
      <c r="E28" s="105"/>
      <c r="F28" s="105"/>
      <c r="G28" s="105"/>
      <c r="H28" s="105"/>
      <c r="I28" s="106"/>
      <c r="J28" s="67"/>
      <c r="K28" s="65">
        <f t="array" aca="1" ref="K28" ca="1">SUM(INDIRECT("J2"&amp; ":J" &amp; ROW()-1) )</f>
        <v>292773.05</v>
      </c>
      <c r="L28" s="65">
        <f t="array" aca="1" ref="L28" ca="1">SUM( INDIRECT("L2"&amp; ":L" &amp; ROW()-1) )</f>
        <v>3390.099999999999</v>
      </c>
      <c r="M28" s="66">
        <f ca="1">L28/AB2</f>
        <v>3.1101834862385311E-2</v>
      </c>
      <c r="N28" s="65">
        <f t="array" aca="1" ref="N28" ca="1">SUM(INDIRECT("N2"&amp; ":N" &amp; ROW()-1) )</f>
        <v>11450.369999999992</v>
      </c>
      <c r="O28" s="66">
        <f ca="1">N28/AB2</f>
        <v>0.10504926605504579</v>
      </c>
      <c r="P28" s="65">
        <f t="array" aca="1" ref="P28" ca="1">SUM(INDIRECT("P2"&amp; ":P" &amp; ROW()-1) )</f>
        <v>558.61877000000004</v>
      </c>
      <c r="Q28" s="65">
        <f t="array" aca="1" ref="Q28" ca="1">SUM(INDIRECT("Q2"&amp; ":Q" &amp; ROW()-1) )</f>
        <v>18.155110025000003</v>
      </c>
      <c r="R28" s="65">
        <f t="array" aca="1" ref="R28" ca="1">SUM(INDIRECT("R2"&amp; ":R" &amp; ROW()-1) )</f>
        <v>3.2679198044999995</v>
      </c>
      <c r="S28" s="65">
        <f t="array" aca="1" ref="S28" ca="1">SUM(INDIRECT("S2"&amp; ":S" &amp; ROW()-1) )</f>
        <v>0.27930938500000002</v>
      </c>
      <c r="T28" s="65">
        <f t="array" aca="1" ref="T28" ca="1">SUM(INDIRECT("T2"&amp; ":T" &amp; ROW()-1) )</f>
        <v>580.3211092145001</v>
      </c>
      <c r="U28" s="65">
        <f t="array" aca="1" ref="U28" ca="1">SUM(INDIRECT("U2"&amp; ":U" &amp; ROW()-1) )</f>
        <v>371.89999999999981</v>
      </c>
      <c r="V28" s="72">
        <f t="array" aca="1" ref="V28" ca="1">SUM(INDIRECT("V2"&amp; ":V" &amp; ROW()-1) )</f>
        <v>952.22110921449996</v>
      </c>
      <c r="W28" s="65">
        <f t="array" aca="1" ref="W28" ca="1">SUM(INDIRECT("W2"&amp; ":W" &amp; ROW()-1) )</f>
        <v>10538.017564430495</v>
      </c>
      <c r="X28" s="66">
        <f ca="1">W28/AB2</f>
        <v>9.6679060224132973E-2</v>
      </c>
      <c r="Y28" s="65">
        <f t="array" aca="1" ref="Y28" ca="1">AB2+SUM(INDIRECT("W2"&amp; ":W" &amp; ROW()-1) )-V28+W28</f>
        <v>129123.8140196465</v>
      </c>
    </row>
  </sheetData>
  <autoFilter ref="A1:Y28" xr:uid="{00000000-0009-0000-0000-00000B000000}"/>
  <mergeCells count="1">
    <mergeCell ref="B28:I28"/>
  </mergeCells>
  <conditionalFormatting sqref="L2:O28 W2:X28 AB4:AB6 AC12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5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3" max="3" width="9.44140625" customWidth="1"/>
    <col min="4" max="4" width="10.88671875" customWidth="1"/>
    <col min="5" max="5" width="8.33203125" customWidth="1"/>
    <col min="6" max="6" width="10.44140625" customWidth="1"/>
    <col min="7" max="8" width="8.33203125" customWidth="1"/>
    <col min="9" max="9" width="4.33203125" customWidth="1"/>
    <col min="10" max="11" width="10.21875" customWidth="1"/>
    <col min="12" max="12" width="11.88671875" customWidth="1"/>
    <col min="13" max="13" width="9.109375" customWidth="1"/>
    <col min="15" max="15" width="7.109375" customWidth="1"/>
    <col min="16" max="16" width="7" hidden="1" customWidth="1"/>
    <col min="17" max="17" width="9.77734375" hidden="1" customWidth="1"/>
    <col min="18" max="18" width="5.109375" hidden="1" customWidth="1"/>
    <col min="19" max="19" width="11.21875" hidden="1" customWidth="1"/>
    <col min="20" max="20" width="8" hidden="1" customWidth="1"/>
    <col min="21" max="21" width="10.109375" hidden="1" customWidth="1"/>
    <col min="22" max="22" width="11.21875" customWidth="1"/>
    <col min="23" max="23" width="9.33203125" customWidth="1"/>
    <col min="24" max="24" width="8.44140625" customWidth="1"/>
    <col min="26" max="26" width="7.109375" customWidth="1"/>
    <col min="27" max="27" width="17.88671875" customWidth="1"/>
  </cols>
  <sheetData>
    <row r="1" spans="1:29">
      <c r="A1" s="49" t="s">
        <v>236</v>
      </c>
      <c r="B1" s="49" t="s">
        <v>4</v>
      </c>
      <c r="C1" s="49" t="s">
        <v>73</v>
      </c>
      <c r="D1" s="49" t="s">
        <v>74</v>
      </c>
      <c r="E1" s="49" t="s">
        <v>75</v>
      </c>
      <c r="F1" s="49" t="s">
        <v>76</v>
      </c>
      <c r="G1" s="49" t="s">
        <v>77</v>
      </c>
      <c r="H1" s="49" t="s">
        <v>78</v>
      </c>
      <c r="I1" s="49" t="s">
        <v>79</v>
      </c>
      <c r="J1" s="49" t="s">
        <v>80</v>
      </c>
      <c r="K1" s="49" t="s">
        <v>81</v>
      </c>
      <c r="L1" s="49" t="s">
        <v>6</v>
      </c>
      <c r="M1" s="49" t="s">
        <v>82</v>
      </c>
      <c r="N1" s="49" t="s">
        <v>5</v>
      </c>
      <c r="O1" s="49" t="s">
        <v>85</v>
      </c>
      <c r="P1" s="49" t="s">
        <v>86</v>
      </c>
      <c r="Q1" s="49" t="s">
        <v>87</v>
      </c>
      <c r="R1" s="49" t="s">
        <v>88</v>
      </c>
      <c r="S1" s="49" t="s">
        <v>89</v>
      </c>
      <c r="T1" s="49" t="s">
        <v>90</v>
      </c>
      <c r="U1" s="49" t="s">
        <v>91</v>
      </c>
      <c r="V1" s="49" t="s">
        <v>92</v>
      </c>
      <c r="W1" s="49" t="s">
        <v>93</v>
      </c>
      <c r="X1" s="49" t="s">
        <v>94</v>
      </c>
      <c r="Y1" s="50" t="s">
        <v>95</v>
      </c>
      <c r="Z1" s="13"/>
      <c r="AA1" s="14"/>
    </row>
    <row r="2" spans="1:29" ht="15.75" customHeight="1">
      <c r="A2" s="10">
        <v>1</v>
      </c>
      <c r="B2" s="9" t="s">
        <v>51</v>
      </c>
      <c r="C2" s="51" t="s">
        <v>227</v>
      </c>
      <c r="D2" s="52">
        <v>44232</v>
      </c>
      <c r="E2" s="9">
        <v>408</v>
      </c>
      <c r="F2" s="52">
        <v>44229</v>
      </c>
      <c r="G2" s="9">
        <v>421</v>
      </c>
      <c r="H2" s="9">
        <f ca="1">IFERROR(__xludf.DUMMYFUNCTION("GOOGLEFINANCE(""NSE:""&amp;B2,""price"")"),271.3)</f>
        <v>271.3</v>
      </c>
      <c r="I2" s="10">
        <v>48</v>
      </c>
      <c r="J2" s="9">
        <f t="shared" ref="J2:J53" si="0">E2*I2</f>
        <v>19584</v>
      </c>
      <c r="K2" s="9">
        <f t="shared" ref="K2:K53" si="1">IF(G2&gt;0,(E2+G2)*I2,E2*I2)</f>
        <v>39792</v>
      </c>
      <c r="L2" s="9">
        <f t="shared" ref="L2:L5" si="2">IF(G2&gt;0,0,(G2-E2)*I2)</f>
        <v>0</v>
      </c>
      <c r="M2" s="53">
        <f t="shared" ref="M2:M53" si="3">IF(G2&gt;0,0,(H2-E2)/E2)</f>
        <v>0</v>
      </c>
      <c r="N2" s="9">
        <f t="shared" ref="N2:N53" si="4">IF(G2=0,0,(G2-E2)*I2)</f>
        <v>624</v>
      </c>
      <c r="O2" s="53">
        <f t="shared" ref="O2:O53" si="5">IF(G2&gt;0,(G2-E2)/E2,0)</f>
        <v>3.1862745098039214E-2</v>
      </c>
      <c r="P2" s="9">
        <f t="shared" ref="P2:P53" si="6">0.001*K2</f>
        <v>39.792000000000002</v>
      </c>
      <c r="Q2" s="9">
        <f t="shared" ref="Q2:Q53" si="7">0.0000325*K2</f>
        <v>1.2932399999999999</v>
      </c>
      <c r="R2" s="9">
        <f t="shared" ref="R2:R53" si="8">0.18*Q2</f>
        <v>0.23278319999999997</v>
      </c>
      <c r="S2" s="54">
        <f t="shared" ref="S2:S53" si="9">0.0000005*K2</f>
        <v>1.9896E-2</v>
      </c>
      <c r="T2" s="9">
        <f t="shared" ref="T2:T53" si="10">P2+Q2+R2+S2</f>
        <v>41.337919200000002</v>
      </c>
      <c r="U2" s="9">
        <f t="shared" ref="U2:U9" si="11">IF(G2&gt;0,16,0)</f>
        <v>16</v>
      </c>
      <c r="V2" s="9">
        <f t="shared" ref="V2:V35" si="12">T2+U2</f>
        <v>57.337919200000002</v>
      </c>
      <c r="W2" s="9">
        <f t="shared" ref="W2:W53" si="13">IF(G2&gt;0,N2-V2,0)</f>
        <v>566.66208080000001</v>
      </c>
      <c r="X2" s="53">
        <f t="shared" ref="X2:X53" si="14">W2/J2</f>
        <v>2.8934951021241832E-2</v>
      </c>
      <c r="Y2" s="55">
        <f>SUM($AB$2,W2)</f>
        <v>90566.662080800001</v>
      </c>
      <c r="Z2" s="22"/>
      <c r="AA2" s="23" t="s">
        <v>98</v>
      </c>
      <c r="AB2" s="8">
        <v>90000</v>
      </c>
    </row>
    <row r="3" spans="1:29">
      <c r="A3" s="10">
        <v>2</v>
      </c>
      <c r="B3" s="9" t="s">
        <v>133</v>
      </c>
      <c r="C3" s="10" t="s">
        <v>227</v>
      </c>
      <c r="D3" s="52">
        <v>44200</v>
      </c>
      <c r="E3" s="9">
        <v>917.78</v>
      </c>
      <c r="F3" s="52">
        <v>44229</v>
      </c>
      <c r="G3" s="9">
        <v>1160</v>
      </c>
      <c r="H3" s="9">
        <f ca="1">IFERROR(__xludf.DUMMYFUNCTION("GOOGLEFINANCE(""NSE:""&amp;B3,""price"")"),2823.1)</f>
        <v>2823.1</v>
      </c>
      <c r="I3" s="10">
        <v>27</v>
      </c>
      <c r="J3" s="9">
        <f t="shared" si="0"/>
        <v>24780.059999999998</v>
      </c>
      <c r="K3" s="9">
        <f t="shared" si="1"/>
        <v>56100.05999999999</v>
      </c>
      <c r="L3" s="9">
        <f t="shared" si="2"/>
        <v>0</v>
      </c>
      <c r="M3" s="53">
        <f t="shared" si="3"/>
        <v>0</v>
      </c>
      <c r="N3" s="9">
        <f t="shared" si="4"/>
        <v>6539.9400000000005</v>
      </c>
      <c r="O3" s="53">
        <f t="shared" si="5"/>
        <v>0.26391945782213605</v>
      </c>
      <c r="P3" s="9">
        <f t="shared" si="6"/>
        <v>56.100059999999992</v>
      </c>
      <c r="Q3" s="9">
        <f t="shared" si="7"/>
        <v>1.8232519499999995</v>
      </c>
      <c r="R3" s="9">
        <f t="shared" si="8"/>
        <v>0.3281853509999999</v>
      </c>
      <c r="S3" s="9">
        <f t="shared" si="9"/>
        <v>2.8050029999999993E-2</v>
      </c>
      <c r="T3" s="9">
        <f t="shared" si="10"/>
        <v>58.279547330999996</v>
      </c>
      <c r="U3" s="9">
        <f t="shared" si="11"/>
        <v>16</v>
      </c>
      <c r="V3" s="9">
        <f t="shared" si="12"/>
        <v>74.279547331000003</v>
      </c>
      <c r="W3" s="9">
        <f t="shared" si="13"/>
        <v>6465.6604526690007</v>
      </c>
      <c r="X3" s="53">
        <f t="shared" si="14"/>
        <v>0.26092190465515425</v>
      </c>
      <c r="Y3" s="55">
        <f t="shared" ref="Y3:Y50" si="15">SUM(Y2,W3)</f>
        <v>97032.322533469007</v>
      </c>
      <c r="Z3" s="22"/>
      <c r="AA3" s="23" t="s">
        <v>99</v>
      </c>
      <c r="AB3" s="8">
        <f ca="1">AB2+W54</f>
        <v>133070.98751397151</v>
      </c>
    </row>
    <row r="4" spans="1:29">
      <c r="A4" s="10">
        <v>3</v>
      </c>
      <c r="B4" s="10" t="s">
        <v>237</v>
      </c>
      <c r="C4" s="10" t="s">
        <v>140</v>
      </c>
      <c r="D4" s="52">
        <v>44196</v>
      </c>
      <c r="E4" s="9">
        <v>252</v>
      </c>
      <c r="F4" s="52">
        <v>44235</v>
      </c>
      <c r="G4" s="9">
        <v>228</v>
      </c>
      <c r="H4" s="9">
        <f ca="1">IFERROR(__xludf.DUMMYFUNCTION("GOOGLEFINANCE(""NSE:""&amp;B4,""price"")"),468.95)</f>
        <v>468.95</v>
      </c>
      <c r="I4" s="10">
        <v>25</v>
      </c>
      <c r="J4" s="9">
        <f t="shared" si="0"/>
        <v>6300</v>
      </c>
      <c r="K4" s="9">
        <f t="shared" si="1"/>
        <v>12000</v>
      </c>
      <c r="L4" s="9">
        <f t="shared" si="2"/>
        <v>0</v>
      </c>
      <c r="M4" s="53">
        <f t="shared" si="3"/>
        <v>0</v>
      </c>
      <c r="N4" s="9">
        <f t="shared" si="4"/>
        <v>-600</v>
      </c>
      <c r="O4" s="53">
        <f t="shared" si="5"/>
        <v>-9.5238095238095233E-2</v>
      </c>
      <c r="P4" s="9">
        <f t="shared" si="6"/>
        <v>12</v>
      </c>
      <c r="Q4" s="9">
        <f t="shared" si="7"/>
        <v>0.38999999999999996</v>
      </c>
      <c r="R4" s="9">
        <f t="shared" si="8"/>
        <v>7.0199999999999985E-2</v>
      </c>
      <c r="S4" s="9">
        <f t="shared" si="9"/>
        <v>6.0000000000000001E-3</v>
      </c>
      <c r="T4" s="9">
        <f t="shared" si="10"/>
        <v>12.466200000000001</v>
      </c>
      <c r="U4" s="9">
        <f t="shared" si="11"/>
        <v>16</v>
      </c>
      <c r="V4" s="9">
        <f t="shared" si="12"/>
        <v>28.466200000000001</v>
      </c>
      <c r="W4" s="9">
        <f t="shared" si="13"/>
        <v>-628.46619999999996</v>
      </c>
      <c r="X4" s="53">
        <f t="shared" si="14"/>
        <v>-9.9756539682539683E-2</v>
      </c>
      <c r="Y4" s="55">
        <f t="shared" si="15"/>
        <v>96403.856333469012</v>
      </c>
      <c r="Z4" s="22"/>
      <c r="AA4" s="23" t="s">
        <v>100</v>
      </c>
      <c r="AB4" s="8">
        <f ca="1">AB3-AB2</f>
        <v>43070.987513971515</v>
      </c>
    </row>
    <row r="5" spans="1:29">
      <c r="A5" s="10">
        <v>4</v>
      </c>
      <c r="B5" s="9" t="s">
        <v>238</v>
      </c>
      <c r="C5" s="10" t="s">
        <v>227</v>
      </c>
      <c r="D5" s="52">
        <v>44230</v>
      </c>
      <c r="E5" s="9">
        <v>938.12</v>
      </c>
      <c r="F5" s="52">
        <v>44231</v>
      </c>
      <c r="G5" s="9">
        <v>920.04</v>
      </c>
      <c r="H5" s="9">
        <f ca="1">IFERROR(__xludf.DUMMYFUNCTION("GOOGLEFINANCE(""NSE:""&amp;B5,""price"")"),1216.6)</f>
        <v>1216.5999999999999</v>
      </c>
      <c r="I5" s="10">
        <v>30</v>
      </c>
      <c r="J5" s="9">
        <f t="shared" si="0"/>
        <v>28143.599999999999</v>
      </c>
      <c r="K5" s="9">
        <f t="shared" si="1"/>
        <v>55744.799999999996</v>
      </c>
      <c r="L5" s="9">
        <f t="shared" si="2"/>
        <v>0</v>
      </c>
      <c r="M5" s="53">
        <f t="shared" si="3"/>
        <v>0</v>
      </c>
      <c r="N5" s="9">
        <f t="shared" si="4"/>
        <v>-542.40000000000123</v>
      </c>
      <c r="O5" s="53">
        <f t="shared" si="5"/>
        <v>-1.927258772864883E-2</v>
      </c>
      <c r="P5" s="9">
        <f t="shared" si="6"/>
        <v>55.744799999999998</v>
      </c>
      <c r="Q5" s="9">
        <f t="shared" si="7"/>
        <v>1.8117059999999996</v>
      </c>
      <c r="R5" s="9">
        <f t="shared" si="8"/>
        <v>0.32610707999999994</v>
      </c>
      <c r="S5" s="9">
        <f t="shared" si="9"/>
        <v>2.7872399999999995E-2</v>
      </c>
      <c r="T5" s="9">
        <f t="shared" si="10"/>
        <v>57.910485479999998</v>
      </c>
      <c r="U5" s="9">
        <f t="shared" si="11"/>
        <v>16</v>
      </c>
      <c r="V5" s="9">
        <f t="shared" si="12"/>
        <v>73.910485480000006</v>
      </c>
      <c r="W5" s="9">
        <f t="shared" si="13"/>
        <v>-616.31048548000126</v>
      </c>
      <c r="X5" s="53">
        <f t="shared" si="14"/>
        <v>-2.1898779313236447E-2</v>
      </c>
      <c r="Y5" s="9">
        <f t="shared" si="15"/>
        <v>95787.545847989008</v>
      </c>
      <c r="Z5" s="22"/>
      <c r="AA5" s="23" t="s">
        <v>103</v>
      </c>
      <c r="AB5" s="24">
        <f ca="1">AB4/AB2</f>
        <v>0.47856652793301685</v>
      </c>
    </row>
    <row r="6" spans="1:29">
      <c r="A6" s="10">
        <v>5</v>
      </c>
      <c r="B6" s="9" t="s">
        <v>238</v>
      </c>
      <c r="C6" s="51" t="s">
        <v>227</v>
      </c>
      <c r="D6" s="52">
        <v>44230</v>
      </c>
      <c r="E6" s="9">
        <v>938.12</v>
      </c>
      <c r="F6" s="52">
        <v>44302</v>
      </c>
      <c r="G6" s="9">
        <v>942</v>
      </c>
      <c r="H6" s="9">
        <f ca="1">IFERROR(__xludf.DUMMYFUNCTION("GOOGLEFINANCE(""NSE:""&amp;B6,""price"")"),1216.6)</f>
        <v>1216.5999999999999</v>
      </c>
      <c r="I6" s="10">
        <v>20</v>
      </c>
      <c r="J6" s="9">
        <f t="shared" si="0"/>
        <v>18762.400000000001</v>
      </c>
      <c r="K6" s="9">
        <f t="shared" si="1"/>
        <v>37602.399999999994</v>
      </c>
      <c r="L6" s="9">
        <f t="shared" ref="L6:L53" si="16">IF(G6&gt;0,0,(H6-E6)*I6)</f>
        <v>0</v>
      </c>
      <c r="M6" s="53">
        <f t="shared" si="3"/>
        <v>0</v>
      </c>
      <c r="N6" s="9">
        <f t="shared" si="4"/>
        <v>77.599999999999909</v>
      </c>
      <c r="O6" s="53">
        <f t="shared" si="5"/>
        <v>4.135931437342766E-3</v>
      </c>
      <c r="P6" s="9">
        <f t="shared" si="6"/>
        <v>37.602399999999996</v>
      </c>
      <c r="Q6" s="9">
        <f t="shared" si="7"/>
        <v>1.2220779999999998</v>
      </c>
      <c r="R6" s="9">
        <f t="shared" si="8"/>
        <v>0.21997403999999995</v>
      </c>
      <c r="S6" s="9">
        <f t="shared" si="9"/>
        <v>1.8801199999999997E-2</v>
      </c>
      <c r="T6" s="9">
        <f t="shared" si="10"/>
        <v>39.063253239999995</v>
      </c>
      <c r="U6" s="9">
        <f t="shared" si="11"/>
        <v>16</v>
      </c>
      <c r="V6" s="9">
        <f t="shared" si="12"/>
        <v>55.063253239999995</v>
      </c>
      <c r="W6" s="9">
        <f t="shared" si="13"/>
        <v>22.536746759999915</v>
      </c>
      <c r="X6" s="53">
        <f t="shared" si="14"/>
        <v>1.2011654564447998E-3</v>
      </c>
      <c r="Y6" s="9">
        <f t="shared" si="15"/>
        <v>95810.082594749008</v>
      </c>
    </row>
    <row r="7" spans="1:29">
      <c r="A7" s="10">
        <v>6</v>
      </c>
      <c r="B7" s="9" t="s">
        <v>14</v>
      </c>
      <c r="C7" s="51" t="s">
        <v>227</v>
      </c>
      <c r="D7" s="52">
        <v>44236</v>
      </c>
      <c r="E7" s="9">
        <v>2520</v>
      </c>
      <c r="F7" s="52">
        <v>44286</v>
      </c>
      <c r="G7" s="9">
        <v>2564</v>
      </c>
      <c r="H7" s="9">
        <f ca="1">IFERROR(__xludf.DUMMYFUNCTION("GOOGLEFINANCE(""NSE:""&amp;B7,""price"")"),2808)</f>
        <v>2808</v>
      </c>
      <c r="I7" s="10">
        <v>5</v>
      </c>
      <c r="J7" s="9">
        <f t="shared" si="0"/>
        <v>12600</v>
      </c>
      <c r="K7" s="9">
        <f t="shared" si="1"/>
        <v>25420</v>
      </c>
      <c r="L7" s="9">
        <f t="shared" si="16"/>
        <v>0</v>
      </c>
      <c r="M7" s="53">
        <f t="shared" si="3"/>
        <v>0</v>
      </c>
      <c r="N7" s="9">
        <f t="shared" si="4"/>
        <v>220</v>
      </c>
      <c r="O7" s="53">
        <f t="shared" si="5"/>
        <v>1.7460317460317461E-2</v>
      </c>
      <c r="P7" s="9">
        <f t="shared" si="6"/>
        <v>25.42</v>
      </c>
      <c r="Q7" s="9">
        <f t="shared" si="7"/>
        <v>0.82614999999999994</v>
      </c>
      <c r="R7" s="9">
        <f t="shared" si="8"/>
        <v>0.14870699999999998</v>
      </c>
      <c r="S7" s="9">
        <f t="shared" si="9"/>
        <v>1.2709999999999999E-2</v>
      </c>
      <c r="T7" s="9">
        <f t="shared" si="10"/>
        <v>26.407567</v>
      </c>
      <c r="U7" s="9">
        <f t="shared" si="11"/>
        <v>16</v>
      </c>
      <c r="V7" s="9">
        <f t="shared" si="12"/>
        <v>42.407567</v>
      </c>
      <c r="W7" s="9">
        <f t="shared" si="13"/>
        <v>177.592433</v>
      </c>
      <c r="X7" s="53">
        <f t="shared" si="14"/>
        <v>1.409463753968254E-2</v>
      </c>
      <c r="Y7" s="9">
        <f t="shared" si="15"/>
        <v>95987.675027749006</v>
      </c>
      <c r="AA7" s="114" t="s">
        <v>76</v>
      </c>
      <c r="AB7" s="125" t="s">
        <v>229</v>
      </c>
    </row>
    <row r="8" spans="1:29">
      <c r="A8" s="10">
        <v>7</v>
      </c>
      <c r="B8" s="9" t="s">
        <v>239</v>
      </c>
      <c r="C8" s="51" t="s">
        <v>227</v>
      </c>
      <c r="D8" s="52">
        <v>44235</v>
      </c>
      <c r="E8" s="9">
        <v>220.8</v>
      </c>
      <c r="F8" s="52">
        <v>44356</v>
      </c>
      <c r="G8" s="9">
        <v>223.75</v>
      </c>
      <c r="H8" s="9">
        <f ca="1">IFERROR(__xludf.DUMMYFUNCTION("GOOGLEFINANCE(""NSE:""&amp;B8,""price"")"),91.8)</f>
        <v>91.8</v>
      </c>
      <c r="I8" s="10">
        <v>24</v>
      </c>
      <c r="J8" s="9">
        <f t="shared" si="0"/>
        <v>5299.2000000000007</v>
      </c>
      <c r="K8" s="9">
        <f t="shared" si="1"/>
        <v>10669.2</v>
      </c>
      <c r="L8" s="9">
        <f t="shared" si="16"/>
        <v>0</v>
      </c>
      <c r="M8" s="53">
        <f t="shared" si="3"/>
        <v>0</v>
      </c>
      <c r="N8" s="9">
        <f t="shared" si="4"/>
        <v>70.799999999999727</v>
      </c>
      <c r="O8" s="53">
        <f t="shared" si="5"/>
        <v>1.336050724637676E-2</v>
      </c>
      <c r="P8" s="9">
        <f t="shared" si="6"/>
        <v>10.669200000000002</v>
      </c>
      <c r="Q8" s="9">
        <f t="shared" si="7"/>
        <v>0.34674899999999997</v>
      </c>
      <c r="R8" s="9">
        <f t="shared" si="8"/>
        <v>6.2414819999999996E-2</v>
      </c>
      <c r="S8" s="9">
        <f t="shared" si="9"/>
        <v>5.3346000000000001E-3</v>
      </c>
      <c r="T8" s="9">
        <f t="shared" si="10"/>
        <v>11.083698420000003</v>
      </c>
      <c r="U8" s="9">
        <f t="shared" si="11"/>
        <v>16</v>
      </c>
      <c r="V8" s="9">
        <f t="shared" si="12"/>
        <v>27.083698420000005</v>
      </c>
      <c r="W8" s="9">
        <f t="shared" si="13"/>
        <v>43.716301579999723</v>
      </c>
      <c r="X8" s="53">
        <f t="shared" si="14"/>
        <v>8.2496040119262749E-3</v>
      </c>
      <c r="Y8" s="9">
        <f t="shared" si="15"/>
        <v>96031.39132932901</v>
      </c>
      <c r="AA8" s="126">
        <v>44229</v>
      </c>
      <c r="AB8" s="127">
        <v>7032.3225334690005</v>
      </c>
    </row>
    <row r="9" spans="1:29">
      <c r="A9" s="10">
        <v>8</v>
      </c>
      <c r="B9" s="9" t="s">
        <v>39</v>
      </c>
      <c r="C9" s="51" t="s">
        <v>227</v>
      </c>
      <c r="D9" s="52">
        <v>44235</v>
      </c>
      <c r="E9" s="9">
        <v>1951.32</v>
      </c>
      <c r="F9" s="52">
        <v>44238</v>
      </c>
      <c r="G9" s="9">
        <v>2047</v>
      </c>
      <c r="H9" s="9">
        <f ca="1">IFERROR(__xludf.DUMMYFUNCTION("GOOGLEFINANCE(""NSE:""&amp;B9,""price"")"),1569)</f>
        <v>1569</v>
      </c>
      <c r="I9" s="10">
        <v>5</v>
      </c>
      <c r="J9" s="9">
        <f t="shared" si="0"/>
        <v>9756.6</v>
      </c>
      <c r="K9" s="9">
        <f t="shared" si="1"/>
        <v>19991.599999999999</v>
      </c>
      <c r="L9" s="9">
        <f t="shared" si="16"/>
        <v>0</v>
      </c>
      <c r="M9" s="53">
        <f t="shared" si="3"/>
        <v>0</v>
      </c>
      <c r="N9" s="9">
        <f t="shared" si="4"/>
        <v>478.40000000000032</v>
      </c>
      <c r="O9" s="53">
        <f t="shared" si="5"/>
        <v>4.9033474776049066E-2</v>
      </c>
      <c r="P9" s="9">
        <f t="shared" si="6"/>
        <v>19.991599999999998</v>
      </c>
      <c r="Q9" s="9">
        <f t="shared" si="7"/>
        <v>0.64972699999999994</v>
      </c>
      <c r="R9" s="9">
        <f t="shared" si="8"/>
        <v>0.11695085999999999</v>
      </c>
      <c r="S9" s="9">
        <f t="shared" si="9"/>
        <v>9.9957999999999991E-3</v>
      </c>
      <c r="T9" s="9">
        <f t="shared" si="10"/>
        <v>20.768273659999995</v>
      </c>
      <c r="U9" s="9">
        <f t="shared" si="11"/>
        <v>16</v>
      </c>
      <c r="V9" s="9">
        <f t="shared" si="12"/>
        <v>36.768273659999991</v>
      </c>
      <c r="W9" s="9">
        <f t="shared" si="13"/>
        <v>441.63172634000034</v>
      </c>
      <c r="X9" s="53">
        <f t="shared" si="14"/>
        <v>4.5264920806428501E-2</v>
      </c>
      <c r="Y9" s="9">
        <f t="shared" si="15"/>
        <v>96473.023055669008</v>
      </c>
      <c r="AA9" s="128">
        <v>44231</v>
      </c>
      <c r="AB9" s="129">
        <v>-616.31048548000126</v>
      </c>
    </row>
    <row r="10" spans="1:29">
      <c r="A10" s="10">
        <v>9</v>
      </c>
      <c r="B10" s="9" t="s">
        <v>38</v>
      </c>
      <c r="C10" s="10" t="s">
        <v>109</v>
      </c>
      <c r="D10" s="52">
        <v>44235</v>
      </c>
      <c r="E10" s="9">
        <v>142.16</v>
      </c>
      <c r="F10" s="52">
        <v>44252</v>
      </c>
      <c r="G10" s="9">
        <v>153</v>
      </c>
      <c r="H10" s="9">
        <f ca="1">IFERROR(__xludf.DUMMYFUNCTION("GOOGLEFINANCE(""NSE:""&amp;B10,""price"")"),400.65)</f>
        <v>400.65</v>
      </c>
      <c r="I10" s="10">
        <v>100</v>
      </c>
      <c r="J10" s="9">
        <f t="shared" si="0"/>
        <v>14216</v>
      </c>
      <c r="K10" s="9">
        <f t="shared" si="1"/>
        <v>29515.999999999996</v>
      </c>
      <c r="L10" s="9">
        <f t="shared" si="16"/>
        <v>0</v>
      </c>
      <c r="M10" s="53">
        <f t="shared" si="3"/>
        <v>0</v>
      </c>
      <c r="N10" s="9">
        <f t="shared" si="4"/>
        <v>1084.0000000000005</v>
      </c>
      <c r="O10" s="53">
        <f t="shared" si="5"/>
        <v>7.6252110298255515E-2</v>
      </c>
      <c r="P10" s="9">
        <f t="shared" si="6"/>
        <v>29.515999999999998</v>
      </c>
      <c r="Q10" s="9">
        <f t="shared" si="7"/>
        <v>0.95926999999999985</v>
      </c>
      <c r="R10" s="9">
        <f t="shared" si="8"/>
        <v>0.17266859999999998</v>
      </c>
      <c r="S10" s="9">
        <f t="shared" si="9"/>
        <v>1.4757999999999997E-2</v>
      </c>
      <c r="T10" s="9">
        <f t="shared" si="10"/>
        <v>30.6626966</v>
      </c>
      <c r="U10" s="9">
        <v>59</v>
      </c>
      <c r="V10" s="9">
        <f t="shared" si="12"/>
        <v>89.662696600000004</v>
      </c>
      <c r="W10" s="9">
        <f t="shared" si="13"/>
        <v>994.33730340000045</v>
      </c>
      <c r="X10" s="53">
        <f t="shared" si="14"/>
        <v>6.9944942557681522E-2</v>
      </c>
      <c r="Y10" s="9">
        <f t="shared" si="15"/>
        <v>97467.360359069004</v>
      </c>
      <c r="AA10" s="128">
        <v>44235</v>
      </c>
      <c r="AB10" s="129">
        <v>-628.46619999999996</v>
      </c>
    </row>
    <row r="11" spans="1:29">
      <c r="A11" s="10">
        <v>10</v>
      </c>
      <c r="B11" s="9" t="s">
        <v>117</v>
      </c>
      <c r="C11" s="10" t="s">
        <v>140</v>
      </c>
      <c r="D11" s="52">
        <v>44236</v>
      </c>
      <c r="E11" s="9">
        <v>12.15</v>
      </c>
      <c r="F11" s="52"/>
      <c r="G11" s="9">
        <v>0</v>
      </c>
      <c r="H11" s="9">
        <f ca="1">IFERROR(__xludf.DUMMYFUNCTION("GOOGLEFINANCE(""NSE:""&amp;B11,""price"")"),12.02)</f>
        <v>12.02</v>
      </c>
      <c r="I11" s="10">
        <v>95</v>
      </c>
      <c r="J11" s="9">
        <f t="shared" si="0"/>
        <v>1154.25</v>
      </c>
      <c r="K11" s="9">
        <f t="shared" si="1"/>
        <v>1154.25</v>
      </c>
      <c r="L11" s="9">
        <f t="shared" ca="1" si="16"/>
        <v>-12.350000000000074</v>
      </c>
      <c r="M11" s="53">
        <f t="shared" ca="1" si="3"/>
        <v>-1.069958847736632E-2</v>
      </c>
      <c r="N11" s="9">
        <f t="shared" si="4"/>
        <v>0</v>
      </c>
      <c r="O11" s="53">
        <f t="shared" si="5"/>
        <v>0</v>
      </c>
      <c r="P11" s="9">
        <f t="shared" si="6"/>
        <v>1.15425</v>
      </c>
      <c r="Q11" s="9">
        <f t="shared" si="7"/>
        <v>3.7513124999999994E-2</v>
      </c>
      <c r="R11" s="9">
        <f t="shared" si="8"/>
        <v>6.7523624999999985E-3</v>
      </c>
      <c r="S11" s="9">
        <f t="shared" si="9"/>
        <v>5.7712499999999995E-4</v>
      </c>
      <c r="T11" s="9">
        <f t="shared" si="10"/>
        <v>1.1990926125000001</v>
      </c>
      <c r="U11" s="9">
        <f t="shared" ref="U11:U12" si="17">IF(G11&gt;0,16,0)</f>
        <v>0</v>
      </c>
      <c r="V11" s="9">
        <f t="shared" si="12"/>
        <v>1.1990926125000001</v>
      </c>
      <c r="W11" s="9">
        <f t="shared" si="13"/>
        <v>0</v>
      </c>
      <c r="X11" s="53">
        <f t="shared" si="14"/>
        <v>0</v>
      </c>
      <c r="Y11" s="9">
        <f t="shared" si="15"/>
        <v>97467.360359069004</v>
      </c>
      <c r="AA11" s="128">
        <v>44238</v>
      </c>
      <c r="AB11" s="129">
        <v>441.63172634000034</v>
      </c>
    </row>
    <row r="12" spans="1:29">
      <c r="A12" s="10">
        <v>11</v>
      </c>
      <c r="B12" s="9" t="s">
        <v>240</v>
      </c>
      <c r="C12" s="51" t="s">
        <v>227</v>
      </c>
      <c r="D12" s="52">
        <v>44238</v>
      </c>
      <c r="E12" s="9">
        <v>357.1</v>
      </c>
      <c r="F12" s="52">
        <v>44242</v>
      </c>
      <c r="G12" s="9">
        <v>378.35</v>
      </c>
      <c r="H12" s="9">
        <f ca="1">IFERROR(__xludf.DUMMYFUNCTION("GOOGLEFINANCE(""NSE:""&amp;B12,""price"")"),366.75)</f>
        <v>366.75</v>
      </c>
      <c r="I12" s="10">
        <v>34</v>
      </c>
      <c r="J12" s="9">
        <f t="shared" si="0"/>
        <v>12141.400000000001</v>
      </c>
      <c r="K12" s="9">
        <f t="shared" si="1"/>
        <v>25005.300000000003</v>
      </c>
      <c r="L12" s="9">
        <f t="shared" si="16"/>
        <v>0</v>
      </c>
      <c r="M12" s="53">
        <f t="shared" si="3"/>
        <v>0</v>
      </c>
      <c r="N12" s="9">
        <f t="shared" si="4"/>
        <v>722.5</v>
      </c>
      <c r="O12" s="53">
        <f t="shared" si="5"/>
        <v>5.9507140856902827E-2</v>
      </c>
      <c r="P12" s="9">
        <f t="shared" si="6"/>
        <v>25.005300000000002</v>
      </c>
      <c r="Q12" s="9">
        <f t="shared" si="7"/>
        <v>0.81267224999999998</v>
      </c>
      <c r="R12" s="9">
        <f t="shared" si="8"/>
        <v>0.14628100499999999</v>
      </c>
      <c r="S12" s="9">
        <f t="shared" si="9"/>
        <v>1.2502650000000001E-2</v>
      </c>
      <c r="T12" s="9">
        <f t="shared" si="10"/>
        <v>25.976755904999997</v>
      </c>
      <c r="U12" s="9">
        <f t="shared" si="17"/>
        <v>16</v>
      </c>
      <c r="V12" s="9">
        <f t="shared" si="12"/>
        <v>41.976755904999997</v>
      </c>
      <c r="W12" s="9">
        <f t="shared" si="13"/>
        <v>680.523244095</v>
      </c>
      <c r="X12" s="53">
        <f t="shared" si="14"/>
        <v>5.6049816668176641E-2</v>
      </c>
      <c r="Y12" s="9">
        <f t="shared" si="15"/>
        <v>98147.883603164009</v>
      </c>
      <c r="AA12" s="128">
        <v>44242</v>
      </c>
      <c r="AB12" s="129">
        <v>680.523244095</v>
      </c>
      <c r="AC12" s="8"/>
    </row>
    <row r="13" spans="1:29">
      <c r="A13" s="10">
        <v>12</v>
      </c>
      <c r="B13" s="60" t="s">
        <v>31</v>
      </c>
      <c r="C13" s="10" t="s">
        <v>109</v>
      </c>
      <c r="D13" s="52">
        <v>44242</v>
      </c>
      <c r="E13" s="9">
        <v>53.9</v>
      </c>
      <c r="F13" s="52">
        <v>44274</v>
      </c>
      <c r="G13" s="9">
        <v>60</v>
      </c>
      <c r="H13" s="9">
        <f ca="1">IFERROR(__xludf.DUMMYFUNCTION("GOOGLEFINANCE(""NSE:""&amp;B13,""price"")"),84.9)</f>
        <v>84.9</v>
      </c>
      <c r="I13" s="10">
        <v>100</v>
      </c>
      <c r="J13" s="9">
        <f t="shared" si="0"/>
        <v>5390</v>
      </c>
      <c r="K13" s="9">
        <f t="shared" si="1"/>
        <v>11390</v>
      </c>
      <c r="L13" s="9">
        <f t="shared" si="16"/>
        <v>0</v>
      </c>
      <c r="M13" s="53">
        <f t="shared" si="3"/>
        <v>0</v>
      </c>
      <c r="N13" s="9">
        <f t="shared" si="4"/>
        <v>610.00000000000011</v>
      </c>
      <c r="O13" s="53">
        <f t="shared" si="5"/>
        <v>0.11317254174397035</v>
      </c>
      <c r="P13" s="9">
        <f t="shared" si="6"/>
        <v>11.39</v>
      </c>
      <c r="Q13" s="9">
        <f t="shared" si="7"/>
        <v>0.37017499999999998</v>
      </c>
      <c r="R13" s="9">
        <f t="shared" si="8"/>
        <v>6.6631499999999996E-2</v>
      </c>
      <c r="S13" s="9">
        <f t="shared" si="9"/>
        <v>5.6949999999999995E-3</v>
      </c>
      <c r="T13" s="9">
        <f t="shared" si="10"/>
        <v>11.832501499999999</v>
      </c>
      <c r="U13" s="9">
        <v>59</v>
      </c>
      <c r="V13" s="9">
        <f t="shared" si="12"/>
        <v>70.832501500000006</v>
      </c>
      <c r="W13" s="9">
        <f t="shared" si="13"/>
        <v>539.16749850000008</v>
      </c>
      <c r="X13" s="53">
        <f t="shared" si="14"/>
        <v>0.10003107578849724</v>
      </c>
      <c r="Y13" s="9">
        <f t="shared" si="15"/>
        <v>98687.051101664008</v>
      </c>
      <c r="AA13" s="128">
        <v>44252</v>
      </c>
      <c r="AB13" s="129">
        <v>1586.9681589000002</v>
      </c>
    </row>
    <row r="14" spans="1:29">
      <c r="A14" s="10">
        <v>13</v>
      </c>
      <c r="B14" s="60" t="s">
        <v>241</v>
      </c>
      <c r="C14" s="10" t="s">
        <v>109</v>
      </c>
      <c r="D14" s="52">
        <v>44242</v>
      </c>
      <c r="E14" s="9">
        <v>84.89</v>
      </c>
      <c r="F14" s="52">
        <v>44259</v>
      </c>
      <c r="G14" s="9">
        <v>92</v>
      </c>
      <c r="H14" s="9">
        <f ca="1">IFERROR(__xludf.DUMMYFUNCTION("GOOGLEFINANCE(""NSE:""&amp;B14,""price"")"),265.1)</f>
        <v>265.10000000000002</v>
      </c>
      <c r="I14" s="10">
        <v>50</v>
      </c>
      <c r="J14" s="9">
        <f t="shared" si="0"/>
        <v>4244.5</v>
      </c>
      <c r="K14" s="9">
        <f t="shared" si="1"/>
        <v>8844.5</v>
      </c>
      <c r="L14" s="9">
        <f t="shared" si="16"/>
        <v>0</v>
      </c>
      <c r="M14" s="53">
        <f t="shared" si="3"/>
        <v>0</v>
      </c>
      <c r="N14" s="9">
        <f t="shared" si="4"/>
        <v>355.5</v>
      </c>
      <c r="O14" s="53">
        <f t="shared" si="5"/>
        <v>8.3755448227117432E-2</v>
      </c>
      <c r="P14" s="9">
        <f t="shared" si="6"/>
        <v>8.8445</v>
      </c>
      <c r="Q14" s="9">
        <f t="shared" si="7"/>
        <v>0.28744624999999996</v>
      </c>
      <c r="R14" s="9">
        <f t="shared" si="8"/>
        <v>5.174032499999999E-2</v>
      </c>
      <c r="S14" s="9">
        <f t="shared" si="9"/>
        <v>4.42225E-3</v>
      </c>
      <c r="T14" s="9">
        <f t="shared" si="10"/>
        <v>9.1881088250000005</v>
      </c>
      <c r="U14" s="9">
        <v>59</v>
      </c>
      <c r="V14" s="9">
        <f t="shared" si="12"/>
        <v>68.188108825</v>
      </c>
      <c r="W14" s="9">
        <f t="shared" si="13"/>
        <v>287.31189117500003</v>
      </c>
      <c r="X14" s="53">
        <f t="shared" si="14"/>
        <v>6.7690397261161508E-2</v>
      </c>
      <c r="Y14" s="9">
        <f t="shared" si="15"/>
        <v>98974.362992839015</v>
      </c>
      <c r="AA14" s="128">
        <v>44253</v>
      </c>
      <c r="AB14" s="129">
        <v>2717.6036727624992</v>
      </c>
    </row>
    <row r="15" spans="1:29">
      <c r="A15" s="10">
        <v>14</v>
      </c>
      <c r="B15" s="61" t="s">
        <v>242</v>
      </c>
      <c r="C15" s="51" t="s">
        <v>227</v>
      </c>
      <c r="D15" s="52">
        <v>44242</v>
      </c>
      <c r="E15" s="9">
        <v>99.7</v>
      </c>
      <c r="F15" s="52">
        <v>44252</v>
      </c>
      <c r="G15" s="9">
        <v>106</v>
      </c>
      <c r="H15" s="9" t="str">
        <f ca="1">IFERROR(__xludf.DUMMYFUNCTION("GOOGLEFINANCE(""NSE:""&amp;B15,""price"")"),"#N/A")</f>
        <v>#N/A</v>
      </c>
      <c r="I15" s="10">
        <v>100</v>
      </c>
      <c r="J15" s="9">
        <f t="shared" si="0"/>
        <v>9970</v>
      </c>
      <c r="K15" s="9">
        <f t="shared" si="1"/>
        <v>20570</v>
      </c>
      <c r="L15" s="9">
        <f t="shared" si="16"/>
        <v>0</v>
      </c>
      <c r="M15" s="53">
        <f t="shared" si="3"/>
        <v>0</v>
      </c>
      <c r="N15" s="9">
        <f t="shared" si="4"/>
        <v>629.99999999999977</v>
      </c>
      <c r="O15" s="53">
        <f t="shared" si="5"/>
        <v>6.3189568706118318E-2</v>
      </c>
      <c r="P15" s="9">
        <f t="shared" si="6"/>
        <v>20.57</v>
      </c>
      <c r="Q15" s="9">
        <f t="shared" si="7"/>
        <v>0.66852499999999992</v>
      </c>
      <c r="R15" s="9">
        <f t="shared" si="8"/>
        <v>0.12033449999999998</v>
      </c>
      <c r="S15" s="9">
        <f t="shared" si="9"/>
        <v>1.0284999999999999E-2</v>
      </c>
      <c r="T15" s="9">
        <f t="shared" si="10"/>
        <v>21.369144499999997</v>
      </c>
      <c r="U15" s="9">
        <f t="shared" ref="U15:U17" si="18">IF(G15&gt;0,16,0)</f>
        <v>16</v>
      </c>
      <c r="V15" s="9">
        <f t="shared" si="12"/>
        <v>37.369144499999997</v>
      </c>
      <c r="W15" s="9">
        <f t="shared" si="13"/>
        <v>592.63085549999983</v>
      </c>
      <c r="X15" s="53">
        <f t="shared" si="14"/>
        <v>5.9441409779337998E-2</v>
      </c>
      <c r="Y15" s="9">
        <f t="shared" si="15"/>
        <v>99566.993848339014</v>
      </c>
      <c r="AA15" s="128">
        <v>44257</v>
      </c>
      <c r="AB15" s="129">
        <v>146.4278335624997</v>
      </c>
    </row>
    <row r="16" spans="1:29">
      <c r="A16" s="10">
        <v>15</v>
      </c>
      <c r="B16" s="10" t="s">
        <v>243</v>
      </c>
      <c r="C16" s="51" t="s">
        <v>227</v>
      </c>
      <c r="D16" s="52">
        <v>44245</v>
      </c>
      <c r="E16" s="9">
        <v>214.5</v>
      </c>
      <c r="F16" s="52">
        <v>44257</v>
      </c>
      <c r="G16" s="9">
        <v>221.45</v>
      </c>
      <c r="H16" s="9">
        <f ca="1">IFERROR(__xludf.DUMMYFUNCTION("GOOGLEFINANCE(""NSE:""&amp;B16,""price"")"),570.35)</f>
        <v>570.35</v>
      </c>
      <c r="I16" s="10">
        <v>25</v>
      </c>
      <c r="J16" s="9">
        <f t="shared" si="0"/>
        <v>5362.5</v>
      </c>
      <c r="K16" s="9">
        <f t="shared" si="1"/>
        <v>10898.75</v>
      </c>
      <c r="L16" s="9">
        <f t="shared" si="16"/>
        <v>0</v>
      </c>
      <c r="M16" s="53">
        <f t="shared" si="3"/>
        <v>0</v>
      </c>
      <c r="N16" s="9">
        <f t="shared" si="4"/>
        <v>173.74999999999972</v>
      </c>
      <c r="O16" s="53">
        <f t="shared" si="5"/>
        <v>3.240093240093235E-2</v>
      </c>
      <c r="P16" s="9">
        <f t="shared" si="6"/>
        <v>10.89875</v>
      </c>
      <c r="Q16" s="9">
        <f t="shared" si="7"/>
        <v>0.35420937499999999</v>
      </c>
      <c r="R16" s="9">
        <f t="shared" si="8"/>
        <v>6.3757687499999993E-2</v>
      </c>
      <c r="S16" s="9">
        <f t="shared" si="9"/>
        <v>5.4493749999999994E-3</v>
      </c>
      <c r="T16" s="9">
        <f t="shared" si="10"/>
        <v>11.3221664375</v>
      </c>
      <c r="U16" s="9">
        <f t="shared" si="18"/>
        <v>16</v>
      </c>
      <c r="V16" s="9">
        <f t="shared" si="12"/>
        <v>27.322166437500002</v>
      </c>
      <c r="W16" s="9">
        <f t="shared" si="13"/>
        <v>146.4278335624997</v>
      </c>
      <c r="X16" s="53">
        <f t="shared" si="14"/>
        <v>2.7305889708624652E-2</v>
      </c>
      <c r="Y16" s="9">
        <f t="shared" si="15"/>
        <v>99713.421681901513</v>
      </c>
      <c r="AA16" s="128">
        <v>44258</v>
      </c>
      <c r="AB16" s="129">
        <v>621.49039700000003</v>
      </c>
    </row>
    <row r="17" spans="1:28">
      <c r="A17" s="10">
        <v>16</v>
      </c>
      <c r="B17" s="9" t="s">
        <v>238</v>
      </c>
      <c r="C17" s="51" t="s">
        <v>227</v>
      </c>
      <c r="D17" s="52">
        <v>44252</v>
      </c>
      <c r="E17" s="9">
        <v>871</v>
      </c>
      <c r="F17" s="52">
        <v>44302</v>
      </c>
      <c r="G17" s="9">
        <v>940</v>
      </c>
      <c r="H17" s="9">
        <f ca="1">IFERROR(__xludf.DUMMYFUNCTION("GOOGLEFINANCE(""NSE:""&amp;B17,""price"")"),1216.6)</f>
        <v>1216.5999999999999</v>
      </c>
      <c r="I17" s="10">
        <v>10</v>
      </c>
      <c r="J17" s="9">
        <f t="shared" si="0"/>
        <v>8710</v>
      </c>
      <c r="K17" s="9">
        <f t="shared" si="1"/>
        <v>18110</v>
      </c>
      <c r="L17" s="9">
        <f t="shared" si="16"/>
        <v>0</v>
      </c>
      <c r="M17" s="53">
        <f t="shared" si="3"/>
        <v>0</v>
      </c>
      <c r="N17" s="9">
        <f t="shared" si="4"/>
        <v>690</v>
      </c>
      <c r="O17" s="53">
        <f t="shared" si="5"/>
        <v>7.9219288174512056E-2</v>
      </c>
      <c r="P17" s="9">
        <f t="shared" si="6"/>
        <v>18.11</v>
      </c>
      <c r="Q17" s="9">
        <f t="shared" si="7"/>
        <v>0.58857499999999996</v>
      </c>
      <c r="R17" s="9">
        <f t="shared" si="8"/>
        <v>0.10594349999999998</v>
      </c>
      <c r="S17" s="9">
        <f t="shared" si="9"/>
        <v>9.0549999999999988E-3</v>
      </c>
      <c r="T17" s="9">
        <f t="shared" si="10"/>
        <v>18.813573499999997</v>
      </c>
      <c r="U17" s="9">
        <f t="shared" si="18"/>
        <v>16</v>
      </c>
      <c r="V17" s="9">
        <f t="shared" si="12"/>
        <v>34.813573499999997</v>
      </c>
      <c r="W17" s="9">
        <f t="shared" si="13"/>
        <v>655.18642650000004</v>
      </c>
      <c r="X17" s="53">
        <f t="shared" si="14"/>
        <v>7.5222322215843865E-2</v>
      </c>
      <c r="Y17" s="9">
        <f t="shared" si="15"/>
        <v>100368.60810840152</v>
      </c>
      <c r="AA17" s="128">
        <v>44259</v>
      </c>
      <c r="AB17" s="129">
        <v>287.31189117500003</v>
      </c>
    </row>
    <row r="18" spans="1:28">
      <c r="A18" s="10">
        <v>17</v>
      </c>
      <c r="B18" s="9" t="s">
        <v>47</v>
      </c>
      <c r="C18" s="10" t="s">
        <v>109</v>
      </c>
      <c r="D18" s="52">
        <v>44252</v>
      </c>
      <c r="E18" s="9">
        <v>210.2</v>
      </c>
      <c r="F18" s="52">
        <v>44272</v>
      </c>
      <c r="G18" s="9">
        <v>212</v>
      </c>
      <c r="H18" s="9">
        <f ca="1">IFERROR(__xludf.DUMMYFUNCTION("GOOGLEFINANCE(""NSE:""&amp;B18,""price"")"),408.85)</f>
        <v>408.85</v>
      </c>
      <c r="I18" s="10">
        <v>70</v>
      </c>
      <c r="J18" s="9">
        <f t="shared" si="0"/>
        <v>14714</v>
      </c>
      <c r="K18" s="9">
        <f t="shared" si="1"/>
        <v>29554</v>
      </c>
      <c r="L18" s="9">
        <f t="shared" si="16"/>
        <v>0</v>
      </c>
      <c r="M18" s="53">
        <f t="shared" si="3"/>
        <v>0</v>
      </c>
      <c r="N18" s="9">
        <f t="shared" si="4"/>
        <v>126.0000000000008</v>
      </c>
      <c r="O18" s="53">
        <f t="shared" si="5"/>
        <v>8.5632730732636136E-3</v>
      </c>
      <c r="P18" s="9">
        <f t="shared" si="6"/>
        <v>29.554000000000002</v>
      </c>
      <c r="Q18" s="9">
        <f t="shared" si="7"/>
        <v>0.96050499999999994</v>
      </c>
      <c r="R18" s="9">
        <f t="shared" si="8"/>
        <v>0.17289089999999999</v>
      </c>
      <c r="S18" s="9">
        <f t="shared" si="9"/>
        <v>1.4776999999999998E-2</v>
      </c>
      <c r="T18" s="9">
        <f t="shared" si="10"/>
        <v>30.702172900000001</v>
      </c>
      <c r="U18" s="9">
        <v>59</v>
      </c>
      <c r="V18" s="9">
        <f t="shared" si="12"/>
        <v>89.702172899999994</v>
      </c>
      <c r="W18" s="9">
        <f t="shared" si="13"/>
        <v>36.297827100000802</v>
      </c>
      <c r="X18" s="53">
        <f t="shared" si="14"/>
        <v>2.4668905192334377E-3</v>
      </c>
      <c r="Y18" s="9">
        <f t="shared" si="15"/>
        <v>100404.90593550152</v>
      </c>
      <c r="AA18" s="128">
        <v>44270</v>
      </c>
      <c r="AB18" s="129">
        <v>13446.005557500001</v>
      </c>
    </row>
    <row r="19" spans="1:28">
      <c r="A19" s="10">
        <v>18</v>
      </c>
      <c r="B19" s="9" t="s">
        <v>244</v>
      </c>
      <c r="C19" s="10" t="s">
        <v>109</v>
      </c>
      <c r="D19" s="52">
        <v>44252</v>
      </c>
      <c r="E19" s="9">
        <v>226</v>
      </c>
      <c r="F19" s="52">
        <v>44258</v>
      </c>
      <c r="G19" s="9">
        <v>243.5</v>
      </c>
      <c r="H19" s="9" t="str">
        <f ca="1">IFERROR(__xludf.DUMMYFUNCTION("GOOGLEFINANCE(""NSE:""&amp;B19,""price"")"),"#N/A")</f>
        <v>#N/A</v>
      </c>
      <c r="I19" s="10">
        <v>40</v>
      </c>
      <c r="J19" s="9">
        <f t="shared" si="0"/>
        <v>9040</v>
      </c>
      <c r="K19" s="9">
        <f t="shared" si="1"/>
        <v>18780</v>
      </c>
      <c r="L19" s="9">
        <f t="shared" si="16"/>
        <v>0</v>
      </c>
      <c r="M19" s="53">
        <f t="shared" si="3"/>
        <v>0</v>
      </c>
      <c r="N19" s="9">
        <f t="shared" si="4"/>
        <v>700</v>
      </c>
      <c r="O19" s="53">
        <f t="shared" si="5"/>
        <v>7.7433628318584066E-2</v>
      </c>
      <c r="P19" s="9">
        <f t="shared" si="6"/>
        <v>18.78</v>
      </c>
      <c r="Q19" s="9">
        <f t="shared" si="7"/>
        <v>0.61034999999999995</v>
      </c>
      <c r="R19" s="9">
        <f t="shared" si="8"/>
        <v>0.10986299999999999</v>
      </c>
      <c r="S19" s="9">
        <f t="shared" si="9"/>
        <v>9.389999999999999E-3</v>
      </c>
      <c r="T19" s="9">
        <f t="shared" si="10"/>
        <v>19.509603000000002</v>
      </c>
      <c r="U19" s="9">
        <v>59</v>
      </c>
      <c r="V19" s="9">
        <f t="shared" si="12"/>
        <v>78.509602999999998</v>
      </c>
      <c r="W19" s="9">
        <f t="shared" si="13"/>
        <v>621.49039700000003</v>
      </c>
      <c r="X19" s="53">
        <f t="shared" si="14"/>
        <v>6.874893772123894E-2</v>
      </c>
      <c r="Y19" s="9">
        <f t="shared" si="15"/>
        <v>101026.39633250152</v>
      </c>
      <c r="AA19" s="128">
        <v>44272</v>
      </c>
      <c r="AB19" s="129">
        <v>36.297827100000802</v>
      </c>
    </row>
    <row r="20" spans="1:28">
      <c r="A20" s="10">
        <v>19</v>
      </c>
      <c r="B20" s="9" t="s">
        <v>41</v>
      </c>
      <c r="C20" s="51" t="s">
        <v>136</v>
      </c>
      <c r="D20" s="52">
        <v>44253</v>
      </c>
      <c r="E20" s="9">
        <v>595.9</v>
      </c>
      <c r="F20" s="52"/>
      <c r="G20" s="9">
        <v>0</v>
      </c>
      <c r="H20" s="9">
        <f ca="1">IFERROR(__xludf.DUMMYFUNCTION("GOOGLEFINANCE(""NSE:""&amp;B20,""price"")"),1362.4)</f>
        <v>1362.4</v>
      </c>
      <c r="I20" s="10">
        <v>20</v>
      </c>
      <c r="J20" s="9">
        <f t="shared" si="0"/>
        <v>11918</v>
      </c>
      <c r="K20" s="9">
        <f t="shared" si="1"/>
        <v>11918</v>
      </c>
      <c r="L20" s="9">
        <f t="shared" ca="1" si="16"/>
        <v>15330.000000000002</v>
      </c>
      <c r="M20" s="53">
        <f t="shared" ca="1" si="3"/>
        <v>1.2862896459137441</v>
      </c>
      <c r="N20" s="9">
        <f t="shared" si="4"/>
        <v>0</v>
      </c>
      <c r="O20" s="53">
        <f t="shared" si="5"/>
        <v>0</v>
      </c>
      <c r="P20" s="9">
        <f t="shared" si="6"/>
        <v>11.918000000000001</v>
      </c>
      <c r="Q20" s="9">
        <f t="shared" si="7"/>
        <v>0.38733499999999998</v>
      </c>
      <c r="R20" s="9">
        <f t="shared" si="8"/>
        <v>6.9720299999999999E-2</v>
      </c>
      <c r="S20" s="9">
        <f t="shared" si="9"/>
        <v>5.9589999999999999E-3</v>
      </c>
      <c r="T20" s="9">
        <f t="shared" si="10"/>
        <v>12.381014300000002</v>
      </c>
      <c r="U20" s="9">
        <f t="shared" ref="U20:U24" si="19">IF(G20&gt;0,16,0)</f>
        <v>0</v>
      </c>
      <c r="V20" s="9">
        <f t="shared" si="12"/>
        <v>12.381014300000002</v>
      </c>
      <c r="W20" s="9">
        <f t="shared" si="13"/>
        <v>0</v>
      </c>
      <c r="X20" s="53">
        <f t="shared" si="14"/>
        <v>0</v>
      </c>
      <c r="Y20" s="9">
        <f t="shared" si="15"/>
        <v>101026.39633250152</v>
      </c>
      <c r="AA20" s="128">
        <v>44274</v>
      </c>
      <c r="AB20" s="129">
        <v>539.16749850000008</v>
      </c>
    </row>
    <row r="21" spans="1:28">
      <c r="A21" s="10">
        <v>20</v>
      </c>
      <c r="B21" s="9" t="s">
        <v>55</v>
      </c>
      <c r="C21" s="51" t="s">
        <v>227</v>
      </c>
      <c r="D21" s="52">
        <v>44251</v>
      </c>
      <c r="E21" s="9">
        <v>94</v>
      </c>
      <c r="F21" s="52">
        <v>44253</v>
      </c>
      <c r="G21" s="9">
        <v>111.85</v>
      </c>
      <c r="H21" s="9">
        <f ca="1">IFERROR(__xludf.DUMMYFUNCTION("GOOGLEFINANCE(""NSE:""&amp;B21,""price"")"),360)</f>
        <v>360</v>
      </c>
      <c r="I21" s="10">
        <v>155</v>
      </c>
      <c r="J21" s="9">
        <f t="shared" si="0"/>
        <v>14570</v>
      </c>
      <c r="K21" s="9">
        <f t="shared" si="1"/>
        <v>31906.75</v>
      </c>
      <c r="L21" s="9">
        <f t="shared" si="16"/>
        <v>0</v>
      </c>
      <c r="M21" s="53">
        <f t="shared" si="3"/>
        <v>0</v>
      </c>
      <c r="N21" s="9">
        <f t="shared" si="4"/>
        <v>2766.7499999999991</v>
      </c>
      <c r="O21" s="53">
        <f t="shared" si="5"/>
        <v>0.18989361702127652</v>
      </c>
      <c r="P21" s="9">
        <f t="shared" si="6"/>
        <v>31.906750000000002</v>
      </c>
      <c r="Q21" s="9">
        <f t="shared" si="7"/>
        <v>1.036969375</v>
      </c>
      <c r="R21" s="9">
        <f t="shared" si="8"/>
        <v>0.18665448749999999</v>
      </c>
      <c r="S21" s="9">
        <f t="shared" si="9"/>
        <v>1.5953374999999999E-2</v>
      </c>
      <c r="T21" s="9">
        <f t="shared" si="10"/>
        <v>33.146327237500003</v>
      </c>
      <c r="U21" s="9">
        <f t="shared" si="19"/>
        <v>16</v>
      </c>
      <c r="V21" s="9">
        <f t="shared" si="12"/>
        <v>49.146327237500003</v>
      </c>
      <c r="W21" s="9">
        <f t="shared" si="13"/>
        <v>2717.6036727624992</v>
      </c>
      <c r="X21" s="53">
        <f t="shared" si="14"/>
        <v>0.18652049916008917</v>
      </c>
      <c r="Y21" s="9">
        <f t="shared" si="15"/>
        <v>103744.00000526402</v>
      </c>
      <c r="AA21" s="128">
        <v>44278</v>
      </c>
      <c r="AB21" s="129">
        <v>55.664511250000004</v>
      </c>
    </row>
    <row r="22" spans="1:28">
      <c r="A22" s="10">
        <v>21</v>
      </c>
      <c r="B22" s="9" t="s">
        <v>144</v>
      </c>
      <c r="C22" s="51" t="s">
        <v>227</v>
      </c>
      <c r="D22" s="52">
        <v>44257</v>
      </c>
      <c r="E22" s="9">
        <v>210</v>
      </c>
      <c r="F22" s="52"/>
      <c r="G22" s="9">
        <v>0</v>
      </c>
      <c r="H22" s="9">
        <f ca="1">IFERROR(__xludf.DUMMYFUNCTION("GOOGLEFINANCE(""NSE:""&amp;B22,""price"")"),370.5)</f>
        <v>370.5</v>
      </c>
      <c r="I22" s="10">
        <v>50</v>
      </c>
      <c r="J22" s="9">
        <f t="shared" si="0"/>
        <v>10500</v>
      </c>
      <c r="K22" s="9">
        <f t="shared" si="1"/>
        <v>10500</v>
      </c>
      <c r="L22" s="9">
        <f t="shared" ca="1" si="16"/>
        <v>8025</v>
      </c>
      <c r="M22" s="53">
        <f t="shared" ca="1" si="3"/>
        <v>0.76428571428571423</v>
      </c>
      <c r="N22" s="9">
        <f t="shared" si="4"/>
        <v>0</v>
      </c>
      <c r="O22" s="53">
        <f t="shared" si="5"/>
        <v>0</v>
      </c>
      <c r="P22" s="9">
        <f t="shared" si="6"/>
        <v>10.5</v>
      </c>
      <c r="Q22" s="9">
        <f t="shared" si="7"/>
        <v>0.34125</v>
      </c>
      <c r="R22" s="9">
        <f t="shared" si="8"/>
        <v>6.1425E-2</v>
      </c>
      <c r="S22" s="9">
        <f t="shared" si="9"/>
        <v>5.2499999999999995E-3</v>
      </c>
      <c r="T22" s="9">
        <f t="shared" si="10"/>
        <v>10.907925000000001</v>
      </c>
      <c r="U22" s="9">
        <f t="shared" si="19"/>
        <v>0</v>
      </c>
      <c r="V22" s="9">
        <f t="shared" si="12"/>
        <v>10.907925000000001</v>
      </c>
      <c r="W22" s="9">
        <f t="shared" si="13"/>
        <v>0</v>
      </c>
      <c r="X22" s="53">
        <f t="shared" si="14"/>
        <v>0</v>
      </c>
      <c r="Y22" s="9">
        <f t="shared" si="15"/>
        <v>103744.00000526402</v>
      </c>
      <c r="AA22" s="128">
        <v>44286</v>
      </c>
      <c r="AB22" s="129">
        <v>177.592433</v>
      </c>
    </row>
    <row r="23" spans="1:28">
      <c r="A23" s="10">
        <v>22</v>
      </c>
      <c r="B23" s="9" t="s">
        <v>201</v>
      </c>
      <c r="C23" s="51" t="s">
        <v>109</v>
      </c>
      <c r="D23" s="52">
        <v>44258</v>
      </c>
      <c r="E23" s="9">
        <v>86.2</v>
      </c>
      <c r="F23" s="52">
        <v>44530</v>
      </c>
      <c r="G23" s="9">
        <v>103</v>
      </c>
      <c r="H23" s="9">
        <f ca="1">IFERROR(__xludf.DUMMYFUNCTION("GOOGLEFINANCE(""NSE:""&amp;B23,""price"")"),292.9)</f>
        <v>292.89999999999998</v>
      </c>
      <c r="I23" s="10">
        <v>60</v>
      </c>
      <c r="J23" s="9">
        <f t="shared" si="0"/>
        <v>5172</v>
      </c>
      <c r="K23" s="9">
        <f t="shared" si="1"/>
        <v>11352</v>
      </c>
      <c r="L23" s="9">
        <f t="shared" si="16"/>
        <v>0</v>
      </c>
      <c r="M23" s="53">
        <f t="shared" si="3"/>
        <v>0</v>
      </c>
      <c r="N23" s="9">
        <f t="shared" si="4"/>
        <v>1007.9999999999998</v>
      </c>
      <c r="O23" s="53">
        <f t="shared" si="5"/>
        <v>0.19489559164733175</v>
      </c>
      <c r="P23" s="9">
        <f t="shared" si="6"/>
        <v>11.352</v>
      </c>
      <c r="Q23" s="9">
        <f t="shared" si="7"/>
        <v>0.36893999999999999</v>
      </c>
      <c r="R23" s="9">
        <f t="shared" si="8"/>
        <v>6.6409200000000002E-2</v>
      </c>
      <c r="S23" s="9">
        <f t="shared" si="9"/>
        <v>5.6759999999999996E-3</v>
      </c>
      <c r="T23" s="9">
        <f t="shared" si="10"/>
        <v>11.793025200000001</v>
      </c>
      <c r="U23" s="9">
        <f t="shared" si="19"/>
        <v>16</v>
      </c>
      <c r="V23" s="9">
        <f t="shared" si="12"/>
        <v>27.793025200000002</v>
      </c>
      <c r="W23" s="9">
        <f t="shared" si="13"/>
        <v>980.20697479999978</v>
      </c>
      <c r="X23" s="53">
        <f t="shared" si="14"/>
        <v>0.18952184354214999</v>
      </c>
      <c r="Y23" s="9">
        <f t="shared" si="15"/>
        <v>104724.20698006403</v>
      </c>
      <c r="AA23" s="128">
        <v>44292</v>
      </c>
      <c r="AB23" s="129">
        <v>257.51757600000002</v>
      </c>
    </row>
    <row r="24" spans="1:28">
      <c r="A24" s="10">
        <v>23</v>
      </c>
      <c r="B24" s="9" t="s">
        <v>245</v>
      </c>
      <c r="C24" s="51" t="s">
        <v>227</v>
      </c>
      <c r="D24" s="52">
        <v>44258</v>
      </c>
      <c r="E24" s="9">
        <v>146.6</v>
      </c>
      <c r="F24" s="52">
        <v>44354</v>
      </c>
      <c r="G24" s="9">
        <v>152</v>
      </c>
      <c r="H24" s="9">
        <f ca="1">IFERROR(__xludf.DUMMYFUNCTION("GOOGLEFINANCE(""NSE:""&amp;B24,""price"")"),354)</f>
        <v>354</v>
      </c>
      <c r="I24" s="10">
        <v>50</v>
      </c>
      <c r="J24" s="9">
        <f t="shared" si="0"/>
        <v>7330</v>
      </c>
      <c r="K24" s="9">
        <f t="shared" si="1"/>
        <v>14930.000000000002</v>
      </c>
      <c r="L24" s="9">
        <f t="shared" si="16"/>
        <v>0</v>
      </c>
      <c r="M24" s="53">
        <f t="shared" si="3"/>
        <v>0</v>
      </c>
      <c r="N24" s="9">
        <f t="shared" si="4"/>
        <v>270.00000000000028</v>
      </c>
      <c r="O24" s="53">
        <f t="shared" si="5"/>
        <v>3.6834924965893627E-2</v>
      </c>
      <c r="P24" s="9">
        <f t="shared" si="6"/>
        <v>14.930000000000001</v>
      </c>
      <c r="Q24" s="9">
        <f t="shared" si="7"/>
        <v>0.48522500000000002</v>
      </c>
      <c r="R24" s="9">
        <f t="shared" si="8"/>
        <v>8.7340500000000001E-2</v>
      </c>
      <c r="S24" s="9">
        <f t="shared" si="9"/>
        <v>7.4650000000000003E-3</v>
      </c>
      <c r="T24" s="9">
        <f t="shared" si="10"/>
        <v>15.510030500000001</v>
      </c>
      <c r="U24" s="9">
        <f t="shared" si="19"/>
        <v>16</v>
      </c>
      <c r="V24" s="9">
        <f t="shared" si="12"/>
        <v>31.510030499999999</v>
      </c>
      <c r="W24" s="9">
        <f t="shared" si="13"/>
        <v>238.48996950000029</v>
      </c>
      <c r="X24" s="53">
        <f t="shared" si="14"/>
        <v>3.2536148635743556E-2</v>
      </c>
      <c r="Y24" s="9">
        <f t="shared" si="15"/>
        <v>104962.69694956404</v>
      </c>
      <c r="AA24" s="128">
        <v>44302</v>
      </c>
      <c r="AB24" s="129">
        <v>677.72317325999995</v>
      </c>
    </row>
    <row r="25" spans="1:28">
      <c r="A25" s="10">
        <v>24</v>
      </c>
      <c r="B25" s="9" t="s">
        <v>246</v>
      </c>
      <c r="C25" s="10" t="s">
        <v>109</v>
      </c>
      <c r="D25" s="52">
        <v>44259</v>
      </c>
      <c r="E25" s="9">
        <v>360</v>
      </c>
      <c r="F25" s="52">
        <v>44278</v>
      </c>
      <c r="G25" s="9">
        <v>365</v>
      </c>
      <c r="H25" s="9">
        <f ca="1">IFERROR(__xludf.DUMMYFUNCTION("GOOGLEFINANCE(""NSE:""&amp;B25,""price"")"),149.56)</f>
        <v>149.56</v>
      </c>
      <c r="I25" s="10">
        <v>27</v>
      </c>
      <c r="J25" s="9">
        <f t="shared" si="0"/>
        <v>9720</v>
      </c>
      <c r="K25" s="9">
        <f t="shared" si="1"/>
        <v>19575</v>
      </c>
      <c r="L25" s="9">
        <f t="shared" si="16"/>
        <v>0</v>
      </c>
      <c r="M25" s="53">
        <f t="shared" si="3"/>
        <v>0</v>
      </c>
      <c r="N25" s="9">
        <f t="shared" si="4"/>
        <v>135</v>
      </c>
      <c r="O25" s="53">
        <f t="shared" si="5"/>
        <v>1.3888888888888888E-2</v>
      </c>
      <c r="P25" s="9">
        <f t="shared" si="6"/>
        <v>19.574999999999999</v>
      </c>
      <c r="Q25" s="9">
        <f t="shared" si="7"/>
        <v>0.63618749999999991</v>
      </c>
      <c r="R25" s="9">
        <f t="shared" si="8"/>
        <v>0.11451374999999998</v>
      </c>
      <c r="S25" s="9">
        <f t="shared" si="9"/>
        <v>9.7874999999999993E-3</v>
      </c>
      <c r="T25" s="9">
        <f t="shared" si="10"/>
        <v>20.33548875</v>
      </c>
      <c r="U25" s="9">
        <v>59</v>
      </c>
      <c r="V25" s="9">
        <f t="shared" si="12"/>
        <v>79.335488749999996</v>
      </c>
      <c r="W25" s="9">
        <f t="shared" si="13"/>
        <v>55.664511250000004</v>
      </c>
      <c r="X25" s="53">
        <f t="shared" si="14"/>
        <v>5.7268015689300412E-3</v>
      </c>
      <c r="Y25" s="9">
        <f t="shared" si="15"/>
        <v>105018.36146081403</v>
      </c>
      <c r="AA25" s="128">
        <v>44312</v>
      </c>
      <c r="AB25" s="129">
        <v>407.74077479999954</v>
      </c>
    </row>
    <row r="26" spans="1:28">
      <c r="A26" s="10">
        <v>25</v>
      </c>
      <c r="B26" s="9" t="s">
        <v>117</v>
      </c>
      <c r="C26" s="51" t="s">
        <v>227</v>
      </c>
      <c r="D26" s="52">
        <v>44260</v>
      </c>
      <c r="E26" s="9">
        <v>10.7</v>
      </c>
      <c r="F26" s="52"/>
      <c r="G26" s="9">
        <v>0</v>
      </c>
      <c r="H26" s="9">
        <f ca="1">IFERROR(__xludf.DUMMYFUNCTION("GOOGLEFINANCE(""NSE:""&amp;B26,""price"")"),12.02)</f>
        <v>12.02</v>
      </c>
      <c r="I26" s="10">
        <v>100</v>
      </c>
      <c r="J26" s="9">
        <f t="shared" si="0"/>
        <v>1070</v>
      </c>
      <c r="K26" s="9">
        <f t="shared" si="1"/>
        <v>1070</v>
      </c>
      <c r="L26" s="9">
        <f t="shared" ca="1" si="16"/>
        <v>132.00000000000003</v>
      </c>
      <c r="M26" s="53">
        <f t="shared" ca="1" si="3"/>
        <v>0.12336448598130845</v>
      </c>
      <c r="N26" s="9">
        <f t="shared" si="4"/>
        <v>0</v>
      </c>
      <c r="O26" s="53">
        <f t="shared" si="5"/>
        <v>0</v>
      </c>
      <c r="P26" s="9">
        <f t="shared" si="6"/>
        <v>1.07</v>
      </c>
      <c r="Q26" s="9">
        <f t="shared" si="7"/>
        <v>3.4775E-2</v>
      </c>
      <c r="R26" s="9">
        <f t="shared" si="8"/>
        <v>6.2594999999999994E-3</v>
      </c>
      <c r="S26" s="9">
        <f t="shared" si="9"/>
        <v>5.3499999999999999E-4</v>
      </c>
      <c r="T26" s="9">
        <f t="shared" si="10"/>
        <v>1.1115695000000001</v>
      </c>
      <c r="U26" s="9">
        <f t="shared" ref="U26:U53" si="20">IF(G26&gt;0,16,0)</f>
        <v>0</v>
      </c>
      <c r="V26" s="9">
        <f t="shared" si="12"/>
        <v>1.1115695000000001</v>
      </c>
      <c r="W26" s="9">
        <f t="shared" si="13"/>
        <v>0</v>
      </c>
      <c r="X26" s="53">
        <f t="shared" si="14"/>
        <v>0</v>
      </c>
      <c r="Y26" s="9">
        <f t="shared" si="15"/>
        <v>105018.36146081403</v>
      </c>
      <c r="AA26" s="128">
        <v>44315</v>
      </c>
      <c r="AB26" s="129">
        <v>716.8094179999996</v>
      </c>
    </row>
    <row r="27" spans="1:28">
      <c r="A27" s="10">
        <v>26</v>
      </c>
      <c r="B27" s="9" t="s">
        <v>247</v>
      </c>
      <c r="C27" s="51" t="s">
        <v>227</v>
      </c>
      <c r="D27" s="52">
        <v>44267</v>
      </c>
      <c r="E27" s="9">
        <v>331</v>
      </c>
      <c r="F27" s="52">
        <v>44270</v>
      </c>
      <c r="G27" s="9">
        <v>345</v>
      </c>
      <c r="H27" s="9">
        <f ca="1">IFERROR(__xludf.DUMMYFUNCTION("GOOGLEFINANCE(""NSE:""&amp;B27,""price"")"),142.07)</f>
        <v>142.07</v>
      </c>
      <c r="I27" s="10">
        <v>10</v>
      </c>
      <c r="J27" s="9">
        <f t="shared" si="0"/>
        <v>3310</v>
      </c>
      <c r="K27" s="9">
        <f t="shared" si="1"/>
        <v>6760</v>
      </c>
      <c r="L27" s="9">
        <f t="shared" si="16"/>
        <v>0</v>
      </c>
      <c r="M27" s="53">
        <f t="shared" si="3"/>
        <v>0</v>
      </c>
      <c r="N27" s="9">
        <f t="shared" si="4"/>
        <v>140</v>
      </c>
      <c r="O27" s="53">
        <f t="shared" si="5"/>
        <v>4.2296072507552872E-2</v>
      </c>
      <c r="P27" s="9">
        <f t="shared" si="6"/>
        <v>6.76</v>
      </c>
      <c r="Q27" s="9">
        <f t="shared" si="7"/>
        <v>0.21969999999999998</v>
      </c>
      <c r="R27" s="9">
        <f t="shared" si="8"/>
        <v>3.9545999999999998E-2</v>
      </c>
      <c r="S27" s="9">
        <f t="shared" si="9"/>
        <v>3.3799999999999998E-3</v>
      </c>
      <c r="T27" s="9">
        <f t="shared" si="10"/>
        <v>7.0226259999999989</v>
      </c>
      <c r="U27" s="9">
        <f t="shared" si="20"/>
        <v>16</v>
      </c>
      <c r="V27" s="9">
        <f t="shared" si="12"/>
        <v>23.022625999999999</v>
      </c>
      <c r="W27" s="9">
        <f t="shared" si="13"/>
        <v>116.977374</v>
      </c>
      <c r="X27" s="53">
        <f t="shared" si="14"/>
        <v>3.5340596374622356E-2</v>
      </c>
      <c r="Y27" s="9">
        <f t="shared" si="15"/>
        <v>105135.33883481403</v>
      </c>
      <c r="AA27" s="128">
        <v>44316</v>
      </c>
      <c r="AB27" s="129">
        <v>303.36843900000054</v>
      </c>
    </row>
    <row r="28" spans="1:28">
      <c r="A28" s="10">
        <v>27</v>
      </c>
      <c r="B28" s="9" t="s">
        <v>248</v>
      </c>
      <c r="C28" s="10" t="s">
        <v>136</v>
      </c>
      <c r="D28" s="52">
        <v>44260</v>
      </c>
      <c r="E28" s="9">
        <v>575</v>
      </c>
      <c r="F28" s="52">
        <v>44270</v>
      </c>
      <c r="G28" s="9">
        <v>1090</v>
      </c>
      <c r="H28" s="9">
        <f ca="1">IFERROR(__xludf.DUMMYFUNCTION("GOOGLEFINANCE(""NSE:""&amp;B28,""price"")"),2429.6)</f>
        <v>2429.6</v>
      </c>
      <c r="I28" s="10">
        <v>26</v>
      </c>
      <c r="J28" s="9">
        <f t="shared" si="0"/>
        <v>14950</v>
      </c>
      <c r="K28" s="9">
        <f t="shared" si="1"/>
        <v>43290</v>
      </c>
      <c r="L28" s="9">
        <f t="shared" si="16"/>
        <v>0</v>
      </c>
      <c r="M28" s="53">
        <f t="shared" si="3"/>
        <v>0</v>
      </c>
      <c r="N28" s="9">
        <f t="shared" si="4"/>
        <v>13390</v>
      </c>
      <c r="O28" s="53">
        <f t="shared" si="5"/>
        <v>0.89565217391304353</v>
      </c>
      <c r="P28" s="9">
        <f t="shared" si="6"/>
        <v>43.29</v>
      </c>
      <c r="Q28" s="9">
        <f t="shared" si="7"/>
        <v>1.406925</v>
      </c>
      <c r="R28" s="9">
        <f t="shared" si="8"/>
        <v>0.25324649999999999</v>
      </c>
      <c r="S28" s="9">
        <f t="shared" si="9"/>
        <v>2.1644999999999998E-2</v>
      </c>
      <c r="T28" s="9">
        <f t="shared" si="10"/>
        <v>44.971816500000003</v>
      </c>
      <c r="U28" s="9">
        <f t="shared" si="20"/>
        <v>16</v>
      </c>
      <c r="V28" s="9">
        <f t="shared" si="12"/>
        <v>60.971816500000003</v>
      </c>
      <c r="W28" s="9">
        <f t="shared" si="13"/>
        <v>13329.028183500001</v>
      </c>
      <c r="X28" s="53">
        <f t="shared" si="14"/>
        <v>0.89157379153846161</v>
      </c>
      <c r="Y28" s="9">
        <f t="shared" si="15"/>
        <v>118464.36701831403</v>
      </c>
      <c r="AA28" s="128">
        <v>44326</v>
      </c>
      <c r="AB28" s="129">
        <v>192.38565700000029</v>
      </c>
    </row>
    <row r="29" spans="1:28">
      <c r="A29" s="10">
        <v>28</v>
      </c>
      <c r="B29" s="9" t="s">
        <v>135</v>
      </c>
      <c r="C29" s="51" t="s">
        <v>227</v>
      </c>
      <c r="D29" s="52">
        <v>44277</v>
      </c>
      <c r="E29" s="9">
        <v>722.5</v>
      </c>
      <c r="F29" s="52">
        <v>44344</v>
      </c>
      <c r="G29" s="9">
        <v>782.5</v>
      </c>
      <c r="H29" s="9">
        <f ca="1">IFERROR(__xludf.DUMMYFUNCTION("GOOGLEFINANCE(""NSE:""&amp;B29,""price"")"),1492.8)</f>
        <v>1492.8</v>
      </c>
      <c r="I29" s="10">
        <v>5</v>
      </c>
      <c r="J29" s="9">
        <f t="shared" si="0"/>
        <v>3612.5</v>
      </c>
      <c r="K29" s="9">
        <f t="shared" si="1"/>
        <v>7525</v>
      </c>
      <c r="L29" s="9">
        <f t="shared" si="16"/>
        <v>0</v>
      </c>
      <c r="M29" s="53">
        <f t="shared" si="3"/>
        <v>0</v>
      </c>
      <c r="N29" s="9">
        <f t="shared" si="4"/>
        <v>300</v>
      </c>
      <c r="O29" s="53">
        <f t="shared" si="5"/>
        <v>8.3044982698961933E-2</v>
      </c>
      <c r="P29" s="9">
        <f t="shared" si="6"/>
        <v>7.5250000000000004</v>
      </c>
      <c r="Q29" s="9">
        <f t="shared" si="7"/>
        <v>0.24456249999999999</v>
      </c>
      <c r="R29" s="9">
        <f t="shared" si="8"/>
        <v>4.4021249999999998E-2</v>
      </c>
      <c r="S29" s="9">
        <f t="shared" si="9"/>
        <v>3.7624999999999998E-3</v>
      </c>
      <c r="T29" s="9">
        <f t="shared" si="10"/>
        <v>7.8173462499999999</v>
      </c>
      <c r="U29" s="9">
        <f t="shared" si="20"/>
        <v>16</v>
      </c>
      <c r="V29" s="9">
        <f t="shared" si="12"/>
        <v>23.81734625</v>
      </c>
      <c r="W29" s="9">
        <f t="shared" si="13"/>
        <v>276.18265374999999</v>
      </c>
      <c r="X29" s="53">
        <f t="shared" si="14"/>
        <v>7.6451945674740479E-2</v>
      </c>
      <c r="Y29" s="9">
        <f t="shared" si="15"/>
        <v>118740.54967206404</v>
      </c>
      <c r="AA29" s="128">
        <v>44333</v>
      </c>
      <c r="AB29" s="129">
        <v>331.6759460750007</v>
      </c>
    </row>
    <row r="30" spans="1:28">
      <c r="A30" s="10">
        <v>29</v>
      </c>
      <c r="B30" s="9" t="s">
        <v>135</v>
      </c>
      <c r="C30" s="51" t="s">
        <v>227</v>
      </c>
      <c r="D30" s="52">
        <v>44278</v>
      </c>
      <c r="E30" s="9">
        <v>745</v>
      </c>
      <c r="F30" s="52">
        <v>44292</v>
      </c>
      <c r="G30" s="9">
        <v>815</v>
      </c>
      <c r="H30" s="9">
        <f ca="1">IFERROR(__xludf.DUMMYFUNCTION("GOOGLEFINANCE(""NSE:""&amp;B30,""price"")"),1492.8)</f>
        <v>1492.8</v>
      </c>
      <c r="I30" s="10">
        <v>4</v>
      </c>
      <c r="J30" s="9">
        <f t="shared" si="0"/>
        <v>2980</v>
      </c>
      <c r="K30" s="9">
        <f t="shared" si="1"/>
        <v>6240</v>
      </c>
      <c r="L30" s="9">
        <f t="shared" si="16"/>
        <v>0</v>
      </c>
      <c r="M30" s="53">
        <f t="shared" si="3"/>
        <v>0</v>
      </c>
      <c r="N30" s="9">
        <f t="shared" si="4"/>
        <v>280</v>
      </c>
      <c r="O30" s="53">
        <f t="shared" si="5"/>
        <v>9.3959731543624164E-2</v>
      </c>
      <c r="P30" s="9">
        <f t="shared" si="6"/>
        <v>6.24</v>
      </c>
      <c r="Q30" s="9">
        <f t="shared" si="7"/>
        <v>0.20279999999999998</v>
      </c>
      <c r="R30" s="9">
        <f t="shared" si="8"/>
        <v>3.6503999999999995E-2</v>
      </c>
      <c r="S30" s="9">
        <f t="shared" si="9"/>
        <v>3.1199999999999999E-3</v>
      </c>
      <c r="T30" s="9">
        <f t="shared" si="10"/>
        <v>6.482424</v>
      </c>
      <c r="U30" s="9">
        <f t="shared" si="20"/>
        <v>16</v>
      </c>
      <c r="V30" s="9">
        <f t="shared" si="12"/>
        <v>22.482424000000002</v>
      </c>
      <c r="W30" s="9">
        <f t="shared" si="13"/>
        <v>257.51757600000002</v>
      </c>
      <c r="X30" s="53">
        <f t="shared" si="14"/>
        <v>8.6415293959731548E-2</v>
      </c>
      <c r="Y30" s="9">
        <f t="shared" si="15"/>
        <v>118998.06724806404</v>
      </c>
      <c r="AA30" s="128">
        <v>44344</v>
      </c>
      <c r="AB30" s="129">
        <v>276.18265374999999</v>
      </c>
    </row>
    <row r="31" spans="1:28">
      <c r="A31" s="10">
        <v>30</v>
      </c>
      <c r="B31" s="9" t="s">
        <v>47</v>
      </c>
      <c r="C31" s="51" t="s">
        <v>109</v>
      </c>
      <c r="D31" s="52">
        <v>44291</v>
      </c>
      <c r="E31" s="9">
        <v>213.9</v>
      </c>
      <c r="F31" s="52">
        <v>44461</v>
      </c>
      <c r="G31" s="9">
        <v>243</v>
      </c>
      <c r="H31" s="9">
        <f ca="1">IFERROR(__xludf.DUMMYFUNCTION("GOOGLEFINANCE(""NSE:""&amp;B31,""price"")"),408.85)</f>
        <v>408.85</v>
      </c>
      <c r="I31" s="10">
        <v>50</v>
      </c>
      <c r="J31" s="9">
        <f t="shared" si="0"/>
        <v>10695</v>
      </c>
      <c r="K31" s="9">
        <f t="shared" si="1"/>
        <v>22845</v>
      </c>
      <c r="L31" s="9">
        <f t="shared" si="16"/>
        <v>0</v>
      </c>
      <c r="M31" s="53">
        <f t="shared" si="3"/>
        <v>0</v>
      </c>
      <c r="N31" s="9">
        <f t="shared" si="4"/>
        <v>1454.9999999999998</v>
      </c>
      <c r="O31" s="53">
        <f t="shared" si="5"/>
        <v>0.13604488078541371</v>
      </c>
      <c r="P31" s="9">
        <f t="shared" si="6"/>
        <v>22.844999999999999</v>
      </c>
      <c r="Q31" s="9">
        <f t="shared" si="7"/>
        <v>0.74246249999999991</v>
      </c>
      <c r="R31" s="9">
        <f t="shared" si="8"/>
        <v>0.13364324999999999</v>
      </c>
      <c r="S31" s="9">
        <f t="shared" si="9"/>
        <v>1.1422499999999999E-2</v>
      </c>
      <c r="T31" s="9">
        <f t="shared" si="10"/>
        <v>23.732528249999994</v>
      </c>
      <c r="U31" s="9">
        <f t="shared" si="20"/>
        <v>16</v>
      </c>
      <c r="V31" s="9">
        <f t="shared" si="12"/>
        <v>39.732528249999994</v>
      </c>
      <c r="W31" s="9">
        <f t="shared" si="13"/>
        <v>1415.2674717499997</v>
      </c>
      <c r="X31" s="53">
        <f t="shared" si="14"/>
        <v>0.13232982438055163</v>
      </c>
      <c r="Y31" s="9">
        <f t="shared" si="15"/>
        <v>120413.33471981404</v>
      </c>
      <c r="AA31" s="128">
        <v>44347</v>
      </c>
      <c r="AB31" s="129">
        <v>273.87953825</v>
      </c>
    </row>
    <row r="32" spans="1:28">
      <c r="A32" s="10">
        <v>31</v>
      </c>
      <c r="B32" s="9" t="s">
        <v>41</v>
      </c>
      <c r="C32" s="51" t="s">
        <v>227</v>
      </c>
      <c r="D32" s="52">
        <v>44292</v>
      </c>
      <c r="E32" s="9">
        <v>572.6</v>
      </c>
      <c r="F32" s="52">
        <v>44312</v>
      </c>
      <c r="G32" s="9">
        <v>595</v>
      </c>
      <c r="H32" s="9">
        <f ca="1">IFERROR(__xludf.DUMMYFUNCTION("GOOGLEFINANCE(""NSE:""&amp;B32,""price"")"),1362.4)</f>
        <v>1362.4</v>
      </c>
      <c r="I32" s="10">
        <v>20</v>
      </c>
      <c r="J32" s="9">
        <f t="shared" si="0"/>
        <v>11452</v>
      </c>
      <c r="K32" s="9">
        <f t="shared" si="1"/>
        <v>23352</v>
      </c>
      <c r="L32" s="9">
        <f t="shared" si="16"/>
        <v>0</v>
      </c>
      <c r="M32" s="53">
        <f t="shared" si="3"/>
        <v>0</v>
      </c>
      <c r="N32" s="9">
        <f t="shared" si="4"/>
        <v>447.99999999999955</v>
      </c>
      <c r="O32" s="53">
        <f t="shared" si="5"/>
        <v>3.9119804400977953E-2</v>
      </c>
      <c r="P32" s="9">
        <f t="shared" si="6"/>
        <v>23.352</v>
      </c>
      <c r="Q32" s="9">
        <f t="shared" si="7"/>
        <v>0.75893999999999995</v>
      </c>
      <c r="R32" s="9">
        <f t="shared" si="8"/>
        <v>0.13660919999999999</v>
      </c>
      <c r="S32" s="9">
        <f t="shared" si="9"/>
        <v>1.1675999999999999E-2</v>
      </c>
      <c r="T32" s="9">
        <f t="shared" si="10"/>
        <v>24.259225199999999</v>
      </c>
      <c r="U32" s="9">
        <f t="shared" si="20"/>
        <v>16</v>
      </c>
      <c r="V32" s="9">
        <f t="shared" si="12"/>
        <v>40.259225200000003</v>
      </c>
      <c r="W32" s="9">
        <f t="shared" si="13"/>
        <v>407.74077479999954</v>
      </c>
      <c r="X32" s="53">
        <f t="shared" si="14"/>
        <v>3.5604328920712497E-2</v>
      </c>
      <c r="Y32" s="9">
        <f t="shared" si="15"/>
        <v>120821.07549461404</v>
      </c>
      <c r="AA32" s="128">
        <v>44350</v>
      </c>
      <c r="AB32" s="129">
        <v>437.8850526800004</v>
      </c>
    </row>
    <row r="33" spans="1:28">
      <c r="A33" s="10">
        <v>32</v>
      </c>
      <c r="B33" s="9" t="s">
        <v>249</v>
      </c>
      <c r="C33" s="51" t="s">
        <v>227</v>
      </c>
      <c r="D33" s="52">
        <v>44302</v>
      </c>
      <c r="E33" s="9">
        <v>94</v>
      </c>
      <c r="F33" s="52">
        <v>44315</v>
      </c>
      <c r="G33" s="9">
        <v>99.2</v>
      </c>
      <c r="H33" s="9">
        <f ca="1">IFERROR(__xludf.DUMMYFUNCTION("GOOGLEFINANCE(""NSE:""&amp;B33,""price"")"),144.38)</f>
        <v>144.38</v>
      </c>
      <c r="I33" s="10">
        <v>100</v>
      </c>
      <c r="J33" s="9">
        <f t="shared" si="0"/>
        <v>9400</v>
      </c>
      <c r="K33" s="9">
        <f t="shared" si="1"/>
        <v>19320</v>
      </c>
      <c r="L33" s="9">
        <f t="shared" si="16"/>
        <v>0</v>
      </c>
      <c r="M33" s="53">
        <f t="shared" si="3"/>
        <v>0</v>
      </c>
      <c r="N33" s="9">
        <f t="shared" si="4"/>
        <v>520.00000000000023</v>
      </c>
      <c r="O33" s="53">
        <f t="shared" si="5"/>
        <v>5.5319148936170244E-2</v>
      </c>
      <c r="P33" s="9">
        <f t="shared" si="6"/>
        <v>19.32</v>
      </c>
      <c r="Q33" s="9">
        <f t="shared" si="7"/>
        <v>0.6278999999999999</v>
      </c>
      <c r="R33" s="9">
        <f t="shared" si="8"/>
        <v>0.11302199999999998</v>
      </c>
      <c r="S33" s="9">
        <f t="shared" si="9"/>
        <v>9.6600000000000002E-3</v>
      </c>
      <c r="T33" s="9">
        <f t="shared" si="10"/>
        <v>20.070582000000002</v>
      </c>
      <c r="U33" s="9">
        <f t="shared" si="20"/>
        <v>16</v>
      </c>
      <c r="V33" s="9">
        <f t="shared" si="12"/>
        <v>36.070582000000002</v>
      </c>
      <c r="W33" s="9">
        <f t="shared" si="13"/>
        <v>483.92941800000023</v>
      </c>
      <c r="X33" s="53">
        <f t="shared" si="14"/>
        <v>5.148185297872343E-2</v>
      </c>
      <c r="Y33" s="9">
        <f t="shared" si="15"/>
        <v>121305.00491261404</v>
      </c>
      <c r="AA33" s="128">
        <v>44354</v>
      </c>
      <c r="AB33" s="129">
        <v>238.48996950000029</v>
      </c>
    </row>
    <row r="34" spans="1:28">
      <c r="A34" s="10">
        <v>33</v>
      </c>
      <c r="B34" s="9" t="s">
        <v>68</v>
      </c>
      <c r="C34" s="51" t="s">
        <v>227</v>
      </c>
      <c r="D34" s="52">
        <v>44302</v>
      </c>
      <c r="E34" s="9">
        <v>97.6</v>
      </c>
      <c r="F34" s="52">
        <v>44316</v>
      </c>
      <c r="G34" s="9">
        <v>101</v>
      </c>
      <c r="H34" s="9">
        <f ca="1">IFERROR(__xludf.DUMMYFUNCTION("GOOGLEFINANCE(""NSE:""&amp;B34,""price"")"),382.4)</f>
        <v>382.4</v>
      </c>
      <c r="I34" s="10">
        <v>100</v>
      </c>
      <c r="J34" s="9">
        <f t="shared" si="0"/>
        <v>9760</v>
      </c>
      <c r="K34" s="9">
        <f t="shared" si="1"/>
        <v>19860</v>
      </c>
      <c r="L34" s="9">
        <f t="shared" si="16"/>
        <v>0</v>
      </c>
      <c r="M34" s="53">
        <f t="shared" si="3"/>
        <v>0</v>
      </c>
      <c r="N34" s="9">
        <f t="shared" si="4"/>
        <v>340.00000000000057</v>
      </c>
      <c r="O34" s="53">
        <f t="shared" si="5"/>
        <v>3.4836065573770551E-2</v>
      </c>
      <c r="P34" s="9">
        <f t="shared" si="6"/>
        <v>19.86</v>
      </c>
      <c r="Q34" s="9">
        <f t="shared" si="7"/>
        <v>0.64544999999999997</v>
      </c>
      <c r="R34" s="9">
        <f t="shared" si="8"/>
        <v>0.11618099999999999</v>
      </c>
      <c r="S34" s="9">
        <f t="shared" si="9"/>
        <v>9.9299999999999996E-3</v>
      </c>
      <c r="T34" s="9">
        <f t="shared" si="10"/>
        <v>20.631561000000001</v>
      </c>
      <c r="U34" s="9">
        <f t="shared" si="20"/>
        <v>16</v>
      </c>
      <c r="V34" s="9">
        <f t="shared" si="12"/>
        <v>36.631561000000005</v>
      </c>
      <c r="W34" s="9">
        <f t="shared" si="13"/>
        <v>303.36843900000054</v>
      </c>
      <c r="X34" s="53">
        <f t="shared" si="14"/>
        <v>3.1082831864754152E-2</v>
      </c>
      <c r="Y34" s="9">
        <f t="shared" si="15"/>
        <v>121608.37335161403</v>
      </c>
      <c r="AA34" s="128">
        <v>44356</v>
      </c>
      <c r="AB34" s="129">
        <v>508.08511877999837</v>
      </c>
    </row>
    <row r="35" spans="1:28">
      <c r="A35" s="10">
        <v>34</v>
      </c>
      <c r="B35" s="9" t="s">
        <v>66</v>
      </c>
      <c r="C35" s="51" t="s">
        <v>227</v>
      </c>
      <c r="D35" s="52">
        <v>44314</v>
      </c>
      <c r="E35" s="9">
        <v>360</v>
      </c>
      <c r="F35" s="52">
        <v>44333</v>
      </c>
      <c r="G35" s="9">
        <v>372.35</v>
      </c>
      <c r="H35" s="9">
        <f ca="1">IFERROR(__xludf.DUMMYFUNCTION("GOOGLEFINANCE(""NSE:""&amp;B35,""price"")"),971.25)</f>
        <v>971.25</v>
      </c>
      <c r="I35" s="10">
        <v>30</v>
      </c>
      <c r="J35" s="9">
        <f t="shared" si="0"/>
        <v>10800</v>
      </c>
      <c r="K35" s="9">
        <f t="shared" si="1"/>
        <v>21970.5</v>
      </c>
      <c r="L35" s="9">
        <f t="shared" si="16"/>
        <v>0</v>
      </c>
      <c r="M35" s="53">
        <f t="shared" si="3"/>
        <v>0</v>
      </c>
      <c r="N35" s="9">
        <f t="shared" si="4"/>
        <v>370.50000000000068</v>
      </c>
      <c r="O35" s="53">
        <f t="shared" si="5"/>
        <v>3.4305555555555617E-2</v>
      </c>
      <c r="P35" s="9">
        <f t="shared" si="6"/>
        <v>21.970500000000001</v>
      </c>
      <c r="Q35" s="9">
        <f t="shared" si="7"/>
        <v>0.71404124999999996</v>
      </c>
      <c r="R35" s="9">
        <f t="shared" si="8"/>
        <v>0.128527425</v>
      </c>
      <c r="S35" s="9">
        <f t="shared" si="9"/>
        <v>1.098525E-2</v>
      </c>
      <c r="T35" s="9">
        <f t="shared" si="10"/>
        <v>22.824053925000005</v>
      </c>
      <c r="U35" s="9">
        <f t="shared" si="20"/>
        <v>16</v>
      </c>
      <c r="V35" s="9">
        <f t="shared" si="12"/>
        <v>38.824053925000001</v>
      </c>
      <c r="W35" s="9">
        <f t="shared" si="13"/>
        <v>331.6759460750007</v>
      </c>
      <c r="X35" s="53">
        <f t="shared" si="14"/>
        <v>3.071073574768525E-2</v>
      </c>
      <c r="Y35" s="9">
        <f t="shared" si="15"/>
        <v>121940.04929768904</v>
      </c>
      <c r="AA35" s="128">
        <v>44400</v>
      </c>
      <c r="AB35" s="129">
        <v>5369.0316130399997</v>
      </c>
    </row>
    <row r="36" spans="1:28">
      <c r="A36" s="10">
        <v>35</v>
      </c>
      <c r="B36" s="9" t="s">
        <v>21</v>
      </c>
      <c r="C36" s="51" t="s">
        <v>227</v>
      </c>
      <c r="D36" s="52">
        <v>44315</v>
      </c>
      <c r="E36" s="9">
        <v>714</v>
      </c>
      <c r="F36" s="52">
        <v>44315</v>
      </c>
      <c r="G36" s="9">
        <v>723.4</v>
      </c>
      <c r="H36" s="9">
        <f ca="1">IFERROR(__xludf.DUMMYFUNCTION("GOOGLEFINANCE(""NSE:""&amp;B36,""price"")"),1224.5)</f>
        <v>1224.5</v>
      </c>
      <c r="I36" s="10">
        <v>27</v>
      </c>
      <c r="J36" s="9">
        <f t="shared" si="0"/>
        <v>19278</v>
      </c>
      <c r="K36" s="9">
        <f t="shared" si="1"/>
        <v>38809.800000000003</v>
      </c>
      <c r="L36" s="9">
        <f t="shared" si="16"/>
        <v>0</v>
      </c>
      <c r="M36" s="53">
        <f t="shared" si="3"/>
        <v>0</v>
      </c>
      <c r="N36" s="9">
        <f t="shared" si="4"/>
        <v>253.79999999999939</v>
      </c>
      <c r="O36" s="53">
        <f t="shared" si="5"/>
        <v>1.3165266106442546E-2</v>
      </c>
      <c r="P36" s="9">
        <f t="shared" si="6"/>
        <v>38.809800000000003</v>
      </c>
      <c r="Q36" s="9">
        <f t="shared" si="7"/>
        <v>1.2613185</v>
      </c>
      <c r="R36" s="9">
        <f t="shared" si="8"/>
        <v>0.22703732999999998</v>
      </c>
      <c r="S36" s="9">
        <f t="shared" si="9"/>
        <v>1.9404899999999999E-2</v>
      </c>
      <c r="T36" s="9">
        <f t="shared" si="10"/>
        <v>40.317560730000004</v>
      </c>
      <c r="U36" s="9">
        <f t="shared" si="20"/>
        <v>16</v>
      </c>
      <c r="V36" s="9">
        <v>20.92</v>
      </c>
      <c r="W36" s="9">
        <f t="shared" si="13"/>
        <v>232.87999999999937</v>
      </c>
      <c r="X36" s="53">
        <f t="shared" si="14"/>
        <v>1.2080091295777537E-2</v>
      </c>
      <c r="Y36" s="9">
        <f t="shared" si="15"/>
        <v>122172.92929768904</v>
      </c>
      <c r="AA36" s="128">
        <v>44405</v>
      </c>
      <c r="AB36" s="129">
        <v>-755.73202226249964</v>
      </c>
    </row>
    <row r="37" spans="1:28">
      <c r="A37" s="10">
        <v>36</v>
      </c>
      <c r="B37" s="9" t="s">
        <v>250</v>
      </c>
      <c r="C37" s="51" t="s">
        <v>227</v>
      </c>
      <c r="D37" s="52">
        <v>44320</v>
      </c>
      <c r="E37" s="9">
        <v>109.6</v>
      </c>
      <c r="F37" s="52">
        <v>44326</v>
      </c>
      <c r="G37" s="9">
        <v>114</v>
      </c>
      <c r="H37" s="9">
        <f ca="1">IFERROR(__xludf.DUMMYFUNCTION("GOOGLEFINANCE(""NSE:""&amp;B37,""price"")"),235.4)</f>
        <v>235.4</v>
      </c>
      <c r="I37" s="10">
        <v>50</v>
      </c>
      <c r="J37" s="9">
        <f t="shared" si="0"/>
        <v>5480</v>
      </c>
      <c r="K37" s="9">
        <f t="shared" si="1"/>
        <v>11180</v>
      </c>
      <c r="L37" s="9">
        <f t="shared" si="16"/>
        <v>0</v>
      </c>
      <c r="M37" s="53">
        <f t="shared" si="3"/>
        <v>0</v>
      </c>
      <c r="N37" s="9">
        <f t="shared" si="4"/>
        <v>220.00000000000028</v>
      </c>
      <c r="O37" s="53">
        <f t="shared" si="5"/>
        <v>4.0145985401459909E-2</v>
      </c>
      <c r="P37" s="9">
        <f t="shared" si="6"/>
        <v>11.18</v>
      </c>
      <c r="Q37" s="9">
        <f t="shared" si="7"/>
        <v>0.36334999999999995</v>
      </c>
      <c r="R37" s="9">
        <f t="shared" si="8"/>
        <v>6.5402999999999989E-2</v>
      </c>
      <c r="S37" s="9">
        <f t="shared" si="9"/>
        <v>5.5899999999999995E-3</v>
      </c>
      <c r="T37" s="9">
        <f t="shared" si="10"/>
        <v>11.614343</v>
      </c>
      <c r="U37" s="9">
        <f t="shared" si="20"/>
        <v>16</v>
      </c>
      <c r="V37" s="9">
        <f t="shared" ref="V37:V53" si="21">T37+U37</f>
        <v>27.614342999999998</v>
      </c>
      <c r="W37" s="9">
        <f t="shared" si="13"/>
        <v>192.38565700000029</v>
      </c>
      <c r="X37" s="53">
        <f t="shared" si="14"/>
        <v>3.5106871715328523E-2</v>
      </c>
      <c r="Y37" s="9">
        <f t="shared" si="15"/>
        <v>122365.31495468905</v>
      </c>
      <c r="AA37" s="128">
        <v>44461</v>
      </c>
      <c r="AB37" s="129">
        <v>1415.2674717499997</v>
      </c>
    </row>
    <row r="38" spans="1:28">
      <c r="A38" s="10">
        <v>37</v>
      </c>
      <c r="B38" s="9" t="s">
        <v>110</v>
      </c>
      <c r="C38" s="51" t="s">
        <v>227</v>
      </c>
      <c r="D38" s="52">
        <v>44323</v>
      </c>
      <c r="E38" s="9">
        <v>677.6</v>
      </c>
      <c r="F38" s="52">
        <v>44356</v>
      </c>
      <c r="G38" s="9">
        <v>685.75</v>
      </c>
      <c r="H38" s="9">
        <f ca="1">IFERROR(__xludf.DUMMYFUNCTION("GOOGLEFINANCE(""NSE:""&amp;B38,""price"")"),763)</f>
        <v>763</v>
      </c>
      <c r="I38" s="10">
        <v>20</v>
      </c>
      <c r="J38" s="9">
        <f t="shared" si="0"/>
        <v>13552</v>
      </c>
      <c r="K38" s="9">
        <f t="shared" si="1"/>
        <v>27267</v>
      </c>
      <c r="L38" s="9">
        <f t="shared" si="16"/>
        <v>0</v>
      </c>
      <c r="M38" s="53">
        <f t="shared" si="3"/>
        <v>0</v>
      </c>
      <c r="N38" s="9">
        <f t="shared" si="4"/>
        <v>162.99999999999955</v>
      </c>
      <c r="O38" s="53">
        <f t="shared" si="5"/>
        <v>1.2027744982290403E-2</v>
      </c>
      <c r="P38" s="9">
        <f t="shared" si="6"/>
        <v>27.266999999999999</v>
      </c>
      <c r="Q38" s="9">
        <f t="shared" si="7"/>
        <v>0.88617749999999995</v>
      </c>
      <c r="R38" s="9">
        <f t="shared" si="8"/>
        <v>0.15951194999999999</v>
      </c>
      <c r="S38" s="9">
        <f t="shared" si="9"/>
        <v>1.36335E-2</v>
      </c>
      <c r="T38" s="9">
        <f t="shared" si="10"/>
        <v>28.326322949999998</v>
      </c>
      <c r="U38" s="9">
        <f t="shared" si="20"/>
        <v>16</v>
      </c>
      <c r="V38" s="9">
        <f t="shared" si="21"/>
        <v>44.326322949999998</v>
      </c>
      <c r="W38" s="9">
        <f t="shared" si="13"/>
        <v>118.67367704999955</v>
      </c>
      <c r="X38" s="53">
        <f t="shared" si="14"/>
        <v>8.7569124151416437E-3</v>
      </c>
      <c r="Y38" s="9">
        <f t="shared" si="15"/>
        <v>122483.98863173905</v>
      </c>
      <c r="AA38" s="128">
        <v>44466</v>
      </c>
      <c r="AB38" s="129">
        <v>576.92090840000003</v>
      </c>
    </row>
    <row r="39" spans="1:28">
      <c r="A39" s="10">
        <v>38</v>
      </c>
      <c r="B39" s="9" t="s">
        <v>173</v>
      </c>
      <c r="C39" s="51" t="s">
        <v>227</v>
      </c>
      <c r="D39" s="52">
        <v>44324</v>
      </c>
      <c r="E39" s="9">
        <v>3150</v>
      </c>
      <c r="F39" s="52">
        <v>44356</v>
      </c>
      <c r="G39" s="9">
        <v>3204</v>
      </c>
      <c r="H39" s="9">
        <f ca="1">IFERROR(__xludf.DUMMYFUNCTION("GOOGLEFINANCE(""NSE:""&amp;B39,""price"")"),3305.1)</f>
        <v>3305.1</v>
      </c>
      <c r="I39" s="10">
        <v>4</v>
      </c>
      <c r="J39" s="9">
        <f t="shared" si="0"/>
        <v>12600</v>
      </c>
      <c r="K39" s="9">
        <f t="shared" si="1"/>
        <v>25416</v>
      </c>
      <c r="L39" s="9">
        <f t="shared" si="16"/>
        <v>0</v>
      </c>
      <c r="M39" s="53">
        <f t="shared" si="3"/>
        <v>0</v>
      </c>
      <c r="N39" s="9">
        <f t="shared" si="4"/>
        <v>216</v>
      </c>
      <c r="O39" s="53">
        <f t="shared" si="5"/>
        <v>1.7142857142857144E-2</v>
      </c>
      <c r="P39" s="9">
        <f t="shared" si="6"/>
        <v>25.416</v>
      </c>
      <c r="Q39" s="9">
        <f t="shared" si="7"/>
        <v>0.82601999999999998</v>
      </c>
      <c r="R39" s="9">
        <f t="shared" si="8"/>
        <v>0.1486836</v>
      </c>
      <c r="S39" s="9">
        <f t="shared" si="9"/>
        <v>1.2707999999999999E-2</v>
      </c>
      <c r="T39" s="9">
        <f t="shared" si="10"/>
        <v>26.403411599999998</v>
      </c>
      <c r="U39" s="9">
        <f t="shared" si="20"/>
        <v>16</v>
      </c>
      <c r="V39" s="9">
        <f t="shared" si="21"/>
        <v>42.403411599999998</v>
      </c>
      <c r="W39" s="9">
        <f t="shared" si="13"/>
        <v>173.5965884</v>
      </c>
      <c r="X39" s="53">
        <f t="shared" si="14"/>
        <v>1.3777507015873016E-2</v>
      </c>
      <c r="Y39" s="9">
        <f t="shared" si="15"/>
        <v>122657.58522013905</v>
      </c>
      <c r="AA39" s="128">
        <v>44467</v>
      </c>
      <c r="AB39" s="129">
        <v>789.18104840000046</v>
      </c>
    </row>
    <row r="40" spans="1:28">
      <c r="A40" s="10">
        <v>39</v>
      </c>
      <c r="B40" s="9" t="s">
        <v>133</v>
      </c>
      <c r="C40" s="51" t="s">
        <v>227</v>
      </c>
      <c r="D40" s="52">
        <v>44334</v>
      </c>
      <c r="E40" s="9">
        <v>1425</v>
      </c>
      <c r="F40" s="52">
        <v>44347</v>
      </c>
      <c r="G40" s="9">
        <v>1486</v>
      </c>
      <c r="H40" s="9">
        <f ca="1">IFERROR(__xludf.DUMMYFUNCTION("GOOGLEFINANCE(""NSE:""&amp;B40,""price"")"),2823.1)</f>
        <v>2823.1</v>
      </c>
      <c r="I40" s="10">
        <v>5</v>
      </c>
      <c r="J40" s="9">
        <f t="shared" si="0"/>
        <v>7125</v>
      </c>
      <c r="K40" s="9">
        <f t="shared" si="1"/>
        <v>14555</v>
      </c>
      <c r="L40" s="9">
        <f t="shared" si="16"/>
        <v>0</v>
      </c>
      <c r="M40" s="53">
        <f t="shared" si="3"/>
        <v>0</v>
      </c>
      <c r="N40" s="9">
        <f t="shared" si="4"/>
        <v>305</v>
      </c>
      <c r="O40" s="53">
        <f t="shared" si="5"/>
        <v>4.2807017543859648E-2</v>
      </c>
      <c r="P40" s="9">
        <f t="shared" si="6"/>
        <v>14.555</v>
      </c>
      <c r="Q40" s="9">
        <f t="shared" si="7"/>
        <v>0.47303749999999994</v>
      </c>
      <c r="R40" s="9">
        <f t="shared" si="8"/>
        <v>8.5146749999999993E-2</v>
      </c>
      <c r="S40" s="9">
        <f t="shared" si="9"/>
        <v>7.2774999999999992E-3</v>
      </c>
      <c r="T40" s="9">
        <f t="shared" si="10"/>
        <v>15.12046175</v>
      </c>
      <c r="U40" s="9">
        <f t="shared" si="20"/>
        <v>16</v>
      </c>
      <c r="V40" s="9">
        <f t="shared" si="21"/>
        <v>31.12046175</v>
      </c>
      <c r="W40" s="9">
        <f t="shared" si="13"/>
        <v>273.87953825</v>
      </c>
      <c r="X40" s="53">
        <f t="shared" si="14"/>
        <v>3.8439233438596489E-2</v>
      </c>
      <c r="Y40" s="9">
        <f t="shared" si="15"/>
        <v>122931.46475838905</v>
      </c>
      <c r="AA40" s="128">
        <v>44483</v>
      </c>
      <c r="AB40" s="129">
        <v>268.3029765</v>
      </c>
    </row>
    <row r="41" spans="1:28">
      <c r="A41" s="10">
        <v>40</v>
      </c>
      <c r="B41" s="9" t="s">
        <v>116</v>
      </c>
      <c r="C41" s="51" t="s">
        <v>227</v>
      </c>
      <c r="D41" s="52">
        <v>44347</v>
      </c>
      <c r="E41" s="9">
        <v>652.9</v>
      </c>
      <c r="F41" s="52">
        <v>44350</v>
      </c>
      <c r="G41" s="9">
        <v>679.5</v>
      </c>
      <c r="H41" s="9">
        <f ca="1">IFERROR(__xludf.DUMMYFUNCTION("GOOGLEFINANCE(""NSE:""&amp;B41,""price"")"),1185.2)</f>
        <v>1185.2</v>
      </c>
      <c r="I41" s="10">
        <v>18</v>
      </c>
      <c r="J41" s="9">
        <f t="shared" si="0"/>
        <v>11752.199999999999</v>
      </c>
      <c r="K41" s="9">
        <f t="shared" si="1"/>
        <v>23983.200000000001</v>
      </c>
      <c r="L41" s="9">
        <f t="shared" si="16"/>
        <v>0</v>
      </c>
      <c r="M41" s="53">
        <f t="shared" si="3"/>
        <v>0</v>
      </c>
      <c r="N41" s="9">
        <f t="shared" si="4"/>
        <v>478.80000000000041</v>
      </c>
      <c r="O41" s="53">
        <f t="shared" si="5"/>
        <v>4.074130801041511E-2</v>
      </c>
      <c r="P41" s="9">
        <f t="shared" si="6"/>
        <v>23.9832</v>
      </c>
      <c r="Q41" s="9">
        <f t="shared" si="7"/>
        <v>0.77945399999999998</v>
      </c>
      <c r="R41" s="9">
        <f t="shared" si="8"/>
        <v>0.14030171999999999</v>
      </c>
      <c r="S41" s="9">
        <f t="shared" si="9"/>
        <v>1.19916E-2</v>
      </c>
      <c r="T41" s="9">
        <f t="shared" si="10"/>
        <v>24.914947320000003</v>
      </c>
      <c r="U41" s="9">
        <f t="shared" si="20"/>
        <v>16</v>
      </c>
      <c r="V41" s="9">
        <f t="shared" si="21"/>
        <v>40.914947320000003</v>
      </c>
      <c r="W41" s="9">
        <f t="shared" si="13"/>
        <v>437.8850526800004</v>
      </c>
      <c r="X41" s="53">
        <f t="shared" si="14"/>
        <v>3.7259836684195337E-2</v>
      </c>
      <c r="Y41" s="9">
        <f t="shared" si="15"/>
        <v>123369.34981106904</v>
      </c>
      <c r="AA41" s="128">
        <v>44503</v>
      </c>
      <c r="AB41" s="129">
        <v>1329.5084999000005</v>
      </c>
    </row>
    <row r="42" spans="1:28">
      <c r="A42" s="10">
        <v>41</v>
      </c>
      <c r="B42" s="9" t="s">
        <v>251</v>
      </c>
      <c r="C42" s="51" t="s">
        <v>227</v>
      </c>
      <c r="D42" s="52">
        <v>44354</v>
      </c>
      <c r="E42" s="9">
        <v>545.85</v>
      </c>
      <c r="F42" s="52">
        <v>44356</v>
      </c>
      <c r="G42" s="9">
        <v>556.4</v>
      </c>
      <c r="H42" s="9">
        <f ca="1">IFERROR(__xludf.DUMMYFUNCTION("GOOGLEFINANCE(""NSE:""&amp;B42,""price"")"),493.45)</f>
        <v>493.45</v>
      </c>
      <c r="I42" s="10">
        <v>20</v>
      </c>
      <c r="J42" s="9">
        <f t="shared" si="0"/>
        <v>10917</v>
      </c>
      <c r="K42" s="9">
        <f t="shared" si="1"/>
        <v>22045</v>
      </c>
      <c r="L42" s="9">
        <f t="shared" si="16"/>
        <v>0</v>
      </c>
      <c r="M42" s="53">
        <f t="shared" si="3"/>
        <v>0</v>
      </c>
      <c r="N42" s="9">
        <f t="shared" si="4"/>
        <v>210.99999999999909</v>
      </c>
      <c r="O42" s="53">
        <f t="shared" si="5"/>
        <v>1.9327654117431446E-2</v>
      </c>
      <c r="P42" s="9">
        <f t="shared" si="6"/>
        <v>22.045000000000002</v>
      </c>
      <c r="Q42" s="9">
        <f t="shared" si="7"/>
        <v>0.71646249999999989</v>
      </c>
      <c r="R42" s="9">
        <f t="shared" si="8"/>
        <v>0.12896324999999997</v>
      </c>
      <c r="S42" s="9">
        <f t="shared" si="9"/>
        <v>1.1022499999999999E-2</v>
      </c>
      <c r="T42" s="9">
        <f t="shared" si="10"/>
        <v>22.901448249999998</v>
      </c>
      <c r="U42" s="9">
        <f t="shared" si="20"/>
        <v>16</v>
      </c>
      <c r="V42" s="9">
        <f t="shared" si="21"/>
        <v>38.901448250000001</v>
      </c>
      <c r="W42" s="9">
        <f t="shared" si="13"/>
        <v>172.0985517499991</v>
      </c>
      <c r="X42" s="53">
        <f t="shared" si="14"/>
        <v>1.5764271480260064E-2</v>
      </c>
      <c r="Y42" s="9">
        <f t="shared" si="15"/>
        <v>123541.44836281904</v>
      </c>
      <c r="AA42" s="128">
        <v>44530</v>
      </c>
      <c r="AB42" s="129">
        <v>980.20697479999978</v>
      </c>
    </row>
    <row r="43" spans="1:28" ht="13.2">
      <c r="A43" s="10">
        <v>42</v>
      </c>
      <c r="B43" s="9" t="s">
        <v>252</v>
      </c>
      <c r="C43" s="51" t="s">
        <v>227</v>
      </c>
      <c r="D43" s="52">
        <v>44375</v>
      </c>
      <c r="E43" s="9">
        <v>674.25</v>
      </c>
      <c r="F43" s="73">
        <v>44405</v>
      </c>
      <c r="G43" s="9">
        <v>678.85</v>
      </c>
      <c r="H43" s="9">
        <f ca="1">IFERROR(__xludf.DUMMYFUNCTION("GOOGLEFINANCE(""NSE:""&amp;B43,""price"")"),1753.4)</f>
        <v>1753.4</v>
      </c>
      <c r="I43" s="10">
        <v>20</v>
      </c>
      <c r="J43" s="9">
        <f t="shared" si="0"/>
        <v>13485</v>
      </c>
      <c r="K43" s="9">
        <f t="shared" si="1"/>
        <v>27062</v>
      </c>
      <c r="L43" s="9">
        <f t="shared" si="16"/>
        <v>0</v>
      </c>
      <c r="M43" s="53">
        <f t="shared" si="3"/>
        <v>0</v>
      </c>
      <c r="N43" s="9">
        <f t="shared" si="4"/>
        <v>92.000000000000455</v>
      </c>
      <c r="O43" s="53">
        <f t="shared" si="5"/>
        <v>6.8223952539859436E-3</v>
      </c>
      <c r="P43" s="9">
        <f t="shared" si="6"/>
        <v>27.062000000000001</v>
      </c>
      <c r="Q43" s="9">
        <f t="shared" si="7"/>
        <v>0.87951499999999994</v>
      </c>
      <c r="R43" s="9">
        <f t="shared" si="8"/>
        <v>0.15831269999999997</v>
      </c>
      <c r="S43" s="9">
        <f t="shared" si="9"/>
        <v>1.3531E-2</v>
      </c>
      <c r="T43" s="9">
        <f t="shared" si="10"/>
        <v>28.113358700000003</v>
      </c>
      <c r="U43" s="9">
        <f t="shared" si="20"/>
        <v>16</v>
      </c>
      <c r="V43" s="9">
        <f t="shared" si="21"/>
        <v>44.113358700000006</v>
      </c>
      <c r="W43" s="9">
        <f t="shared" si="13"/>
        <v>47.886641300000448</v>
      </c>
      <c r="X43" s="53">
        <f t="shared" si="14"/>
        <v>3.5511042862440079E-3</v>
      </c>
      <c r="Y43" s="9">
        <f t="shared" si="15"/>
        <v>123589.33500411904</v>
      </c>
      <c r="AA43" s="128" t="s">
        <v>276</v>
      </c>
      <c r="AB43" s="129">
        <v>0</v>
      </c>
    </row>
    <row r="44" spans="1:28" ht="13.2">
      <c r="A44" s="10">
        <v>43</v>
      </c>
      <c r="B44" s="9" t="s">
        <v>253</v>
      </c>
      <c r="C44" s="51" t="s">
        <v>227</v>
      </c>
      <c r="D44" s="52">
        <v>44376</v>
      </c>
      <c r="E44" s="9">
        <v>1166.5</v>
      </c>
      <c r="F44" s="52">
        <v>44405</v>
      </c>
      <c r="G44" s="9">
        <v>1097.25</v>
      </c>
      <c r="H44" s="9">
        <f ca="1">IFERROR(__xludf.DUMMYFUNCTION("GOOGLEFINANCE(""NSE:""&amp;B44,""price"")"),2108.5)</f>
        <v>2108.5</v>
      </c>
      <c r="I44" s="10">
        <v>11</v>
      </c>
      <c r="J44" s="9">
        <f t="shared" si="0"/>
        <v>12831.5</v>
      </c>
      <c r="K44" s="9">
        <f t="shared" si="1"/>
        <v>24901.25</v>
      </c>
      <c r="L44" s="9">
        <f t="shared" si="16"/>
        <v>0</v>
      </c>
      <c r="M44" s="53">
        <f t="shared" si="3"/>
        <v>0</v>
      </c>
      <c r="N44" s="9">
        <f t="shared" si="4"/>
        <v>-761.75</v>
      </c>
      <c r="O44" s="53">
        <f t="shared" si="5"/>
        <v>-5.9365623660522934E-2</v>
      </c>
      <c r="P44" s="9">
        <f t="shared" si="6"/>
        <v>24.901250000000001</v>
      </c>
      <c r="Q44" s="9">
        <f t="shared" si="7"/>
        <v>0.80929062499999993</v>
      </c>
      <c r="R44" s="9">
        <f t="shared" si="8"/>
        <v>0.14567231249999998</v>
      </c>
      <c r="S44" s="9">
        <f t="shared" si="9"/>
        <v>1.2450625E-2</v>
      </c>
      <c r="T44" s="9">
        <f t="shared" si="10"/>
        <v>25.8686635625</v>
      </c>
      <c r="U44" s="9">
        <f t="shared" si="20"/>
        <v>16</v>
      </c>
      <c r="V44" s="9">
        <f t="shared" si="21"/>
        <v>41.868663562500004</v>
      </c>
      <c r="W44" s="9">
        <f t="shared" si="13"/>
        <v>-803.61866356250005</v>
      </c>
      <c r="X44" s="53">
        <f t="shared" si="14"/>
        <v>-6.2628583062190712E-2</v>
      </c>
      <c r="Y44" s="9">
        <f t="shared" si="15"/>
        <v>122785.71634055654</v>
      </c>
      <c r="AA44" s="130" t="s">
        <v>48</v>
      </c>
      <c r="AB44" s="131">
        <v>41118.661386796513</v>
      </c>
    </row>
    <row r="45" spans="1:28" ht="13.2">
      <c r="A45" s="10">
        <v>44</v>
      </c>
      <c r="B45" s="9" t="s">
        <v>147</v>
      </c>
      <c r="C45" s="51" t="s">
        <v>227</v>
      </c>
      <c r="D45" s="52">
        <v>44393</v>
      </c>
      <c r="E45" s="9">
        <v>312.3</v>
      </c>
      <c r="F45" s="52">
        <v>44467</v>
      </c>
      <c r="G45" s="9">
        <v>333.1</v>
      </c>
      <c r="H45" s="9" t="str">
        <f ca="1">IFERROR(__xludf.DUMMYFUNCTION("GOOGLEFINANCE(""NSE:""&amp;B45,""price"")"),"#N/A")</f>
        <v>#N/A</v>
      </c>
      <c r="I45" s="10">
        <v>40</v>
      </c>
      <c r="J45" s="9">
        <f t="shared" si="0"/>
        <v>12492</v>
      </c>
      <c r="K45" s="9">
        <f t="shared" si="1"/>
        <v>25816.000000000004</v>
      </c>
      <c r="L45" s="9">
        <f t="shared" si="16"/>
        <v>0</v>
      </c>
      <c r="M45" s="53">
        <f t="shared" si="3"/>
        <v>0</v>
      </c>
      <c r="N45" s="9">
        <f t="shared" si="4"/>
        <v>832.00000000000045</v>
      </c>
      <c r="O45" s="53">
        <f t="shared" si="5"/>
        <v>6.6602625680435512E-2</v>
      </c>
      <c r="P45" s="9">
        <f t="shared" si="6"/>
        <v>25.816000000000003</v>
      </c>
      <c r="Q45" s="9">
        <f t="shared" si="7"/>
        <v>0.8390200000000001</v>
      </c>
      <c r="R45" s="9">
        <f t="shared" si="8"/>
        <v>0.15102360000000001</v>
      </c>
      <c r="S45" s="9">
        <f t="shared" si="9"/>
        <v>1.2908000000000001E-2</v>
      </c>
      <c r="T45" s="9">
        <f t="shared" si="10"/>
        <v>26.818951600000002</v>
      </c>
      <c r="U45" s="9">
        <f t="shared" si="20"/>
        <v>16</v>
      </c>
      <c r="V45" s="9">
        <f t="shared" si="21"/>
        <v>42.818951600000005</v>
      </c>
      <c r="W45" s="9">
        <f t="shared" si="13"/>
        <v>789.18104840000046</v>
      </c>
      <c r="X45" s="53">
        <f t="shared" si="14"/>
        <v>6.3174915818123636E-2</v>
      </c>
      <c r="Y45" s="9">
        <f t="shared" si="15"/>
        <v>123574.89738895654</v>
      </c>
    </row>
    <row r="46" spans="1:28" ht="13.2">
      <c r="A46" s="10">
        <v>45</v>
      </c>
      <c r="B46" s="9" t="s">
        <v>151</v>
      </c>
      <c r="C46" s="51" t="s">
        <v>227</v>
      </c>
      <c r="D46" s="52">
        <v>44400</v>
      </c>
      <c r="E46" s="9">
        <v>76</v>
      </c>
      <c r="F46" s="52">
        <v>44400</v>
      </c>
      <c r="G46" s="9">
        <v>121.08</v>
      </c>
      <c r="H46" s="9" t="str">
        <f ca="1">IFERROR(__xludf.DUMMYFUNCTION("GOOGLEFINANCE(""NSE:""&amp;B46,""price"")"),"#N/A")</f>
        <v>#N/A</v>
      </c>
      <c r="I46" s="10">
        <v>120</v>
      </c>
      <c r="J46" s="9">
        <f t="shared" si="0"/>
        <v>9120</v>
      </c>
      <c r="K46" s="9">
        <f t="shared" si="1"/>
        <v>23649.599999999999</v>
      </c>
      <c r="L46" s="9">
        <f t="shared" si="16"/>
        <v>0</v>
      </c>
      <c r="M46" s="53">
        <f t="shared" si="3"/>
        <v>0</v>
      </c>
      <c r="N46" s="9">
        <f t="shared" si="4"/>
        <v>5409.5999999999995</v>
      </c>
      <c r="O46" s="53">
        <f t="shared" si="5"/>
        <v>0.59315789473684211</v>
      </c>
      <c r="P46" s="9">
        <f t="shared" si="6"/>
        <v>23.6496</v>
      </c>
      <c r="Q46" s="9">
        <f t="shared" si="7"/>
        <v>0.76861199999999985</v>
      </c>
      <c r="R46" s="9">
        <f t="shared" si="8"/>
        <v>0.13835015999999997</v>
      </c>
      <c r="S46" s="9">
        <f t="shared" si="9"/>
        <v>1.1824799999999998E-2</v>
      </c>
      <c r="T46" s="9">
        <f t="shared" si="10"/>
        <v>24.568386960000002</v>
      </c>
      <c r="U46" s="9">
        <f t="shared" si="20"/>
        <v>16</v>
      </c>
      <c r="V46" s="9">
        <f t="shared" si="21"/>
        <v>40.568386959999998</v>
      </c>
      <c r="W46" s="9">
        <f t="shared" si="13"/>
        <v>5369.0316130399997</v>
      </c>
      <c r="X46" s="53">
        <f t="shared" si="14"/>
        <v>0.58870960669298245</v>
      </c>
      <c r="Y46" s="9">
        <f t="shared" si="15"/>
        <v>128943.92900199654</v>
      </c>
    </row>
    <row r="47" spans="1:28" ht="13.2">
      <c r="A47" s="10">
        <v>46</v>
      </c>
      <c r="B47" s="9" t="s">
        <v>151</v>
      </c>
      <c r="C47" s="51" t="s">
        <v>227</v>
      </c>
      <c r="D47" s="52">
        <v>44400</v>
      </c>
      <c r="E47" s="9">
        <v>76</v>
      </c>
      <c r="F47" s="52"/>
      <c r="G47" s="9">
        <v>0</v>
      </c>
      <c r="H47" s="9" t="str">
        <f ca="1">IFERROR(__xludf.DUMMYFUNCTION("GOOGLEFINANCE(""NSE:""&amp;B47,""price"")"),"#N/A")</f>
        <v>#N/A</v>
      </c>
      <c r="I47" s="10">
        <v>75</v>
      </c>
      <c r="J47" s="9">
        <f t="shared" si="0"/>
        <v>5700</v>
      </c>
      <c r="K47" s="9">
        <f t="shared" si="1"/>
        <v>5700</v>
      </c>
      <c r="L47" s="9" t="e">
        <f t="shared" ca="1" si="16"/>
        <v>#VALUE!</v>
      </c>
      <c r="M47" s="53" t="e">
        <f t="shared" ca="1" si="3"/>
        <v>#VALUE!</v>
      </c>
      <c r="N47" s="9">
        <f t="shared" si="4"/>
        <v>0</v>
      </c>
      <c r="O47" s="53">
        <f t="shared" si="5"/>
        <v>0</v>
      </c>
      <c r="P47" s="9">
        <f t="shared" si="6"/>
        <v>5.7</v>
      </c>
      <c r="Q47" s="9">
        <f t="shared" si="7"/>
        <v>0.18524999999999997</v>
      </c>
      <c r="R47" s="9">
        <f t="shared" si="8"/>
        <v>3.3344999999999993E-2</v>
      </c>
      <c r="S47" s="9">
        <f t="shared" si="9"/>
        <v>2.8499999999999997E-3</v>
      </c>
      <c r="T47" s="9">
        <f t="shared" si="10"/>
        <v>5.9214449999999994</v>
      </c>
      <c r="U47" s="9">
        <f t="shared" si="20"/>
        <v>0</v>
      </c>
      <c r="V47" s="9">
        <f t="shared" si="21"/>
        <v>5.9214449999999994</v>
      </c>
      <c r="W47" s="9">
        <f t="shared" si="13"/>
        <v>0</v>
      </c>
      <c r="X47" s="53">
        <f t="shared" si="14"/>
        <v>0</v>
      </c>
      <c r="Y47" s="9">
        <f t="shared" si="15"/>
        <v>128943.92900199654</v>
      </c>
    </row>
    <row r="48" spans="1:28" ht="13.2">
      <c r="A48" s="10">
        <v>47</v>
      </c>
      <c r="B48" s="9" t="s">
        <v>228</v>
      </c>
      <c r="C48" s="51" t="s">
        <v>227</v>
      </c>
      <c r="D48" s="52">
        <v>44421</v>
      </c>
      <c r="E48" s="9">
        <v>2700</v>
      </c>
      <c r="F48" s="52">
        <v>44466</v>
      </c>
      <c r="G48" s="9">
        <v>2854</v>
      </c>
      <c r="H48" s="9" t="str">
        <f ca="1">IFERROR(__xludf.DUMMYFUNCTION("GOOGLEFINANCE(""NSE:""&amp;B48,""price"")"),"#N/A")</f>
        <v>#N/A</v>
      </c>
      <c r="I48" s="10">
        <v>4</v>
      </c>
      <c r="J48" s="9">
        <f t="shared" si="0"/>
        <v>10800</v>
      </c>
      <c r="K48" s="9">
        <f t="shared" si="1"/>
        <v>22216</v>
      </c>
      <c r="L48" s="9">
        <f t="shared" si="16"/>
        <v>0</v>
      </c>
      <c r="M48" s="53">
        <f t="shared" si="3"/>
        <v>0</v>
      </c>
      <c r="N48" s="9">
        <f t="shared" si="4"/>
        <v>616</v>
      </c>
      <c r="O48" s="53">
        <f t="shared" si="5"/>
        <v>5.7037037037037039E-2</v>
      </c>
      <c r="P48" s="9">
        <f t="shared" si="6"/>
        <v>22.216000000000001</v>
      </c>
      <c r="Q48" s="9">
        <f t="shared" si="7"/>
        <v>0.72201999999999988</v>
      </c>
      <c r="R48" s="9">
        <f t="shared" si="8"/>
        <v>0.12996359999999998</v>
      </c>
      <c r="S48" s="9">
        <f t="shared" si="9"/>
        <v>1.1108E-2</v>
      </c>
      <c r="T48" s="9">
        <f t="shared" si="10"/>
        <v>23.079091600000002</v>
      </c>
      <c r="U48" s="9">
        <f t="shared" si="20"/>
        <v>16</v>
      </c>
      <c r="V48" s="9">
        <f t="shared" si="21"/>
        <v>39.079091599999998</v>
      </c>
      <c r="W48" s="9">
        <f t="shared" si="13"/>
        <v>576.92090840000003</v>
      </c>
      <c r="X48" s="53">
        <f t="shared" si="14"/>
        <v>5.3418602629629636E-2</v>
      </c>
      <c r="Y48" s="9">
        <f t="shared" si="15"/>
        <v>129520.84991039654</v>
      </c>
    </row>
    <row r="49" spans="1:25" ht="13.2">
      <c r="A49" s="10">
        <v>48</v>
      </c>
      <c r="B49" s="9" t="s">
        <v>254</v>
      </c>
      <c r="C49" s="51" t="s">
        <v>109</v>
      </c>
      <c r="D49" s="52">
        <v>44434</v>
      </c>
      <c r="E49" s="9">
        <v>74.05</v>
      </c>
      <c r="F49" s="52">
        <v>44483</v>
      </c>
      <c r="G49" s="9">
        <v>77.05</v>
      </c>
      <c r="H49" s="9">
        <f ca="1">IFERROR(__xludf.DUMMYFUNCTION("GOOGLEFINANCE(""NSE:""&amp;B49,""price"")"),37.5)</f>
        <v>37.5</v>
      </c>
      <c r="I49" s="10">
        <v>100</v>
      </c>
      <c r="J49" s="9">
        <f t="shared" si="0"/>
        <v>7405</v>
      </c>
      <c r="K49" s="9">
        <f t="shared" si="1"/>
        <v>15110</v>
      </c>
      <c r="L49" s="9">
        <f t="shared" si="16"/>
        <v>0</v>
      </c>
      <c r="M49" s="53">
        <f t="shared" si="3"/>
        <v>0</v>
      </c>
      <c r="N49" s="9">
        <f t="shared" si="4"/>
        <v>300</v>
      </c>
      <c r="O49" s="53">
        <f t="shared" si="5"/>
        <v>4.051316677920324E-2</v>
      </c>
      <c r="P49" s="9">
        <f t="shared" si="6"/>
        <v>15.11</v>
      </c>
      <c r="Q49" s="9">
        <f t="shared" si="7"/>
        <v>0.49107499999999998</v>
      </c>
      <c r="R49" s="9">
        <f t="shared" si="8"/>
        <v>8.83935E-2</v>
      </c>
      <c r="S49" s="9">
        <f t="shared" si="9"/>
        <v>7.5550000000000001E-3</v>
      </c>
      <c r="T49" s="9">
        <f t="shared" si="10"/>
        <v>15.6970235</v>
      </c>
      <c r="U49" s="9">
        <f t="shared" si="20"/>
        <v>16</v>
      </c>
      <c r="V49" s="9">
        <f t="shared" si="21"/>
        <v>31.6970235</v>
      </c>
      <c r="W49" s="9">
        <f t="shared" si="13"/>
        <v>268.3029765</v>
      </c>
      <c r="X49" s="53">
        <f t="shared" si="14"/>
        <v>3.6232677447670496E-2</v>
      </c>
      <c r="Y49" s="9">
        <f t="shared" si="15"/>
        <v>129789.15288689654</v>
      </c>
    </row>
    <row r="50" spans="1:25" ht="13.2">
      <c r="A50" s="10">
        <v>48</v>
      </c>
      <c r="B50" s="9" t="s">
        <v>116</v>
      </c>
      <c r="C50" s="51" t="s">
        <v>109</v>
      </c>
      <c r="D50" s="52">
        <v>44466</v>
      </c>
      <c r="E50" s="9">
        <v>834.65</v>
      </c>
      <c r="F50" s="10"/>
      <c r="G50" s="9">
        <v>0</v>
      </c>
      <c r="H50" s="9">
        <f ca="1">IFERROR(__xludf.DUMMYFUNCTION("GOOGLEFINANCE(""NSE:""&amp;B50,""price"")"),1185.2)</f>
        <v>1185.2</v>
      </c>
      <c r="I50" s="10">
        <v>12</v>
      </c>
      <c r="J50" s="9">
        <f t="shared" si="0"/>
        <v>10015.799999999999</v>
      </c>
      <c r="K50" s="9">
        <f t="shared" si="1"/>
        <v>10015.799999999999</v>
      </c>
      <c r="L50" s="9">
        <f t="shared" ca="1" si="16"/>
        <v>4206.6000000000004</v>
      </c>
      <c r="M50" s="53">
        <f t="shared" ca="1" si="3"/>
        <v>0.41999640567902724</v>
      </c>
      <c r="N50" s="9">
        <f t="shared" si="4"/>
        <v>0</v>
      </c>
      <c r="O50" s="53">
        <f t="shared" si="5"/>
        <v>0</v>
      </c>
      <c r="P50" s="9">
        <f t="shared" si="6"/>
        <v>10.015799999999999</v>
      </c>
      <c r="Q50" s="9">
        <f t="shared" si="7"/>
        <v>0.32551349999999996</v>
      </c>
      <c r="R50" s="9">
        <f t="shared" si="8"/>
        <v>5.8592429999999987E-2</v>
      </c>
      <c r="S50" s="9">
        <f t="shared" si="9"/>
        <v>5.0078999999999992E-3</v>
      </c>
      <c r="T50" s="9">
        <f t="shared" si="10"/>
        <v>10.404913829999998</v>
      </c>
      <c r="U50" s="9">
        <f t="shared" si="20"/>
        <v>0</v>
      </c>
      <c r="V50" s="9">
        <f t="shared" si="21"/>
        <v>10.404913829999998</v>
      </c>
      <c r="W50" s="9">
        <f t="shared" si="13"/>
        <v>0</v>
      </c>
      <c r="X50" s="53">
        <f t="shared" si="14"/>
        <v>0</v>
      </c>
      <c r="Y50" s="9">
        <f t="shared" si="15"/>
        <v>129789.15288689654</v>
      </c>
    </row>
    <row r="51" spans="1:25" ht="13.2">
      <c r="A51" s="59">
        <v>49</v>
      </c>
      <c r="B51" s="57" t="s">
        <v>255</v>
      </c>
      <c r="C51" s="62" t="s">
        <v>109</v>
      </c>
      <c r="D51" s="58">
        <v>44474</v>
      </c>
      <c r="E51" s="57">
        <v>434.2</v>
      </c>
      <c r="F51" s="58">
        <v>44503</v>
      </c>
      <c r="G51" s="57">
        <v>480</v>
      </c>
      <c r="H51" s="57">
        <f ca="1">IFERROR(__xludf.DUMMYFUNCTION("GOOGLEFINANCE(""NSE:""&amp;B51,""price"")"),951.5)</f>
        <v>951.5</v>
      </c>
      <c r="I51" s="59">
        <v>30</v>
      </c>
      <c r="J51" s="57">
        <f t="shared" si="0"/>
        <v>13026</v>
      </c>
      <c r="K51" s="57">
        <f t="shared" si="1"/>
        <v>27426</v>
      </c>
      <c r="L51" s="57">
        <f t="shared" si="16"/>
        <v>0</v>
      </c>
      <c r="M51" s="63">
        <f t="shared" si="3"/>
        <v>0</v>
      </c>
      <c r="N51" s="57">
        <f t="shared" si="4"/>
        <v>1374.0000000000005</v>
      </c>
      <c r="O51" s="63">
        <f t="shared" si="5"/>
        <v>0.10548134500230312</v>
      </c>
      <c r="P51" s="57">
        <f t="shared" si="6"/>
        <v>27.426000000000002</v>
      </c>
      <c r="Q51" s="57">
        <f t="shared" si="7"/>
        <v>0.89134499999999994</v>
      </c>
      <c r="R51" s="57">
        <f t="shared" si="8"/>
        <v>0.16044209999999998</v>
      </c>
      <c r="S51" s="57">
        <f t="shared" si="9"/>
        <v>1.3712999999999999E-2</v>
      </c>
      <c r="T51" s="57">
        <f t="shared" si="10"/>
        <v>28.491500100000003</v>
      </c>
      <c r="U51" s="57">
        <f t="shared" si="20"/>
        <v>16</v>
      </c>
      <c r="V51" s="57">
        <f t="shared" si="21"/>
        <v>44.491500100000003</v>
      </c>
      <c r="W51" s="57">
        <f t="shared" si="13"/>
        <v>1329.5084999000005</v>
      </c>
      <c r="X51" s="63">
        <f t="shared" si="14"/>
        <v>0.10206575310148937</v>
      </c>
      <c r="Y51" s="57">
        <f t="shared" ref="Y51:Y53" si="22">SUM(Y48,W51)</f>
        <v>130850.35841029654</v>
      </c>
    </row>
    <row r="52" spans="1:25" ht="13.2">
      <c r="A52" s="10">
        <v>50</v>
      </c>
      <c r="B52" s="9" t="s">
        <v>34</v>
      </c>
      <c r="C52" s="51" t="s">
        <v>109</v>
      </c>
      <c r="D52" s="52">
        <v>44516</v>
      </c>
      <c r="E52" s="9">
        <v>1168</v>
      </c>
      <c r="F52" s="52">
        <v>44561</v>
      </c>
      <c r="G52" s="9">
        <v>1315.4</v>
      </c>
      <c r="H52" s="57">
        <f ca="1">IFERROR(__xludf.DUMMYFUNCTION("GOOGLEFINANCE(""NSE:""&amp;B52,""price"")"),1674.8)</f>
        <v>1674.8</v>
      </c>
      <c r="I52" s="10">
        <v>10</v>
      </c>
      <c r="J52" s="57">
        <f t="shared" si="0"/>
        <v>11680</v>
      </c>
      <c r="K52" s="57">
        <f t="shared" si="1"/>
        <v>24834</v>
      </c>
      <c r="L52" s="57">
        <f t="shared" si="16"/>
        <v>0</v>
      </c>
      <c r="M52" s="63">
        <f t="shared" si="3"/>
        <v>0</v>
      </c>
      <c r="N52" s="57">
        <f t="shared" si="4"/>
        <v>1474.0000000000009</v>
      </c>
      <c r="O52" s="63">
        <f t="shared" si="5"/>
        <v>0.12619863013698637</v>
      </c>
      <c r="P52" s="57">
        <f t="shared" si="6"/>
        <v>24.834</v>
      </c>
      <c r="Q52" s="57">
        <f t="shared" si="7"/>
        <v>0.80710499999999996</v>
      </c>
      <c r="R52" s="57">
        <f t="shared" si="8"/>
        <v>0.14527889999999999</v>
      </c>
      <c r="S52" s="57">
        <f t="shared" si="9"/>
        <v>1.2416999999999999E-2</v>
      </c>
      <c r="T52" s="57">
        <f t="shared" si="10"/>
        <v>25.7988009</v>
      </c>
      <c r="U52" s="57">
        <f t="shared" si="20"/>
        <v>16</v>
      </c>
      <c r="V52" s="57">
        <f t="shared" si="21"/>
        <v>41.798800900000003</v>
      </c>
      <c r="W52" s="57">
        <f t="shared" si="13"/>
        <v>1432.2011991000008</v>
      </c>
      <c r="X52" s="63">
        <f t="shared" si="14"/>
        <v>0.12261996567636993</v>
      </c>
      <c r="Y52" s="57">
        <f t="shared" si="22"/>
        <v>131221.35408599654</v>
      </c>
    </row>
    <row r="53" spans="1:25" ht="13.2">
      <c r="A53" s="59">
        <v>51</v>
      </c>
      <c r="B53" s="57" t="s">
        <v>35</v>
      </c>
      <c r="C53" s="62" t="s">
        <v>109</v>
      </c>
      <c r="D53" s="58">
        <v>44504</v>
      </c>
      <c r="E53" s="57">
        <v>822.5</v>
      </c>
      <c r="F53" s="58">
        <v>44568</v>
      </c>
      <c r="G53" s="57">
        <v>873</v>
      </c>
      <c r="H53" s="57">
        <f ca="1">IFERROR(__xludf.DUMMYFUNCTION("GOOGLEFINANCE(""NSE:""&amp;B53,""price"")"),680.5)</f>
        <v>680.5</v>
      </c>
      <c r="I53" s="59">
        <v>11</v>
      </c>
      <c r="J53" s="57">
        <f t="shared" si="0"/>
        <v>9047.5</v>
      </c>
      <c r="K53" s="57">
        <f t="shared" si="1"/>
        <v>18650.5</v>
      </c>
      <c r="L53" s="57">
        <f t="shared" si="16"/>
        <v>0</v>
      </c>
      <c r="M53" s="63">
        <f t="shared" si="3"/>
        <v>0</v>
      </c>
      <c r="N53" s="57">
        <f t="shared" si="4"/>
        <v>555.5</v>
      </c>
      <c r="O53" s="63">
        <f t="shared" si="5"/>
        <v>6.139817629179331E-2</v>
      </c>
      <c r="P53" s="57">
        <f t="shared" si="6"/>
        <v>18.650500000000001</v>
      </c>
      <c r="Q53" s="57">
        <f t="shared" si="7"/>
        <v>0.60614124999999996</v>
      </c>
      <c r="R53" s="57">
        <f t="shared" si="8"/>
        <v>0.10910542499999999</v>
      </c>
      <c r="S53" s="57">
        <f t="shared" si="9"/>
        <v>9.3252500000000002E-3</v>
      </c>
      <c r="T53" s="57">
        <f t="shared" si="10"/>
        <v>19.375071925</v>
      </c>
      <c r="U53" s="57">
        <f t="shared" si="20"/>
        <v>16</v>
      </c>
      <c r="V53" s="57">
        <f t="shared" si="21"/>
        <v>35.375071925</v>
      </c>
      <c r="W53" s="57">
        <f t="shared" si="13"/>
        <v>520.12492807499996</v>
      </c>
      <c r="X53" s="63">
        <f t="shared" si="14"/>
        <v>5.7488248474716765E-2</v>
      </c>
      <c r="Y53" s="57">
        <f t="shared" si="22"/>
        <v>130309.27781497155</v>
      </c>
    </row>
    <row r="54" spans="1:25" ht="13.2">
      <c r="A54" s="64"/>
      <c r="B54" s="104" t="s">
        <v>226</v>
      </c>
      <c r="C54" s="105"/>
      <c r="D54" s="105"/>
      <c r="E54" s="105"/>
      <c r="F54" s="105"/>
      <c r="G54" s="105"/>
      <c r="H54" s="105"/>
      <c r="I54" s="106"/>
      <c r="J54" s="67"/>
      <c r="K54" s="65">
        <f t="array" aca="1" ref="K54" ca="1">SUM(INDIRECT("J2"&amp; ":J" &amp; ROW()-1) )</f>
        <v>543715.01</v>
      </c>
      <c r="L54" s="65" t="e">
        <f t="array" aca="1" ref="L54" ca="1">SUM( INDIRECT("L2"&amp; ":L" &amp; ROW()-1) )</f>
        <v>#VALUE!</v>
      </c>
      <c r="M54" s="66"/>
      <c r="N54" s="65">
        <f t="array" aca="1" ref="N54" ca="1">SUM(INDIRECT("N2"&amp; ":N" &amp; ROW()-1) )</f>
        <v>45122.290000000008</v>
      </c>
      <c r="O54" s="66">
        <f t="array" aca="1" ref="O54" ca="1">AVERAGEIF(INDIRECT("O2"&amp; ":O" &amp; ROW()-1),"&lt;&gt;0")</f>
        <v>8.4609795688575129E-2</v>
      </c>
      <c r="P54" s="66">
        <f t="array" aca="1" ref="P54" ca="1">SUM(INDIRECT("O3"&amp; ":O" &amp; ROW()-1) )</f>
        <v>3.8601878565764163</v>
      </c>
      <c r="Q54" s="65">
        <f t="array" aca="1" ref="Q54" ca="1">SUM(INDIRECT("P3"&amp; ":P" &amp; ROW()-1) )</f>
        <v>1052.4022600000001</v>
      </c>
      <c r="R54" s="65">
        <f t="array" aca="1" ref="R54" ca="1">SUM(INDIRECT("Q3"&amp; ":Q" &amp; ROW()-1) )</f>
        <v>34.203073450000005</v>
      </c>
      <c r="S54" s="65">
        <f t="array" aca="1" ref="S54" ca="1">SUM(INDIRECT("R3"&amp; ":R" &amp; ROW()-1) )</f>
        <v>6.1565532209999994</v>
      </c>
      <c r="T54" s="65">
        <f t="array" aca="1" ref="T54" ca="1">SUM(INDIRECT("S3"&amp; ":S" &amp; ROW()-1) )</f>
        <v>0.52620113000000002</v>
      </c>
      <c r="U54" s="65">
        <f t="array" aca="1" ref="U54" ca="1">SUM(INDIRECT("T3"&amp; ":T" &amp; ROW()-1) )</f>
        <v>1093.2880878010001</v>
      </c>
      <c r="V54" s="72">
        <f t="array" aca="1" ref="V54" ca="1">SUM(INDIRECT("V2"&amp; ":V" &amp; ROW()-1) )</f>
        <v>2093.2284462709995</v>
      </c>
      <c r="W54" s="65">
        <f t="array" aca="1" ref="W54" ca="1">SUM(INDIRECT("W2"&amp; ":W" &amp; ROW()-1) )</f>
        <v>43070.987513971522</v>
      </c>
      <c r="X54" s="66">
        <f ca="1">W54/AB2</f>
        <v>0.47856652793301691</v>
      </c>
      <c r="Y54" s="67"/>
    </row>
  </sheetData>
  <autoFilter ref="A1:Y54" xr:uid="{00000000-0009-0000-0000-00000C000000}"/>
  <mergeCells count="1">
    <mergeCell ref="B54:I54"/>
  </mergeCells>
  <conditionalFormatting sqref="L2:O54 W2:X54 AB4:AB5 AC12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B2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33203125" customWidth="1"/>
    <col min="3" max="3" width="10.77734375" customWidth="1"/>
    <col min="4" max="4" width="8.33203125" customWidth="1"/>
    <col min="5" max="5" width="10.44140625" customWidth="1"/>
    <col min="6" max="6" width="6.44140625" customWidth="1"/>
    <col min="7" max="7" width="8.33203125" customWidth="1"/>
    <col min="8" max="8" width="6.88671875" customWidth="1"/>
    <col min="9" max="10" width="10.21875" customWidth="1"/>
    <col min="11" max="11" width="15.109375" customWidth="1"/>
    <col min="12" max="12" width="7.109375" customWidth="1"/>
    <col min="14" max="14" width="7.109375" customWidth="1"/>
    <col min="15" max="15" width="7" hidden="1" customWidth="1"/>
    <col min="16" max="16" width="9.77734375" hidden="1" customWidth="1"/>
    <col min="17" max="17" width="5.109375" hidden="1" customWidth="1"/>
    <col min="18" max="18" width="11.21875" hidden="1" customWidth="1"/>
    <col min="19" max="19" width="8" hidden="1" customWidth="1"/>
    <col min="20" max="20" width="10.109375" hidden="1" customWidth="1"/>
    <col min="21" max="21" width="11.21875" customWidth="1"/>
    <col min="22" max="22" width="9.33203125" customWidth="1"/>
    <col min="23" max="23" width="8.44140625" customWidth="1"/>
    <col min="25" max="25" width="7.109375" customWidth="1"/>
    <col min="26" max="26" width="17.88671875" customWidth="1"/>
    <col min="27" max="27" width="18" customWidth="1"/>
    <col min="28" max="28" width="16.44140625" customWidth="1"/>
  </cols>
  <sheetData>
    <row r="1" spans="1:28">
      <c r="A1" s="49" t="s">
        <v>256</v>
      </c>
      <c r="B1" s="49" t="s">
        <v>4</v>
      </c>
      <c r="C1" s="49" t="s">
        <v>74</v>
      </c>
      <c r="D1" s="49" t="s">
        <v>75</v>
      </c>
      <c r="E1" s="49" t="s">
        <v>76</v>
      </c>
      <c r="F1" s="49" t="s">
        <v>77</v>
      </c>
      <c r="G1" s="49" t="s">
        <v>78</v>
      </c>
      <c r="H1" s="49" t="s">
        <v>79</v>
      </c>
      <c r="I1" s="49" t="s">
        <v>80</v>
      </c>
      <c r="J1" s="49" t="s">
        <v>81</v>
      </c>
      <c r="K1" s="49" t="s">
        <v>6</v>
      </c>
      <c r="L1" s="49" t="s">
        <v>82</v>
      </c>
      <c r="M1" s="49" t="s">
        <v>5</v>
      </c>
      <c r="N1" s="49" t="s">
        <v>85</v>
      </c>
      <c r="O1" s="49" t="s">
        <v>86</v>
      </c>
      <c r="P1" s="49" t="s">
        <v>87</v>
      </c>
      <c r="Q1" s="49" t="s">
        <v>88</v>
      </c>
      <c r="R1" s="49" t="s">
        <v>89</v>
      </c>
      <c r="S1" s="49" t="s">
        <v>90</v>
      </c>
      <c r="T1" s="49" t="s">
        <v>91</v>
      </c>
      <c r="U1" s="49" t="s">
        <v>92</v>
      </c>
      <c r="V1" s="49" t="s">
        <v>93</v>
      </c>
      <c r="W1" s="49" t="s">
        <v>94</v>
      </c>
      <c r="X1" s="50" t="s">
        <v>95</v>
      </c>
      <c r="Y1" s="13"/>
      <c r="Z1" s="14"/>
    </row>
    <row r="2" spans="1:28">
      <c r="A2" s="10">
        <v>1</v>
      </c>
      <c r="B2" s="10" t="s">
        <v>38</v>
      </c>
      <c r="C2" s="52">
        <v>42950</v>
      </c>
      <c r="D2" s="9">
        <v>263.63</v>
      </c>
      <c r="E2" s="52"/>
      <c r="F2" s="9"/>
      <c r="G2" s="9">
        <f ca="1">IFERROR(__xludf.DUMMYFUNCTION("GOOGLEFINANCE(""NSE:""&amp;B2,""price"")"),400.65)</f>
        <v>400.65</v>
      </c>
      <c r="H2" s="10">
        <v>30</v>
      </c>
      <c r="I2" s="9">
        <f t="shared" ref="I2:I14" si="0">D2*H2</f>
        <v>7908.9</v>
      </c>
      <c r="J2" s="9">
        <f t="shared" ref="J2:J14" si="1">IF(F2&gt;0,(D2+F2)*H2,D2*H2)</f>
        <v>7908.9</v>
      </c>
      <c r="K2" s="9">
        <f t="shared" ref="K2:K14" ca="1" si="2">IF(F2&gt;0,0,(G2-D2)*H2)</f>
        <v>4110.5999999999995</v>
      </c>
      <c r="L2" s="53">
        <f t="shared" ref="L2:L14" ca="1" si="3">IF(F2&gt;0,0,(G2-D2)/D2)</f>
        <v>0.51974358001744869</v>
      </c>
      <c r="M2" s="9">
        <f t="shared" ref="M2:M14" si="4">IF(F2=0,0,(F2-D2)*H2)</f>
        <v>0</v>
      </c>
      <c r="N2" s="53">
        <f t="shared" ref="N2:N14" si="5">IF(F2&gt;0,(F2-D2)/D2,0)</f>
        <v>0</v>
      </c>
      <c r="O2" s="9">
        <f t="shared" ref="O2:O14" si="6">0.001*J2</f>
        <v>7.9089</v>
      </c>
      <c r="P2" s="9">
        <f t="shared" ref="P2:P14" si="7">0.0000325*J2</f>
        <v>0.25703924999999994</v>
      </c>
      <c r="Q2" s="9">
        <f t="shared" ref="Q2:Q14" si="8">0.18*P2</f>
        <v>4.6267064999999989E-2</v>
      </c>
      <c r="R2" s="9">
        <f t="shared" ref="R2:R14" si="9">0.0000005*J2</f>
        <v>3.95445E-3</v>
      </c>
      <c r="S2" s="9">
        <f t="shared" ref="S2:S14" si="10">O2+P2+Q2+R2</f>
        <v>8.2161607649999997</v>
      </c>
      <c r="T2" s="9">
        <f t="shared" ref="T2:T14" si="11">IF(F2&gt;0,16,0)</f>
        <v>0</v>
      </c>
      <c r="U2" s="9">
        <f t="shared" ref="U2:U14" si="12">S2+T2</f>
        <v>8.2161607649999997</v>
      </c>
      <c r="V2" s="9">
        <f t="shared" ref="V2:V14" si="13">IF(F2&gt;0,M2-U2,0)</f>
        <v>0</v>
      </c>
      <c r="W2" s="53">
        <f t="shared" ref="W2:W14" si="14">V2/I2</f>
        <v>0</v>
      </c>
      <c r="X2" s="55">
        <f t="shared" ref="X2:X4" si="15">SUM(X1,V2)</f>
        <v>0</v>
      </c>
      <c r="Y2" s="22"/>
      <c r="Z2" s="23" t="s">
        <v>98</v>
      </c>
      <c r="AA2" s="8">
        <v>90000</v>
      </c>
    </row>
    <row r="3" spans="1:28">
      <c r="A3" s="10">
        <v>2</v>
      </c>
      <c r="B3" s="10" t="s">
        <v>134</v>
      </c>
      <c r="C3" s="52">
        <v>43858</v>
      </c>
      <c r="D3" s="9">
        <v>187.15</v>
      </c>
      <c r="E3" s="52">
        <v>44363</v>
      </c>
      <c r="F3" s="9">
        <v>1200</v>
      </c>
      <c r="G3" s="9">
        <f ca="1">IFERROR(__xludf.DUMMYFUNCTION("GOOGLEFINANCE(""NSE:""&amp;B3,""price"")"),1017)</f>
        <v>1017</v>
      </c>
      <c r="H3" s="10">
        <v>10</v>
      </c>
      <c r="I3" s="9">
        <f t="shared" si="0"/>
        <v>1871.5</v>
      </c>
      <c r="J3" s="9">
        <f t="shared" si="1"/>
        <v>13871.5</v>
      </c>
      <c r="K3" s="9">
        <f t="shared" si="2"/>
        <v>0</v>
      </c>
      <c r="L3" s="53">
        <f t="shared" si="3"/>
        <v>0</v>
      </c>
      <c r="M3" s="9">
        <f t="shared" si="4"/>
        <v>10128.5</v>
      </c>
      <c r="N3" s="53">
        <f t="shared" si="5"/>
        <v>5.4119690088164569</v>
      </c>
      <c r="O3" s="9">
        <f t="shared" si="6"/>
        <v>13.871500000000001</v>
      </c>
      <c r="P3" s="9">
        <f t="shared" si="7"/>
        <v>0.45082374999999997</v>
      </c>
      <c r="Q3" s="9">
        <f t="shared" si="8"/>
        <v>8.1148274999999992E-2</v>
      </c>
      <c r="R3" s="9">
        <f t="shared" si="9"/>
        <v>6.9357500000000001E-3</v>
      </c>
      <c r="S3" s="9">
        <f t="shared" si="10"/>
        <v>14.410407775000001</v>
      </c>
      <c r="T3" s="9">
        <f t="shared" si="11"/>
        <v>16</v>
      </c>
      <c r="U3" s="9">
        <f t="shared" si="12"/>
        <v>30.410407775000003</v>
      </c>
      <c r="V3" s="9">
        <f t="shared" si="13"/>
        <v>10098.089592225</v>
      </c>
      <c r="W3" s="53">
        <f t="shared" si="14"/>
        <v>5.395719792799893</v>
      </c>
      <c r="X3" s="55">
        <f t="shared" si="15"/>
        <v>10098.089592225</v>
      </c>
      <c r="Y3" s="22"/>
      <c r="Z3" s="23" t="s">
        <v>99</v>
      </c>
      <c r="AA3" s="74" t="e">
        <f ca="1">AA2+(V15+K15)</f>
        <v>#VALUE!</v>
      </c>
    </row>
    <row r="4" spans="1:28">
      <c r="A4" s="10">
        <v>3</v>
      </c>
      <c r="B4" s="10" t="s">
        <v>66</v>
      </c>
      <c r="C4" s="52">
        <v>43873</v>
      </c>
      <c r="D4" s="9">
        <v>324.7</v>
      </c>
      <c r="E4" s="52"/>
      <c r="F4" s="9"/>
      <c r="G4" s="9">
        <f ca="1">IFERROR(__xludf.DUMMYFUNCTION("GOOGLEFINANCE(""NSE:""&amp;B4,""price"")"),971.25)</f>
        <v>971.25</v>
      </c>
      <c r="H4" s="10">
        <v>1</v>
      </c>
      <c r="I4" s="9">
        <f t="shared" si="0"/>
        <v>324.7</v>
      </c>
      <c r="J4" s="9">
        <f t="shared" si="1"/>
        <v>324.7</v>
      </c>
      <c r="K4" s="9">
        <f t="shared" ca="1" si="2"/>
        <v>646.54999999999995</v>
      </c>
      <c r="L4" s="53">
        <f t="shared" ca="1" si="3"/>
        <v>1.9912226670773021</v>
      </c>
      <c r="M4" s="9">
        <f t="shared" si="4"/>
        <v>0</v>
      </c>
      <c r="N4" s="53">
        <f t="shared" si="5"/>
        <v>0</v>
      </c>
      <c r="O4" s="9">
        <f t="shared" si="6"/>
        <v>0.32469999999999999</v>
      </c>
      <c r="P4" s="9">
        <f t="shared" si="7"/>
        <v>1.0552749999999998E-2</v>
      </c>
      <c r="Q4" s="9">
        <f t="shared" si="8"/>
        <v>1.8994949999999995E-3</v>
      </c>
      <c r="R4" s="9">
        <f t="shared" si="9"/>
        <v>1.6234999999999999E-4</v>
      </c>
      <c r="S4" s="9">
        <f t="shared" si="10"/>
        <v>0.33731459499999994</v>
      </c>
      <c r="T4" s="9">
        <f t="shared" si="11"/>
        <v>0</v>
      </c>
      <c r="U4" s="9">
        <f t="shared" si="12"/>
        <v>0.33731459499999994</v>
      </c>
      <c r="V4" s="9">
        <f t="shared" si="13"/>
        <v>0</v>
      </c>
      <c r="W4" s="53">
        <f t="shared" si="14"/>
        <v>0</v>
      </c>
      <c r="X4" s="55">
        <f t="shared" si="15"/>
        <v>10098.089592225</v>
      </c>
      <c r="Y4" s="22"/>
      <c r="Z4" s="23" t="s">
        <v>100</v>
      </c>
      <c r="AA4" s="8" t="e">
        <f ca="1">AA3-AA2</f>
        <v>#VALUE!</v>
      </c>
    </row>
    <row r="5" spans="1:28" ht="15.75" customHeight="1">
      <c r="A5" s="10">
        <v>4</v>
      </c>
      <c r="B5" s="10" t="s">
        <v>145</v>
      </c>
      <c r="C5" s="52">
        <v>44253</v>
      </c>
      <c r="D5" s="9">
        <v>595.9</v>
      </c>
      <c r="E5" s="52"/>
      <c r="F5" s="9"/>
      <c r="G5" s="9">
        <f ca="1">IFERROR(__xludf.DUMMYFUNCTION("GOOGLEFINANCE(""NSE:""&amp;B5,""price"")"),1362.4)</f>
        <v>1362.4</v>
      </c>
      <c r="H5" s="10">
        <v>20</v>
      </c>
      <c r="I5" s="9">
        <f t="shared" si="0"/>
        <v>11918</v>
      </c>
      <c r="J5" s="9">
        <f t="shared" si="1"/>
        <v>11918</v>
      </c>
      <c r="K5" s="9">
        <f t="shared" ca="1" si="2"/>
        <v>15330.000000000002</v>
      </c>
      <c r="L5" s="53">
        <f t="shared" ca="1" si="3"/>
        <v>1.2862896459137441</v>
      </c>
      <c r="M5" s="9">
        <f t="shared" si="4"/>
        <v>0</v>
      </c>
      <c r="N5" s="53">
        <f t="shared" si="5"/>
        <v>0</v>
      </c>
      <c r="O5" s="9">
        <f t="shared" si="6"/>
        <v>11.918000000000001</v>
      </c>
      <c r="P5" s="9">
        <f t="shared" si="7"/>
        <v>0.38733499999999998</v>
      </c>
      <c r="Q5" s="9">
        <f t="shared" si="8"/>
        <v>6.9720299999999999E-2</v>
      </c>
      <c r="R5" s="54">
        <f t="shared" si="9"/>
        <v>5.9589999999999999E-3</v>
      </c>
      <c r="S5" s="9">
        <f t="shared" si="10"/>
        <v>12.381014300000002</v>
      </c>
      <c r="T5" s="9">
        <f t="shared" si="11"/>
        <v>0</v>
      </c>
      <c r="U5" s="9">
        <f t="shared" si="12"/>
        <v>12.381014300000002</v>
      </c>
      <c r="V5" s="9">
        <f t="shared" si="13"/>
        <v>0</v>
      </c>
      <c r="W5" s="53">
        <f t="shared" si="14"/>
        <v>0</v>
      </c>
      <c r="X5" s="9">
        <f>SUM($AA$2,V5)</f>
        <v>90000</v>
      </c>
      <c r="Y5" s="22"/>
      <c r="Z5" s="23" t="s">
        <v>103</v>
      </c>
      <c r="AA5" s="24" t="e">
        <f ca="1">AA4/AA2</f>
        <v>#VALUE!</v>
      </c>
    </row>
    <row r="6" spans="1:28">
      <c r="A6" s="10">
        <v>5</v>
      </c>
      <c r="B6" s="10" t="s">
        <v>135</v>
      </c>
      <c r="C6" s="52">
        <v>44277</v>
      </c>
      <c r="D6" s="9">
        <v>722.5</v>
      </c>
      <c r="E6" s="52">
        <v>44344</v>
      </c>
      <c r="F6" s="9">
        <v>782.5</v>
      </c>
      <c r="G6" s="9">
        <f ca="1">IFERROR(__xludf.DUMMYFUNCTION("GOOGLEFINANCE(""NSE:""&amp;B6,""price"")"),1492.8)</f>
        <v>1492.8</v>
      </c>
      <c r="H6" s="10">
        <v>5</v>
      </c>
      <c r="I6" s="9">
        <f t="shared" si="0"/>
        <v>3612.5</v>
      </c>
      <c r="J6" s="9">
        <f t="shared" si="1"/>
        <v>7525</v>
      </c>
      <c r="K6" s="9">
        <f t="shared" si="2"/>
        <v>0</v>
      </c>
      <c r="L6" s="53">
        <f t="shared" si="3"/>
        <v>0</v>
      </c>
      <c r="M6" s="9">
        <f t="shared" si="4"/>
        <v>300</v>
      </c>
      <c r="N6" s="53">
        <f t="shared" si="5"/>
        <v>8.3044982698961933E-2</v>
      </c>
      <c r="O6" s="9">
        <f t="shared" si="6"/>
        <v>7.5250000000000004</v>
      </c>
      <c r="P6" s="9">
        <f t="shared" si="7"/>
        <v>0.24456249999999999</v>
      </c>
      <c r="Q6" s="9">
        <f t="shared" si="8"/>
        <v>4.4021249999999998E-2</v>
      </c>
      <c r="R6" s="9">
        <f t="shared" si="9"/>
        <v>3.7624999999999998E-3</v>
      </c>
      <c r="S6" s="9">
        <f t="shared" si="10"/>
        <v>7.8173462499999999</v>
      </c>
      <c r="T6" s="9">
        <f t="shared" si="11"/>
        <v>16</v>
      </c>
      <c r="U6" s="9">
        <f t="shared" si="12"/>
        <v>23.81734625</v>
      </c>
      <c r="V6" s="9">
        <f t="shared" si="13"/>
        <v>276.18265374999999</v>
      </c>
      <c r="W6" s="53">
        <f t="shared" si="14"/>
        <v>7.6451945674740479E-2</v>
      </c>
      <c r="X6" s="9">
        <f t="shared" ref="X6:X8" si="16">SUM(X5,V6)</f>
        <v>90276.182653750002</v>
      </c>
    </row>
    <row r="7" spans="1:28">
      <c r="A7" s="10">
        <v>6</v>
      </c>
      <c r="B7" s="10" t="s">
        <v>52</v>
      </c>
      <c r="C7" s="52">
        <v>44323</v>
      </c>
      <c r="D7" s="9">
        <v>48.6</v>
      </c>
      <c r="E7" s="52"/>
      <c r="F7" s="9"/>
      <c r="G7" s="9">
        <f ca="1">IFERROR(__xludf.DUMMYFUNCTION("GOOGLEFINANCE(""NSE:""&amp;B7,""price"")"),168.98)</f>
        <v>168.98</v>
      </c>
      <c r="H7" s="10">
        <v>102</v>
      </c>
      <c r="I7" s="9">
        <f t="shared" si="0"/>
        <v>4957.2</v>
      </c>
      <c r="J7" s="9">
        <f t="shared" si="1"/>
        <v>4957.2</v>
      </c>
      <c r="K7" s="9">
        <f t="shared" ca="1" si="2"/>
        <v>12278.76</v>
      </c>
      <c r="L7" s="53">
        <f t="shared" ca="1" si="3"/>
        <v>2.4769547325102881</v>
      </c>
      <c r="M7" s="9">
        <f t="shared" si="4"/>
        <v>0</v>
      </c>
      <c r="N7" s="53">
        <f t="shared" si="5"/>
        <v>0</v>
      </c>
      <c r="O7" s="9">
        <f t="shared" si="6"/>
        <v>4.9572000000000003</v>
      </c>
      <c r="P7" s="9">
        <f t="shared" si="7"/>
        <v>0.16110899999999997</v>
      </c>
      <c r="Q7" s="9">
        <f t="shared" si="8"/>
        <v>2.8999619999999993E-2</v>
      </c>
      <c r="R7" s="9">
        <f t="shared" si="9"/>
        <v>2.4785999999999996E-3</v>
      </c>
      <c r="S7" s="9">
        <f t="shared" si="10"/>
        <v>5.1497872199999994</v>
      </c>
      <c r="T7" s="9">
        <f t="shared" si="11"/>
        <v>0</v>
      </c>
      <c r="U7" s="9">
        <f t="shared" si="12"/>
        <v>5.1497872199999994</v>
      </c>
      <c r="V7" s="9">
        <f t="shared" si="13"/>
        <v>0</v>
      </c>
      <c r="W7" s="53">
        <f t="shared" si="14"/>
        <v>0</v>
      </c>
      <c r="X7" s="9">
        <f t="shared" si="16"/>
        <v>90276.182653750002</v>
      </c>
    </row>
    <row r="8" spans="1:28">
      <c r="A8" s="10">
        <v>7</v>
      </c>
      <c r="B8" s="10" t="s">
        <v>21</v>
      </c>
      <c r="C8" s="52">
        <v>44406</v>
      </c>
      <c r="D8" s="9">
        <v>723</v>
      </c>
      <c r="E8" s="52"/>
      <c r="F8" s="9"/>
      <c r="G8" s="9">
        <f ca="1">IFERROR(__xludf.DUMMYFUNCTION("GOOGLEFINANCE(""NSE:""&amp;B8,""price"")"),1224.5)</f>
        <v>1224.5</v>
      </c>
      <c r="H8" s="10">
        <v>10</v>
      </c>
      <c r="I8" s="9">
        <f t="shared" si="0"/>
        <v>7230</v>
      </c>
      <c r="J8" s="9">
        <f t="shared" si="1"/>
        <v>7230</v>
      </c>
      <c r="K8" s="9">
        <f t="shared" ca="1" si="2"/>
        <v>5015</v>
      </c>
      <c r="L8" s="53">
        <f t="shared" ca="1" si="3"/>
        <v>0.69363762102351312</v>
      </c>
      <c r="M8" s="9">
        <f t="shared" si="4"/>
        <v>0</v>
      </c>
      <c r="N8" s="53">
        <f t="shared" si="5"/>
        <v>0</v>
      </c>
      <c r="O8" s="9">
        <f t="shared" si="6"/>
        <v>7.23</v>
      </c>
      <c r="P8" s="9">
        <f t="shared" si="7"/>
        <v>0.23497499999999999</v>
      </c>
      <c r="Q8" s="9">
        <f t="shared" si="8"/>
        <v>4.22955E-2</v>
      </c>
      <c r="R8" s="9">
        <f t="shared" si="9"/>
        <v>3.6149999999999997E-3</v>
      </c>
      <c r="S8" s="9">
        <f t="shared" si="10"/>
        <v>7.5108855000000005</v>
      </c>
      <c r="T8" s="9">
        <f t="shared" si="11"/>
        <v>0</v>
      </c>
      <c r="U8" s="9">
        <f t="shared" si="12"/>
        <v>7.5108855000000005</v>
      </c>
      <c r="V8" s="9">
        <f t="shared" si="13"/>
        <v>0</v>
      </c>
      <c r="W8" s="53">
        <f t="shared" si="14"/>
        <v>0</v>
      </c>
      <c r="X8" s="9">
        <f t="shared" si="16"/>
        <v>90276.182653750002</v>
      </c>
      <c r="Z8" s="113"/>
      <c r="AA8" s="114" t="s">
        <v>275</v>
      </c>
      <c r="AB8" s="115"/>
    </row>
    <row r="9" spans="1:28">
      <c r="A9" s="10">
        <v>8</v>
      </c>
      <c r="B9" s="10" t="s">
        <v>35</v>
      </c>
      <c r="C9" s="52">
        <v>44508</v>
      </c>
      <c r="D9" s="9">
        <v>833.3</v>
      </c>
      <c r="E9" s="52"/>
      <c r="F9" s="9"/>
      <c r="G9" s="9">
        <f ca="1">IFERROR(__xludf.DUMMYFUNCTION("GOOGLEFINANCE(""NSE:""&amp;B9,""price"")"),680.5)</f>
        <v>680.5</v>
      </c>
      <c r="H9" s="10">
        <v>11</v>
      </c>
      <c r="I9" s="9">
        <f t="shared" si="0"/>
        <v>9166.2999999999993</v>
      </c>
      <c r="J9" s="9">
        <f t="shared" si="1"/>
        <v>9166.2999999999993</v>
      </c>
      <c r="K9" s="9">
        <f t="shared" ca="1" si="2"/>
        <v>-1680.7999999999995</v>
      </c>
      <c r="L9" s="53">
        <f t="shared" ca="1" si="3"/>
        <v>-0.1833673346933877</v>
      </c>
      <c r="M9" s="9">
        <f t="shared" si="4"/>
        <v>0</v>
      </c>
      <c r="N9" s="53">
        <f t="shared" si="5"/>
        <v>0</v>
      </c>
      <c r="O9" s="9">
        <f t="shared" si="6"/>
        <v>9.1662999999999997</v>
      </c>
      <c r="P9" s="9">
        <f t="shared" si="7"/>
        <v>0.29790474999999994</v>
      </c>
      <c r="Q9" s="9">
        <f t="shared" si="8"/>
        <v>5.362285499999999E-2</v>
      </c>
      <c r="R9" s="9">
        <f t="shared" si="9"/>
        <v>4.5831499999999994E-3</v>
      </c>
      <c r="S9" s="9">
        <f t="shared" si="10"/>
        <v>9.522410755000001</v>
      </c>
      <c r="T9" s="9">
        <f t="shared" si="11"/>
        <v>0</v>
      </c>
      <c r="U9" s="9">
        <f t="shared" si="12"/>
        <v>9.522410755000001</v>
      </c>
      <c r="V9" s="9">
        <f t="shared" si="13"/>
        <v>0</v>
      </c>
      <c r="W9" s="53">
        <f t="shared" si="14"/>
        <v>0</v>
      </c>
      <c r="X9" s="9">
        <f>SUM(X7,V9)</f>
        <v>90276.182653750002</v>
      </c>
      <c r="Z9" s="114" t="s">
        <v>4</v>
      </c>
      <c r="AA9" s="113" t="s">
        <v>9</v>
      </c>
      <c r="AB9" s="116" t="s">
        <v>8</v>
      </c>
    </row>
    <row r="10" spans="1:28">
      <c r="A10" s="10">
        <v>9</v>
      </c>
      <c r="B10" s="10" t="s">
        <v>38</v>
      </c>
      <c r="C10" s="52">
        <v>44552</v>
      </c>
      <c r="D10" s="9">
        <v>145.55000000000001</v>
      </c>
      <c r="E10" s="52"/>
      <c r="F10" s="9"/>
      <c r="G10" s="9">
        <f ca="1">IFERROR(__xludf.DUMMYFUNCTION("GOOGLEFINANCE(""NSE:""&amp;B10,""price"")"),400.65)</f>
        <v>400.65</v>
      </c>
      <c r="H10" s="10">
        <v>3</v>
      </c>
      <c r="I10" s="9">
        <f t="shared" si="0"/>
        <v>436.65000000000003</v>
      </c>
      <c r="J10" s="9">
        <f t="shared" si="1"/>
        <v>436.65000000000003</v>
      </c>
      <c r="K10" s="9">
        <f t="shared" ca="1" si="2"/>
        <v>765.3</v>
      </c>
      <c r="L10" s="53">
        <f t="shared" ca="1" si="3"/>
        <v>1.7526623153555476</v>
      </c>
      <c r="M10" s="9">
        <f t="shared" si="4"/>
        <v>0</v>
      </c>
      <c r="N10" s="53">
        <f t="shared" si="5"/>
        <v>0</v>
      </c>
      <c r="O10" s="9">
        <f t="shared" si="6"/>
        <v>0.43665000000000004</v>
      </c>
      <c r="P10" s="9">
        <f t="shared" si="7"/>
        <v>1.4191125000000001E-2</v>
      </c>
      <c r="Q10" s="9">
        <f t="shared" si="8"/>
        <v>2.5544025000000001E-3</v>
      </c>
      <c r="R10" s="9">
        <f t="shared" si="9"/>
        <v>2.1832500000000001E-4</v>
      </c>
      <c r="S10" s="9">
        <f t="shared" si="10"/>
        <v>0.45361385250000008</v>
      </c>
      <c r="T10" s="9">
        <f t="shared" si="11"/>
        <v>0</v>
      </c>
      <c r="U10" s="9">
        <f t="shared" si="12"/>
        <v>0.45361385250000008</v>
      </c>
      <c r="V10" s="9">
        <f t="shared" si="13"/>
        <v>0</v>
      </c>
      <c r="W10" s="53">
        <f t="shared" si="14"/>
        <v>0</v>
      </c>
      <c r="X10" s="9">
        <f t="shared" ref="X10:X14" si="17">SUM(X9,V10)</f>
        <v>90276.182653750002</v>
      </c>
      <c r="Z10" s="113" t="s">
        <v>134</v>
      </c>
      <c r="AA10" s="117">
        <v>0</v>
      </c>
      <c r="AB10" s="118">
        <v>10128.5</v>
      </c>
    </row>
    <row r="11" spans="1:28">
      <c r="A11" s="10">
        <v>10</v>
      </c>
      <c r="B11" s="10" t="s">
        <v>52</v>
      </c>
      <c r="C11" s="52">
        <v>44874</v>
      </c>
      <c r="D11" s="9">
        <v>35.229999999999997</v>
      </c>
      <c r="E11" s="52"/>
      <c r="F11" s="9"/>
      <c r="G11" s="9">
        <f ca="1">IFERROR(__xludf.DUMMYFUNCTION("GOOGLEFINANCE(""NSE:""&amp;B11,""price"")"),168.98)</f>
        <v>168.98</v>
      </c>
      <c r="H11" s="10">
        <v>52</v>
      </c>
      <c r="I11" s="9">
        <f t="shared" si="0"/>
        <v>1831.9599999999998</v>
      </c>
      <c r="J11" s="9">
        <f t="shared" si="1"/>
        <v>1831.9599999999998</v>
      </c>
      <c r="K11" s="9">
        <f t="shared" ca="1" si="2"/>
        <v>6955</v>
      </c>
      <c r="L11" s="53">
        <f t="shared" ca="1" si="3"/>
        <v>3.7964802724950331</v>
      </c>
      <c r="M11" s="9">
        <f t="shared" si="4"/>
        <v>0</v>
      </c>
      <c r="N11" s="53">
        <f t="shared" si="5"/>
        <v>0</v>
      </c>
      <c r="O11" s="9">
        <f t="shared" si="6"/>
        <v>1.8319599999999998</v>
      </c>
      <c r="P11" s="9">
        <f t="shared" si="7"/>
        <v>5.9538699999999986E-2</v>
      </c>
      <c r="Q11" s="9">
        <f t="shared" si="8"/>
        <v>1.0716965999999998E-2</v>
      </c>
      <c r="R11" s="9">
        <f t="shared" si="9"/>
        <v>9.1597999999999983E-4</v>
      </c>
      <c r="S11" s="9">
        <f t="shared" si="10"/>
        <v>1.9031316459999998</v>
      </c>
      <c r="T11" s="9">
        <f t="shared" si="11"/>
        <v>0</v>
      </c>
      <c r="U11" s="9">
        <f t="shared" si="12"/>
        <v>1.9031316459999998</v>
      </c>
      <c r="V11" s="9">
        <f t="shared" si="13"/>
        <v>0</v>
      </c>
      <c r="W11" s="53">
        <f t="shared" si="14"/>
        <v>0</v>
      </c>
      <c r="X11" s="9">
        <f t="shared" si="17"/>
        <v>90276.182653750002</v>
      </c>
      <c r="Z11" s="119" t="s">
        <v>135</v>
      </c>
      <c r="AA11" s="120">
        <v>0</v>
      </c>
      <c r="AB11" s="121">
        <v>300</v>
      </c>
    </row>
    <row r="12" spans="1:28">
      <c r="A12" s="10">
        <v>11</v>
      </c>
      <c r="B12" s="10" t="s">
        <v>257</v>
      </c>
      <c r="C12" s="52">
        <v>44858</v>
      </c>
      <c r="D12" s="9">
        <v>29.23</v>
      </c>
      <c r="E12" s="52"/>
      <c r="F12" s="9"/>
      <c r="G12" s="9" t="str">
        <f ca="1">IFERROR(__xludf.DUMMYFUNCTION("GOOGLEFINANCE(""NSE:""&amp;B12,""price"")"),"#N/A")</f>
        <v>#N/A</v>
      </c>
      <c r="H12" s="10">
        <v>101</v>
      </c>
      <c r="I12" s="9">
        <f t="shared" si="0"/>
        <v>2952.23</v>
      </c>
      <c r="J12" s="9">
        <f t="shared" si="1"/>
        <v>2952.23</v>
      </c>
      <c r="K12" s="9" t="e">
        <f t="shared" ca="1" si="2"/>
        <v>#VALUE!</v>
      </c>
      <c r="L12" s="53" t="e">
        <f t="shared" ca="1" si="3"/>
        <v>#VALUE!</v>
      </c>
      <c r="M12" s="9">
        <f t="shared" si="4"/>
        <v>0</v>
      </c>
      <c r="N12" s="53">
        <f t="shared" si="5"/>
        <v>0</v>
      </c>
      <c r="O12" s="9">
        <f t="shared" si="6"/>
        <v>2.9522300000000001</v>
      </c>
      <c r="P12" s="9">
        <f t="shared" si="7"/>
        <v>9.594747499999999E-2</v>
      </c>
      <c r="Q12" s="9">
        <f t="shared" si="8"/>
        <v>1.7270545499999998E-2</v>
      </c>
      <c r="R12" s="9">
        <f t="shared" si="9"/>
        <v>1.4761149999999998E-3</v>
      </c>
      <c r="S12" s="9">
        <f t="shared" si="10"/>
        <v>3.0669241355000003</v>
      </c>
      <c r="T12" s="9">
        <f t="shared" si="11"/>
        <v>0</v>
      </c>
      <c r="U12" s="9">
        <f t="shared" si="12"/>
        <v>3.0669241355000003</v>
      </c>
      <c r="V12" s="9">
        <f t="shared" si="13"/>
        <v>0</v>
      </c>
      <c r="W12" s="53">
        <f t="shared" si="14"/>
        <v>0</v>
      </c>
      <c r="X12" s="9">
        <f t="shared" si="17"/>
        <v>90276.182653750002</v>
      </c>
      <c r="Z12" s="119" t="s">
        <v>21</v>
      </c>
      <c r="AA12" s="120">
        <v>5015</v>
      </c>
      <c r="AB12" s="121">
        <v>0</v>
      </c>
    </row>
    <row r="13" spans="1:28">
      <c r="A13" s="10">
        <v>12</v>
      </c>
      <c r="B13" s="10" t="s">
        <v>69</v>
      </c>
      <c r="C13" s="52">
        <v>44770</v>
      </c>
      <c r="D13" s="9">
        <v>98.1</v>
      </c>
      <c r="E13" s="52"/>
      <c r="F13" s="9"/>
      <c r="G13" s="9">
        <f ca="1">IFERROR(__xludf.DUMMYFUNCTION("GOOGLEFINANCE(""NSE:""&amp;B13,""price"")"),170.82)</f>
        <v>170.82</v>
      </c>
      <c r="H13" s="10">
        <v>50</v>
      </c>
      <c r="I13" s="9">
        <f t="shared" si="0"/>
        <v>4905</v>
      </c>
      <c r="J13" s="9">
        <f t="shared" si="1"/>
        <v>4905</v>
      </c>
      <c r="K13" s="9">
        <f t="shared" ca="1" si="2"/>
        <v>3636</v>
      </c>
      <c r="L13" s="53">
        <f t="shared" ca="1" si="3"/>
        <v>0.74128440366972481</v>
      </c>
      <c r="M13" s="9">
        <f t="shared" si="4"/>
        <v>0</v>
      </c>
      <c r="N13" s="53">
        <f t="shared" si="5"/>
        <v>0</v>
      </c>
      <c r="O13" s="9">
        <f t="shared" si="6"/>
        <v>4.9050000000000002</v>
      </c>
      <c r="P13" s="9">
        <f t="shared" si="7"/>
        <v>0.15941249999999998</v>
      </c>
      <c r="Q13" s="9">
        <f t="shared" si="8"/>
        <v>2.8694249999999998E-2</v>
      </c>
      <c r="R13" s="9">
        <f t="shared" si="9"/>
        <v>2.4524999999999998E-3</v>
      </c>
      <c r="S13" s="9">
        <f t="shared" si="10"/>
        <v>5.0955592500000009</v>
      </c>
      <c r="T13" s="9">
        <f t="shared" si="11"/>
        <v>0</v>
      </c>
      <c r="U13" s="9">
        <f t="shared" si="12"/>
        <v>5.0955592500000009</v>
      </c>
      <c r="V13" s="9">
        <f t="shared" si="13"/>
        <v>0</v>
      </c>
      <c r="W13" s="53">
        <f t="shared" si="14"/>
        <v>0</v>
      </c>
      <c r="X13" s="9">
        <f t="shared" si="17"/>
        <v>90276.182653750002</v>
      </c>
      <c r="Z13" s="119" t="s">
        <v>38</v>
      </c>
      <c r="AA13" s="120">
        <v>4875.8999999999996</v>
      </c>
      <c r="AB13" s="121">
        <v>0</v>
      </c>
    </row>
    <row r="14" spans="1:28">
      <c r="A14" s="10">
        <v>13</v>
      </c>
      <c r="B14" s="10" t="s">
        <v>69</v>
      </c>
      <c r="C14" s="52">
        <v>44858</v>
      </c>
      <c r="D14" s="9">
        <v>101.25</v>
      </c>
      <c r="E14" s="52"/>
      <c r="F14" s="9"/>
      <c r="G14" s="9">
        <f ca="1">IFERROR(__xludf.DUMMYFUNCTION("GOOGLEFINANCE(""NSE:""&amp;B14,""price"")"),170.82)</f>
        <v>170.82</v>
      </c>
      <c r="H14" s="10">
        <v>51</v>
      </c>
      <c r="I14" s="9">
        <f t="shared" si="0"/>
        <v>5163.75</v>
      </c>
      <c r="J14" s="9">
        <f t="shared" si="1"/>
        <v>5163.75</v>
      </c>
      <c r="K14" s="9">
        <f t="shared" ca="1" si="2"/>
        <v>3548.0699999999997</v>
      </c>
      <c r="L14" s="53">
        <f t="shared" ca="1" si="3"/>
        <v>0.68711111111111101</v>
      </c>
      <c r="M14" s="9">
        <f t="shared" si="4"/>
        <v>0</v>
      </c>
      <c r="N14" s="53">
        <f t="shared" si="5"/>
        <v>0</v>
      </c>
      <c r="O14" s="9">
        <f t="shared" si="6"/>
        <v>5.1637500000000003</v>
      </c>
      <c r="P14" s="9">
        <f t="shared" si="7"/>
        <v>0.16782187499999998</v>
      </c>
      <c r="Q14" s="9">
        <f t="shared" si="8"/>
        <v>3.0207937499999997E-2</v>
      </c>
      <c r="R14" s="9">
        <f t="shared" si="9"/>
        <v>2.581875E-3</v>
      </c>
      <c r="S14" s="9">
        <f t="shared" si="10"/>
        <v>5.3643616874999998</v>
      </c>
      <c r="T14" s="9">
        <f t="shared" si="11"/>
        <v>0</v>
      </c>
      <c r="U14" s="9">
        <f t="shared" si="12"/>
        <v>5.3643616874999998</v>
      </c>
      <c r="V14" s="9">
        <f t="shared" si="13"/>
        <v>0</v>
      </c>
      <c r="W14" s="53">
        <f t="shared" si="14"/>
        <v>0</v>
      </c>
      <c r="X14" s="9">
        <f t="shared" si="17"/>
        <v>90276.182653750002</v>
      </c>
      <c r="Z14" s="119" t="s">
        <v>145</v>
      </c>
      <c r="AA14" s="120">
        <v>15330.000000000002</v>
      </c>
      <c r="AB14" s="121">
        <v>0</v>
      </c>
    </row>
    <row r="15" spans="1:28">
      <c r="A15" s="75"/>
      <c r="B15" s="107" t="s">
        <v>226</v>
      </c>
      <c r="C15" s="108"/>
      <c r="D15" s="108"/>
      <c r="E15" s="108"/>
      <c r="F15" s="108"/>
      <c r="G15" s="108"/>
      <c r="H15" s="109"/>
      <c r="I15" s="76">
        <f t="array" aca="1" ref="I15" ca="1">SUM(INDIRECT("I2"&amp; ":I" &amp; ROW()-1) )</f>
        <v>62278.69000000001</v>
      </c>
      <c r="J15" s="76">
        <f t="array" aca="1" ref="J15" ca="1">SUM(INDIRECT("J2"&amp; ":J" &amp; ROW()-1) )</f>
        <v>78191.19</v>
      </c>
      <c r="K15" s="76" t="e">
        <f t="array" aca="1" ref="K15" ca="1">SUM( INDIRECT("K2"&amp; ":K" &amp; ROW()-1) )</f>
        <v>#VALUE!</v>
      </c>
      <c r="L15" s="77" t="e">
        <f ca="1">K15/AA2</f>
        <v>#VALUE!</v>
      </c>
      <c r="M15" s="76">
        <f t="array" aca="1" ref="M15" ca="1">SUM(INDIRECT("M2"&amp; ":M" &amp; ROW()-1) )</f>
        <v>10428.5</v>
      </c>
      <c r="N15" s="77">
        <f ca="1">M15/AA2</f>
        <v>0.11587222222222222</v>
      </c>
      <c r="O15" s="76">
        <f t="array" aca="1" ref="O15" ca="1">SUM(INDIRECT("O3"&amp; ":O" &amp; ROW()-1) )</f>
        <v>70.282290000000017</v>
      </c>
      <c r="P15" s="76">
        <f t="array" aca="1" ref="P15" ca="1">SUM(INDIRECT("P3"&amp; ":P" &amp; ROW()-1) )</f>
        <v>2.2841744249999998</v>
      </c>
      <c r="Q15" s="76">
        <f t="array" aca="1" ref="Q15" ca="1">SUM(INDIRECT("Q3"&amp; ":Q" &amp; ROW()-1) )</f>
        <v>0.41115139649999993</v>
      </c>
      <c r="R15" s="76">
        <f t="array" aca="1" ref="R15" ca="1">SUM(INDIRECT("R3"&amp; ":R" &amp; ROW()-1) )</f>
        <v>3.5141144999999999E-2</v>
      </c>
      <c r="S15" s="76">
        <f t="array" aca="1" ref="S15" ca="1">SUM(INDIRECT("S3"&amp; ":S" &amp; ROW()-1) )</f>
        <v>73.012756966499992</v>
      </c>
      <c r="T15" s="76">
        <f t="array" aca="1" ref="T15" ca="1">SUM(INDIRECT("T3"&amp; ":T" &amp; ROW()-1) )</f>
        <v>32</v>
      </c>
      <c r="U15" s="78">
        <f t="array" aca="1" ref="U15" ca="1">SUM(INDIRECT("U2"&amp; ":U" &amp; ROW()-1) )</f>
        <v>113.2289177315</v>
      </c>
      <c r="V15" s="76">
        <f t="array" aca="1" ref="V15" ca="1">SUM(INDIRECT("V2"&amp; ":V" &amp; ROW()-1) )</f>
        <v>10374.272245975</v>
      </c>
      <c r="W15" s="77">
        <f ca="1">V15/AA2</f>
        <v>0.11526969162194445</v>
      </c>
      <c r="X15" s="79"/>
      <c r="Z15" s="119" t="s">
        <v>35</v>
      </c>
      <c r="AA15" s="120">
        <v>-1680.7999999999995</v>
      </c>
      <c r="AB15" s="121">
        <v>0</v>
      </c>
    </row>
    <row r="16" spans="1:28">
      <c r="Z16" s="119" t="s">
        <v>257</v>
      </c>
      <c r="AA16" s="120" t="e">
        <v>#VALUE!</v>
      </c>
      <c r="AB16" s="121">
        <v>0</v>
      </c>
    </row>
    <row r="17" spans="26:28">
      <c r="Z17" s="119" t="s">
        <v>52</v>
      </c>
      <c r="AA17" s="120">
        <v>19233.760000000002</v>
      </c>
      <c r="AB17" s="121">
        <v>0</v>
      </c>
    </row>
    <row r="18" spans="26:28">
      <c r="Z18" s="119" t="s">
        <v>66</v>
      </c>
      <c r="AA18" s="120">
        <v>646.54999999999995</v>
      </c>
      <c r="AB18" s="121">
        <v>0</v>
      </c>
    </row>
    <row r="19" spans="26:28">
      <c r="Z19" s="119" t="s">
        <v>69</v>
      </c>
      <c r="AA19" s="120">
        <v>7184.07</v>
      </c>
      <c r="AB19" s="121">
        <v>0</v>
      </c>
    </row>
    <row r="20" spans="26:28" ht="15.75" customHeight="1">
      <c r="Z20" s="122" t="s">
        <v>48</v>
      </c>
      <c r="AA20" s="123" t="e">
        <v>#VALUE!</v>
      </c>
      <c r="AB20" s="124">
        <v>10428.5</v>
      </c>
    </row>
  </sheetData>
  <autoFilter ref="A1:X15" xr:uid="{00000000-0009-0000-0000-00000D000000}"/>
  <mergeCells count="1">
    <mergeCell ref="B15:H15"/>
  </mergeCells>
  <conditionalFormatting sqref="K2:N15 V2:W15 AA4:AA5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R32"/>
  <sheetViews>
    <sheetView workbookViewId="0"/>
  </sheetViews>
  <sheetFormatPr defaultColWidth="12.6640625" defaultRowHeight="15.75" customHeight="1"/>
  <cols>
    <col min="1" max="1" width="4.33203125" customWidth="1"/>
    <col min="3" max="3" width="12.109375" customWidth="1"/>
    <col min="4" max="5" width="6.88671875" customWidth="1"/>
    <col min="6" max="6" width="18" customWidth="1"/>
    <col min="7" max="7" width="10.88671875" customWidth="1"/>
    <col min="8" max="8" width="3.44140625" customWidth="1"/>
    <col min="14" max="15" width="12.77734375" customWidth="1"/>
    <col min="16" max="16" width="16.44140625" customWidth="1"/>
    <col min="18" max="18" width="31.33203125" customWidth="1"/>
  </cols>
  <sheetData>
    <row r="1" spans="1:18">
      <c r="A1" s="80" t="s">
        <v>256</v>
      </c>
      <c r="B1" s="80" t="s">
        <v>157</v>
      </c>
      <c r="C1" s="80" t="s">
        <v>155</v>
      </c>
      <c r="D1" s="80" t="s">
        <v>78</v>
      </c>
      <c r="E1" s="80" t="s">
        <v>75</v>
      </c>
      <c r="F1" s="80" t="s">
        <v>77</v>
      </c>
      <c r="G1" s="80" t="s">
        <v>76</v>
      </c>
      <c r="H1" s="80" t="s">
        <v>258</v>
      </c>
      <c r="I1" s="80" t="s">
        <v>80</v>
      </c>
      <c r="J1" s="80" t="s">
        <v>259</v>
      </c>
      <c r="K1" s="80" t="s">
        <v>260</v>
      </c>
      <c r="L1" s="80" t="s">
        <v>261</v>
      </c>
      <c r="M1" s="80" t="s">
        <v>262</v>
      </c>
      <c r="N1" s="80" t="s">
        <v>263</v>
      </c>
      <c r="O1" s="81"/>
      <c r="P1" s="6" t="s">
        <v>258</v>
      </c>
      <c r="Q1" s="6">
        <v>20</v>
      </c>
    </row>
    <row r="2" spans="1:18">
      <c r="A2" s="10">
        <v>1</v>
      </c>
      <c r="B2" s="82" t="s">
        <v>264</v>
      </c>
      <c r="C2" s="83">
        <v>44201</v>
      </c>
      <c r="D2" s="84">
        <f ca="1">IFERROR(__xludf.DUMMYFUNCTION("GOOGLEFINANCE(""NSE:""&amp;B2,""PRICE"")"),1224.5)</f>
        <v>1224.5</v>
      </c>
      <c r="E2" s="84">
        <v>661</v>
      </c>
      <c r="F2" s="84">
        <v>735.1</v>
      </c>
      <c r="G2" s="85">
        <v>44347</v>
      </c>
      <c r="H2" s="86">
        <v>9</v>
      </c>
      <c r="I2" s="84">
        <f t="shared" ref="I2:I6" si="0">E2*H2</f>
        <v>5949</v>
      </c>
      <c r="J2" s="84">
        <f t="shared" ref="J2:J6" ca="1" si="1">D2*H2</f>
        <v>11020.5</v>
      </c>
      <c r="K2" s="84">
        <f t="shared" ref="K2:K6" si="2">F2*H2</f>
        <v>6615.9000000000005</v>
      </c>
      <c r="L2" s="9">
        <f t="shared" ref="L2:L6" ca="1" si="3">J2-I2</f>
        <v>5071.5</v>
      </c>
      <c r="M2" s="9">
        <f t="shared" ref="M2:M5" si="4">K2-I2</f>
        <v>666.90000000000055</v>
      </c>
      <c r="N2" s="53">
        <f t="shared" ref="N2:N5" si="5">(K2-I2)/K2</f>
        <v>0.10080261188953892</v>
      </c>
      <c r="O2" s="110">
        <v>1014.61</v>
      </c>
      <c r="P2" s="6" t="s">
        <v>75</v>
      </c>
      <c r="Q2" s="7">
        <v>945</v>
      </c>
    </row>
    <row r="3" spans="1:18">
      <c r="A3" s="10">
        <v>2</v>
      </c>
      <c r="B3" s="82" t="s">
        <v>264</v>
      </c>
      <c r="C3" s="83">
        <v>44235</v>
      </c>
      <c r="D3" s="84">
        <f ca="1">IFERROR(__xludf.DUMMYFUNCTION("GOOGLEFINANCE(""NSE:""&amp;B3,""PRICE"")"),1224.5)</f>
        <v>1224.5</v>
      </c>
      <c r="E3" s="84">
        <v>742</v>
      </c>
      <c r="F3" s="84">
        <v>735.1</v>
      </c>
      <c r="G3" s="85">
        <v>44347</v>
      </c>
      <c r="H3" s="86">
        <v>9</v>
      </c>
      <c r="I3" s="84">
        <f t="shared" si="0"/>
        <v>6678</v>
      </c>
      <c r="J3" s="84">
        <f t="shared" ca="1" si="1"/>
        <v>11020.5</v>
      </c>
      <c r="K3" s="84">
        <f t="shared" si="2"/>
        <v>6615.9000000000005</v>
      </c>
      <c r="L3" s="9">
        <f t="shared" ca="1" si="3"/>
        <v>4342.5</v>
      </c>
      <c r="M3" s="9">
        <f t="shared" si="4"/>
        <v>-62.099999999999454</v>
      </c>
      <c r="N3" s="53">
        <f t="shared" si="5"/>
        <v>-9.3864780301998896E-3</v>
      </c>
      <c r="O3" s="111"/>
      <c r="P3" s="6" t="s">
        <v>77</v>
      </c>
      <c r="Q3" s="7">
        <v>981</v>
      </c>
    </row>
    <row r="4" spans="1:18">
      <c r="A4" s="10">
        <v>3</v>
      </c>
      <c r="B4" s="82" t="s">
        <v>264</v>
      </c>
      <c r="C4" s="83">
        <v>44292</v>
      </c>
      <c r="D4" s="84">
        <f ca="1">IFERROR(__xludf.DUMMYFUNCTION("GOOGLEFINANCE(""NSE:""&amp;B4,""PRICE"")"),1224.5)</f>
        <v>1224.5</v>
      </c>
      <c r="E4" s="84">
        <v>683.5</v>
      </c>
      <c r="F4" s="84">
        <v>735.1</v>
      </c>
      <c r="G4" s="85">
        <v>44347</v>
      </c>
      <c r="H4" s="86">
        <v>9</v>
      </c>
      <c r="I4" s="84">
        <f t="shared" si="0"/>
        <v>6151.5</v>
      </c>
      <c r="J4" s="84">
        <f t="shared" ca="1" si="1"/>
        <v>11020.5</v>
      </c>
      <c r="K4" s="84">
        <f t="shared" si="2"/>
        <v>6615.9000000000005</v>
      </c>
      <c r="L4" s="9">
        <f t="shared" ca="1" si="3"/>
        <v>4869</v>
      </c>
      <c r="M4" s="9">
        <f t="shared" si="4"/>
        <v>464.40000000000055</v>
      </c>
      <c r="N4" s="53">
        <f t="shared" si="5"/>
        <v>7.0194531356278136E-2</v>
      </c>
      <c r="O4" s="112"/>
      <c r="P4" s="87" t="s">
        <v>81</v>
      </c>
      <c r="Q4" s="7">
        <f>Q1*(Q3+Q2)</f>
        <v>38520</v>
      </c>
    </row>
    <row r="5" spans="1:18">
      <c r="A5" s="10">
        <v>4</v>
      </c>
      <c r="B5" s="82" t="s">
        <v>34</v>
      </c>
      <c r="C5" s="88">
        <v>44347</v>
      </c>
      <c r="D5" s="84">
        <f ca="1">IFERROR(__xludf.DUMMYFUNCTION("GOOGLEFINANCE(""NSE:""&amp;B5,""PRICE"")"),1674.8)</f>
        <v>1674.8</v>
      </c>
      <c r="E5" s="84">
        <v>945</v>
      </c>
      <c r="F5" s="84">
        <v>971</v>
      </c>
      <c r="G5" s="85">
        <v>44356</v>
      </c>
      <c r="H5" s="86">
        <v>20</v>
      </c>
      <c r="I5" s="84">
        <f t="shared" si="0"/>
        <v>18900</v>
      </c>
      <c r="J5" s="84">
        <f t="shared" ca="1" si="1"/>
        <v>33496</v>
      </c>
      <c r="K5" s="84">
        <f t="shared" si="2"/>
        <v>19420</v>
      </c>
      <c r="L5" s="9">
        <f t="shared" ca="1" si="3"/>
        <v>14596</v>
      </c>
      <c r="M5" s="9">
        <f t="shared" si="4"/>
        <v>520</v>
      </c>
      <c r="N5" s="53">
        <f t="shared" si="5"/>
        <v>2.6776519052523172E-2</v>
      </c>
      <c r="O5" s="40"/>
      <c r="P5" s="89" t="s">
        <v>265</v>
      </c>
      <c r="Q5" s="90">
        <f>0.001*Q4</f>
        <v>38.520000000000003</v>
      </c>
      <c r="R5" s="91" t="s">
        <v>266</v>
      </c>
    </row>
    <row r="6" spans="1:18">
      <c r="A6" s="10">
        <v>5</v>
      </c>
      <c r="B6" s="82"/>
      <c r="C6" s="84"/>
      <c r="D6" s="84"/>
      <c r="E6" s="84"/>
      <c r="F6" s="84"/>
      <c r="G6" s="86"/>
      <c r="H6" s="86"/>
      <c r="I6" s="84">
        <f t="shared" si="0"/>
        <v>0</v>
      </c>
      <c r="J6" s="84">
        <f t="shared" si="1"/>
        <v>0</v>
      </c>
      <c r="K6" s="84">
        <f t="shared" si="2"/>
        <v>0</v>
      </c>
      <c r="L6" s="9">
        <f t="shared" si="3"/>
        <v>0</v>
      </c>
      <c r="M6" s="9">
        <v>0</v>
      </c>
      <c r="N6" s="53"/>
      <c r="O6" s="40"/>
      <c r="P6" s="92" t="s">
        <v>267</v>
      </c>
      <c r="Q6" s="90">
        <f>0.0000325*Q17</f>
        <v>0</v>
      </c>
      <c r="R6" s="93" t="s">
        <v>268</v>
      </c>
    </row>
    <row r="7" spans="1:18">
      <c r="A7" s="10">
        <v>6</v>
      </c>
      <c r="B7" s="10"/>
      <c r="C7" s="10"/>
      <c r="D7" s="10"/>
      <c r="E7" s="9"/>
      <c r="F7" s="9"/>
      <c r="G7" s="10"/>
      <c r="H7" s="10"/>
      <c r="I7" s="9"/>
      <c r="J7" s="9"/>
      <c r="K7" s="9"/>
      <c r="L7" s="10"/>
      <c r="M7" s="10"/>
      <c r="N7" s="53"/>
      <c r="O7" s="40"/>
      <c r="P7" s="92" t="s">
        <v>269</v>
      </c>
      <c r="Q7" s="90">
        <v>0</v>
      </c>
    </row>
    <row r="8" spans="1:18">
      <c r="A8" s="10">
        <v>7</v>
      </c>
      <c r="B8" s="10"/>
      <c r="C8" s="10"/>
      <c r="D8" s="10"/>
      <c r="E8" s="9"/>
      <c r="F8" s="9"/>
      <c r="G8" s="10"/>
      <c r="H8" s="10"/>
      <c r="I8" s="9"/>
      <c r="J8" s="9"/>
      <c r="K8" s="9"/>
      <c r="L8" s="10"/>
      <c r="M8" s="10"/>
      <c r="N8" s="53"/>
      <c r="O8" s="40"/>
      <c r="P8" s="92" t="s">
        <v>88</v>
      </c>
      <c r="Q8" s="90">
        <f>0.18*Q6</f>
        <v>0</v>
      </c>
      <c r="R8" s="91" t="s">
        <v>270</v>
      </c>
    </row>
    <row r="9" spans="1:18">
      <c r="A9" s="10">
        <v>8</v>
      </c>
      <c r="B9" s="10"/>
      <c r="C9" s="10"/>
      <c r="D9" s="10"/>
      <c r="E9" s="9"/>
      <c r="F9" s="9"/>
      <c r="G9" s="10"/>
      <c r="H9" s="10"/>
      <c r="I9" s="9"/>
      <c r="J9" s="9"/>
      <c r="K9" s="9"/>
      <c r="L9" s="10"/>
      <c r="M9" s="10"/>
      <c r="N9" s="53"/>
      <c r="O9" s="40"/>
      <c r="P9" s="92" t="s">
        <v>89</v>
      </c>
      <c r="Q9" s="90">
        <f>0.0000005*Q4</f>
        <v>1.9259999999999999E-2</v>
      </c>
      <c r="R9" s="94" t="s">
        <v>271</v>
      </c>
    </row>
    <row r="10" spans="1:18">
      <c r="A10" s="10">
        <v>9</v>
      </c>
      <c r="B10" s="10"/>
      <c r="C10" s="10"/>
      <c r="D10" s="10"/>
      <c r="E10" s="9"/>
      <c r="F10" s="9"/>
      <c r="G10" s="10"/>
      <c r="H10" s="10"/>
      <c r="I10" s="9"/>
      <c r="J10" s="9"/>
      <c r="K10" s="9"/>
      <c r="L10" s="10"/>
      <c r="M10" s="10"/>
      <c r="N10" s="53"/>
      <c r="O10" s="40"/>
      <c r="P10" s="92" t="s">
        <v>90</v>
      </c>
      <c r="Q10" s="90">
        <f>SUM(Q5:Q9)</f>
        <v>38.539260000000006</v>
      </c>
    </row>
    <row r="11" spans="1:18">
      <c r="A11" s="10">
        <v>10</v>
      </c>
      <c r="B11" s="10"/>
      <c r="C11" s="10"/>
      <c r="D11" s="10"/>
      <c r="E11" s="9"/>
      <c r="F11" s="9"/>
      <c r="G11" s="10"/>
      <c r="H11" s="10"/>
      <c r="I11" s="9"/>
      <c r="J11" s="9"/>
      <c r="K11" s="9"/>
      <c r="L11" s="10"/>
      <c r="M11" s="10"/>
      <c r="N11" s="53"/>
      <c r="O11" s="40"/>
      <c r="P11" s="87" t="s">
        <v>91</v>
      </c>
      <c r="Q11" s="90">
        <v>15.94</v>
      </c>
    </row>
    <row r="12" spans="1:18">
      <c r="A12" s="10">
        <v>11</v>
      </c>
      <c r="B12" s="10"/>
      <c r="C12" s="10"/>
      <c r="D12" s="10"/>
      <c r="E12" s="9"/>
      <c r="F12" s="9"/>
      <c r="G12" s="10"/>
      <c r="H12" s="10"/>
      <c r="I12" s="9"/>
      <c r="J12" s="9"/>
      <c r="K12" s="9"/>
      <c r="L12" s="10"/>
      <c r="M12" s="10"/>
      <c r="N12" s="53"/>
      <c r="O12" s="40"/>
      <c r="P12" s="6" t="s">
        <v>92</v>
      </c>
      <c r="Q12" s="95">
        <f>SUM(Q10:Q11)</f>
        <v>54.479260000000004</v>
      </c>
    </row>
    <row r="13" spans="1:18">
      <c r="A13" s="10">
        <v>12</v>
      </c>
      <c r="B13" s="10"/>
      <c r="C13" s="10"/>
      <c r="D13" s="10"/>
      <c r="E13" s="9"/>
      <c r="F13" s="9"/>
      <c r="G13" s="10"/>
      <c r="H13" s="10"/>
      <c r="I13" s="9"/>
      <c r="J13" s="9"/>
      <c r="K13" s="9"/>
      <c r="L13" s="10"/>
      <c r="M13" s="10"/>
      <c r="N13" s="53"/>
      <c r="O13" s="40"/>
      <c r="P13" s="96" t="s">
        <v>272</v>
      </c>
      <c r="Q13" s="97">
        <f>(Q3-Q2)*Q1</f>
        <v>720</v>
      </c>
    </row>
    <row r="14" spans="1:18">
      <c r="A14" s="10"/>
      <c r="B14" s="10"/>
      <c r="C14" s="10"/>
      <c r="D14" s="10"/>
      <c r="E14" s="9"/>
      <c r="F14" s="9"/>
      <c r="G14" s="10"/>
      <c r="H14" s="10"/>
      <c r="I14" s="9"/>
      <c r="J14" s="9"/>
      <c r="K14" s="9"/>
      <c r="L14" s="10"/>
      <c r="M14" s="10"/>
      <c r="N14" s="53"/>
      <c r="O14" s="40"/>
      <c r="P14" s="96" t="s">
        <v>100</v>
      </c>
      <c r="Q14" s="97">
        <f>((Q3-Q2)*Q1)-Q12</f>
        <v>665.52074000000005</v>
      </c>
    </row>
    <row r="15" spans="1:18" ht="15.75" customHeight="1">
      <c r="A15" s="98"/>
      <c r="B15" s="98"/>
      <c r="C15" s="98"/>
      <c r="D15" s="98"/>
      <c r="E15" s="99"/>
      <c r="F15" s="99"/>
      <c r="G15" s="98"/>
      <c r="H15" s="98"/>
      <c r="I15" s="100">
        <f t="shared" ref="I15:L15" si="6">SUM(I2:I14)</f>
        <v>37678.5</v>
      </c>
      <c r="J15" s="100">
        <f t="shared" ca="1" si="6"/>
        <v>66557.5</v>
      </c>
      <c r="K15" s="100">
        <f t="shared" si="6"/>
        <v>39267.699999999997</v>
      </c>
      <c r="L15" s="100">
        <f t="shared" ca="1" si="6"/>
        <v>28879</v>
      </c>
      <c r="M15" s="100">
        <f>SUM(M2:M14)</f>
        <v>1589.2000000000016</v>
      </c>
      <c r="N15" s="101"/>
      <c r="O15" s="102"/>
    </row>
    <row r="16" spans="1:18">
      <c r="F16" s="7"/>
      <c r="I16" s="7"/>
      <c r="J16" s="7"/>
      <c r="K16" s="7"/>
    </row>
    <row r="17" spans="1:11">
      <c r="F17" s="7"/>
      <c r="I17" s="7"/>
      <c r="J17" s="7"/>
      <c r="K17" s="7"/>
    </row>
    <row r="18" spans="1:11">
      <c r="A18" s="80" t="s">
        <v>120</v>
      </c>
      <c r="B18" s="80" t="s">
        <v>155</v>
      </c>
      <c r="C18" s="80" t="s">
        <v>136</v>
      </c>
      <c r="D18" s="80" t="s">
        <v>273</v>
      </c>
      <c r="E18" s="80" t="s">
        <v>274</v>
      </c>
      <c r="F18" s="80" t="s">
        <v>226</v>
      </c>
      <c r="I18" s="7"/>
      <c r="J18" s="7"/>
      <c r="K18" s="7"/>
    </row>
    <row r="19" spans="1:11">
      <c r="A19" s="10">
        <v>1</v>
      </c>
      <c r="B19" s="103">
        <v>44197</v>
      </c>
      <c r="C19" s="9">
        <v>2000</v>
      </c>
      <c r="D19" s="9">
        <v>2000</v>
      </c>
      <c r="E19" s="9">
        <v>2000</v>
      </c>
      <c r="F19" s="9">
        <f t="shared" ref="F19:F30" si="7">SUM(C19:E19)</f>
        <v>6000</v>
      </c>
      <c r="G19" s="7"/>
      <c r="H19" s="7"/>
      <c r="I19" s="7"/>
      <c r="J19" s="7"/>
      <c r="K19" s="7"/>
    </row>
    <row r="20" spans="1:11">
      <c r="A20" s="10">
        <v>2</v>
      </c>
      <c r="B20" s="103">
        <v>44235</v>
      </c>
      <c r="C20" s="9">
        <v>3218</v>
      </c>
      <c r="D20" s="9">
        <v>1000</v>
      </c>
      <c r="E20" s="9">
        <v>2218</v>
      </c>
      <c r="F20" s="9">
        <f t="shared" si="7"/>
        <v>6436</v>
      </c>
      <c r="G20" s="7"/>
      <c r="H20" s="7"/>
      <c r="I20" s="7"/>
      <c r="J20" s="7"/>
      <c r="K20" s="7"/>
    </row>
    <row r="21" spans="1:11">
      <c r="A21" s="10">
        <v>3</v>
      </c>
      <c r="B21" s="103">
        <v>44292</v>
      </c>
      <c r="C21" s="9">
        <v>4101.5</v>
      </c>
      <c r="D21" s="9">
        <v>2050</v>
      </c>
      <c r="E21" s="9">
        <v>0</v>
      </c>
      <c r="F21" s="9">
        <f t="shared" si="7"/>
        <v>6151.5</v>
      </c>
      <c r="G21" s="7"/>
      <c r="H21" s="7"/>
      <c r="I21" s="7"/>
      <c r="J21" s="7"/>
      <c r="K21" s="7"/>
    </row>
    <row r="22" spans="1:11">
      <c r="A22" s="10">
        <v>4</v>
      </c>
      <c r="B22" s="10"/>
      <c r="C22" s="9"/>
      <c r="D22" s="9"/>
      <c r="E22" s="9"/>
      <c r="F22" s="9">
        <f t="shared" si="7"/>
        <v>0</v>
      </c>
      <c r="G22" s="7"/>
      <c r="H22" s="7"/>
      <c r="I22" s="7"/>
      <c r="J22" s="7"/>
      <c r="K22" s="7"/>
    </row>
    <row r="23" spans="1:11">
      <c r="A23" s="10">
        <v>5</v>
      </c>
      <c r="B23" s="10"/>
      <c r="C23" s="9"/>
      <c r="D23" s="9"/>
      <c r="E23" s="9"/>
      <c r="F23" s="9">
        <f t="shared" si="7"/>
        <v>0</v>
      </c>
      <c r="G23" s="7"/>
      <c r="H23" s="7"/>
      <c r="I23" s="7"/>
      <c r="J23" s="7"/>
      <c r="K23" s="7"/>
    </row>
    <row r="24" spans="1:11">
      <c r="A24" s="10">
        <v>6</v>
      </c>
      <c r="B24" s="10"/>
      <c r="C24" s="9"/>
      <c r="D24" s="9"/>
      <c r="E24" s="9"/>
      <c r="F24" s="9">
        <f t="shared" si="7"/>
        <v>0</v>
      </c>
      <c r="G24" s="7"/>
      <c r="H24" s="7"/>
      <c r="I24" s="7"/>
      <c r="J24" s="7"/>
      <c r="K24" s="7"/>
    </row>
    <row r="25" spans="1:11">
      <c r="A25" s="10">
        <v>7</v>
      </c>
      <c r="B25" s="10"/>
      <c r="C25" s="9"/>
      <c r="D25" s="9"/>
      <c r="E25" s="9"/>
      <c r="F25" s="9">
        <f t="shared" si="7"/>
        <v>0</v>
      </c>
      <c r="G25" s="7"/>
      <c r="H25" s="7"/>
      <c r="I25" s="7"/>
      <c r="J25" s="7"/>
      <c r="K25" s="7"/>
    </row>
    <row r="26" spans="1:11">
      <c r="A26" s="10">
        <v>8</v>
      </c>
      <c r="B26" s="10"/>
      <c r="C26" s="9"/>
      <c r="D26" s="9"/>
      <c r="E26" s="9"/>
      <c r="F26" s="9">
        <f t="shared" si="7"/>
        <v>0</v>
      </c>
      <c r="G26" s="7"/>
      <c r="H26" s="7"/>
      <c r="I26" s="7"/>
      <c r="J26" s="7"/>
      <c r="K26" s="7"/>
    </row>
    <row r="27" spans="1:11">
      <c r="A27" s="10">
        <v>9</v>
      </c>
      <c r="B27" s="10"/>
      <c r="C27" s="9"/>
      <c r="D27" s="9"/>
      <c r="E27" s="9"/>
      <c r="F27" s="9">
        <f t="shared" si="7"/>
        <v>0</v>
      </c>
      <c r="G27" s="7"/>
      <c r="H27" s="7"/>
      <c r="I27" s="7"/>
      <c r="J27" s="7"/>
      <c r="K27" s="7"/>
    </row>
    <row r="28" spans="1:11">
      <c r="A28" s="10">
        <v>10</v>
      </c>
      <c r="B28" s="10"/>
      <c r="C28" s="9"/>
      <c r="D28" s="9"/>
      <c r="E28" s="9"/>
      <c r="F28" s="9">
        <f t="shared" si="7"/>
        <v>0</v>
      </c>
      <c r="G28" s="7"/>
      <c r="H28" s="7"/>
      <c r="I28" s="7"/>
      <c r="J28" s="7"/>
      <c r="K28" s="7"/>
    </row>
    <row r="29" spans="1:11">
      <c r="A29" s="10">
        <v>11</v>
      </c>
      <c r="B29" s="10"/>
      <c r="C29" s="9"/>
      <c r="D29" s="9"/>
      <c r="E29" s="9"/>
      <c r="F29" s="9">
        <f t="shared" si="7"/>
        <v>0</v>
      </c>
      <c r="G29" s="7"/>
      <c r="H29" s="7"/>
      <c r="I29" s="7"/>
      <c r="J29" s="7"/>
      <c r="K29" s="7"/>
    </row>
    <row r="30" spans="1:11">
      <c r="A30" s="10">
        <v>12</v>
      </c>
      <c r="B30" s="10"/>
      <c r="C30" s="9"/>
      <c r="D30" s="9"/>
      <c r="E30" s="9"/>
      <c r="F30" s="9">
        <f t="shared" si="7"/>
        <v>0</v>
      </c>
      <c r="G30" s="7"/>
      <c r="H30" s="7"/>
      <c r="I30" s="7"/>
      <c r="J30" s="7"/>
      <c r="K30" s="7"/>
    </row>
    <row r="31" spans="1:11">
      <c r="C31" s="7"/>
      <c r="D31" s="7"/>
      <c r="E31" s="8" t="s">
        <v>226</v>
      </c>
      <c r="F31" s="8">
        <f>SUM(F19:F30)</f>
        <v>18587.5</v>
      </c>
      <c r="G31" s="7"/>
      <c r="H31" s="7"/>
      <c r="I31" s="7"/>
      <c r="J31" s="7"/>
      <c r="K31" s="7"/>
    </row>
    <row r="32" spans="1:11">
      <c r="C32" s="7"/>
      <c r="D32" s="7"/>
      <c r="E32" s="7"/>
      <c r="F32" s="7"/>
      <c r="G32" s="7"/>
      <c r="H32" s="7"/>
      <c r="I32" s="7"/>
      <c r="J32" s="7"/>
      <c r="K32" s="7"/>
    </row>
  </sheetData>
  <mergeCells count="1">
    <mergeCell ref="O2:O4"/>
  </mergeCells>
  <conditionalFormatting sqref="L2:O1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Q13:Q1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PIVOT</vt:lpstr>
      <vt:lpstr>Equity_Trade-2025</vt:lpstr>
      <vt:lpstr>Dashrathlal</vt:lpstr>
      <vt:lpstr>Ramkishor</vt:lpstr>
      <vt:lpstr>Rashmi</vt:lpstr>
      <vt:lpstr>Aishwarya</vt:lpstr>
      <vt:lpstr>Sudhadevi</vt:lpstr>
      <vt:lpstr>Long Term Holiding</vt:lpstr>
      <vt:lpstr>Dividend</vt:lpstr>
      <vt:lpstr>Equity_Trade-2024</vt:lpstr>
      <vt:lpstr>Equity_Trade-2023</vt:lpstr>
      <vt:lpstr>Equity_Trade-2022</vt:lpstr>
      <vt:lpstr>Equity_Trade_2021</vt:lpstr>
      <vt:lpstr>Long Term Holiding-</vt:lpstr>
      <vt:lpstr>3 yaar</vt:lpstr>
      <vt:lpstr>DIVIDEND</vt:lpstr>
      <vt:lpstr>Dashrathlal!Equity_Trade_2024</vt:lpstr>
      <vt:lpstr>'Equity_Trade-2025'!Equity_Trade_2024</vt:lpstr>
      <vt:lpstr>Ramkishor!Equity_Trade_2024</vt:lpstr>
      <vt:lpstr>Equity_Trade_2024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Kamalkishor Prajapati</dc:creator>
  <cp:lastModifiedBy>Kamalkishor Prajapati</cp:lastModifiedBy>
  <dcterms:created xsi:type="dcterms:W3CDTF">2026-05-29T13:24:18Z</dcterms:created>
  <dcterms:modified xsi:type="dcterms:W3CDTF">2026-05-29T13:24:20Z</dcterms:modified>
</cp:coreProperties>
</file>