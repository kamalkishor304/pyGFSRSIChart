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1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VOT" sheetId="1" r:id="rId4"/>
    <sheet state="visible" name="Equity_Trade-2025" sheetId="2" r:id="rId5"/>
    <sheet state="visible" name="Dashrathlal" sheetId="3" r:id="rId6"/>
    <sheet state="visible" name="Ramkishor" sheetId="4" r:id="rId7"/>
    <sheet state="visible" name="Rashmi" sheetId="5" r:id="rId8"/>
    <sheet state="visible" name="Aishwarya" sheetId="6" r:id="rId9"/>
    <sheet state="visible" name="Sudhadevi" sheetId="7" r:id="rId10"/>
    <sheet state="visible" name="Long Term Holiding" sheetId="8" r:id="rId11"/>
    <sheet state="visible" name="Dividend" sheetId="9" r:id="rId12"/>
    <sheet state="visible" name="Equity_Trade-2024" sheetId="10" r:id="rId13"/>
    <sheet state="visible" name="Equity_Trade-2023" sheetId="11" r:id="rId14"/>
    <sheet state="visible" name="Equity_Trade-2022" sheetId="12" r:id="rId15"/>
    <sheet state="visible" name="Equity_Trade_2021" sheetId="13" r:id="rId16"/>
    <sheet state="visible" name="Long Term Holiding-" sheetId="14" r:id="rId17"/>
    <sheet state="visible" name="3 yaar" sheetId="15" r:id="rId18"/>
  </sheets>
  <definedNames>
    <definedName name="Equity_Trade_2024">'Equity_Trade-2024'!$A$1:$AB$53</definedName>
    <definedName localSheetId="3" name="Equity_Trade_2024">Ramkishor!$A$1:$AB$53</definedName>
    <definedName localSheetId="1" name="Equity_Trade_2024">'Equity_Trade-2025'!$A$1:$AB$53</definedName>
    <definedName localSheetId="2" name="Equity_Trade_2024">Dashrathlal!$A$1:$AB$53</definedName>
    <definedName name="DIVIDEND">Dividend!$A$1:$E$80</definedName>
    <definedName hidden="1" localSheetId="1" name="_xlnm._FilterDatabase">'Equity_Trade-2025'!$A$1:$AB$53</definedName>
    <definedName hidden="1" localSheetId="2" name="_xlnm._FilterDatabase">Dashrathlal!$A$1:$AB$53</definedName>
    <definedName hidden="1" localSheetId="3" name="_xlnm._FilterDatabase">Ramkishor!$A$1:$AB$53</definedName>
    <definedName hidden="1" localSheetId="4" name="_xlnm._FilterDatabase">Rashmi!$A$1:$P$54</definedName>
    <definedName hidden="1" localSheetId="6" name="_xlnm._FilterDatabase">Sudhadevi!$A$1:$R$50</definedName>
    <definedName hidden="1" localSheetId="7" name="_xlnm._FilterDatabase">'Long Term Holiding'!$A$1:$AC$103</definedName>
    <definedName hidden="1" localSheetId="8" name="_xlnm._FilterDatabase">Dividend!$A$1:$E$87</definedName>
    <definedName hidden="1" localSheetId="9" name="_xlnm._FilterDatabase">'Equity_Trade-2024'!$A$1:$AB$53</definedName>
    <definedName hidden="1" localSheetId="11" name="_xlnm._FilterDatabase">'Equity_Trade-2022'!$A$1:$Y$28</definedName>
    <definedName hidden="1" localSheetId="12" name="_xlnm._FilterDatabase">Equity_Trade_2021!$A$1:$Y$54</definedName>
    <definedName hidden="1" localSheetId="13" name="_xlnm._FilterDatabase">'Long Term Holiding-'!$A$1:$X$15</definedName>
  </definedNames>
  <calcPr/>
  <pivotCaches>
    <pivotCache cacheId="0" r:id="rId19"/>
    <pivotCache cacheId="1" r:id="rId20"/>
    <pivotCache cacheId="2" r:id="rId21"/>
    <pivotCache cacheId="3" r:id="rId22"/>
    <pivotCache cacheId="4" r:id="rId23"/>
    <pivotCache cacheId="5" r:id="rId24"/>
    <pivotCache cacheId="6" r:id="rId25"/>
    <pivotCache cacheId="7" r:id="rId26"/>
    <pivotCache cacheId="8" r:id="rId27"/>
    <pivotCache cacheId="9" r:id="rId28"/>
    <pivotCache cacheId="10" r:id="rId29"/>
    <pivotCache cacheId="11" r:id="rId30"/>
    <pivotCache cacheId="12" r:id="rId31"/>
    <pivotCache cacheId="13" r:id="rId32"/>
    <pivotCache cacheId="14" r:id="rId33"/>
    <pivotCache cacheId="15" r:id="rId34"/>
    <pivotCache cacheId="16" r:id="rId35"/>
    <pivotCache cacheId="17" r:id="rId36"/>
    <pivotCache cacheId="18" r:id="rId37"/>
    <pivotCache cacheId="19" r:id="rId38"/>
    <pivotCache cacheId="20" r:id="rId39"/>
    <pivotCache cacheId="21" r:id="rId40"/>
    <pivotCache cacheId="22" r:id="rId41"/>
    <pivotCache cacheId="23" r:id="rId42"/>
    <pivotCache cacheId="24" r:id="rId43"/>
    <pivotCache cacheId="25" r:id="rId44"/>
    <pivotCache cacheId="26" r:id="rId45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2">
      <text>
        <t xml:space="preserve">1:1 Bonus on 26-Aug-25
	-Kamalkishor Prajapati</t>
      </text>
    </comment>
    <comment authorId="0" ref="B33">
      <text>
        <t xml:space="preserve">1:1 Bonus on 26-Aug-25
	-Kamalkishor Prajapati</t>
      </text>
    </comment>
    <comment authorId="0" ref="B5">
      <text>
        <t xml:space="preserve">1:1 Bonus on 26-Aug-25
	-Kamalkishor Prajapati</t>
      </text>
    </comment>
    <comment authorId="0" ref="B24">
      <text>
        <t xml:space="preserve">Bonus 1:1
	-Kamalkishor Prajapati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3">
      <text>
        <t xml:space="preserve">TATAMOTORS Demerger, TMPV=68.85%
	-Kamalkishor Prajapati</t>
      </text>
    </comment>
    <comment authorId="0" ref="B9">
      <text>
        <t xml:space="preserve">1:1 Bonus
	-Kamalkishor Prajapati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7">
      <text>
        <t xml:space="preserve">IPO
	-Kamalkishor Prajapati</t>
      </text>
    </comment>
    <comment authorId="0" ref="B38">
      <text>
        <t xml:space="preserve">IPO
	-Kamalkishor Prajapati</t>
      </text>
    </comment>
    <comment authorId="0" ref="B40">
      <text>
        <t xml:space="preserve">IPO
	-Kamalkishor Prajapati</t>
      </text>
    </comment>
    <comment authorId="0" ref="B39">
      <text>
        <t xml:space="preserve">IPO
	-Kamalkishor Prajapati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NSE: 0.00325% : BSE: 0.003%
	-Kamalkishor Prajapati</t>
      </text>
    </comment>
    <comment authorId="0" ref="R1">
      <text>
        <t xml:space="preserve">18% on (brokerage + transaction charges)
	-Kamalkishor Prajapati</t>
      </text>
    </comment>
    <comment authorId="0" ref="P1">
      <text>
        <t xml:space="preserve">0.1% on buy &amp; sell
	-Kamalkishor Prajapati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0">
      <text>
        <t xml:space="preserve">Dividend Amount
	-Kamalkishor Prajapati</t>
      </text>
    </comment>
  </commentList>
</comments>
</file>

<file path=xl/sharedStrings.xml><?xml version="1.0" encoding="utf-8"?>
<sst xmlns="http://schemas.openxmlformats.org/spreadsheetml/2006/main" count="2056" uniqueCount="333">
  <si>
    <t>Trading 2025</t>
  </si>
  <si>
    <t>Sudadevi</t>
  </si>
  <si>
    <t>Rashmi</t>
  </si>
  <si>
    <t>Aishwarya</t>
  </si>
  <si>
    <t>SYMBOL</t>
  </si>
  <si>
    <t>Realised P/L</t>
  </si>
  <si>
    <t>Unrealised P/L</t>
  </si>
  <si>
    <t>Change Today</t>
  </si>
  <si>
    <t>SUM of Realised P/L</t>
  </si>
  <si>
    <t>SUM of Unrealised P/L</t>
  </si>
  <si>
    <t>SUM of Change</t>
  </si>
  <si>
    <t>ALPHAETF</t>
  </si>
  <si>
    <t>ALPHA</t>
  </si>
  <si>
    <t>ANGELONE</t>
  </si>
  <si>
    <t>ASIANPAINT</t>
  </si>
  <si>
    <t>GOLDCASE</t>
  </si>
  <si>
    <t>CROMPTON</t>
  </si>
  <si>
    <t>ASHOKLEY</t>
  </si>
  <si>
    <t>BAJAJHFL</t>
  </si>
  <si>
    <t>GPPL</t>
  </si>
  <si>
    <t>GODREJPROP</t>
  </si>
  <si>
    <t>AXISBANK</t>
  </si>
  <si>
    <t>BPCL</t>
  </si>
  <si>
    <t>HDFCBANK</t>
  </si>
  <si>
    <t>HINDZINC</t>
  </si>
  <si>
    <t>AZAD</t>
  </si>
  <si>
    <t>CPSEETF</t>
  </si>
  <si>
    <t>ICICIB22</t>
  </si>
  <si>
    <t>INDGN</t>
  </si>
  <si>
    <t>BAJAJFINSV</t>
  </si>
  <si>
    <t>HAL</t>
  </si>
  <si>
    <t>IDFCFIRSTB</t>
  </si>
  <si>
    <t>IREDA</t>
  </si>
  <si>
    <t>BHARATFORG</t>
  </si>
  <si>
    <t>HCLTECH</t>
  </si>
  <si>
    <t>IRCTC</t>
  </si>
  <si>
    <t>JIOFIN</t>
  </si>
  <si>
    <t>JSWENERGY</t>
  </si>
  <si>
    <t>COALINDIA</t>
  </si>
  <si>
    <t>RELIANCE</t>
  </si>
  <si>
    <t>PPLPHARMA</t>
  </si>
  <si>
    <t>ICICIBANK</t>
  </si>
  <si>
    <t>TMCV</t>
  </si>
  <si>
    <t>TITAGARH</t>
  </si>
  <si>
    <t>DALBHARAT</t>
  </si>
  <si>
    <t>TMPV</t>
  </si>
  <si>
    <t>EICHERMOT</t>
  </si>
  <si>
    <t>ITC</t>
  </si>
  <si>
    <t>Grand Total</t>
  </si>
  <si>
    <t>VOLTAS</t>
  </si>
  <si>
    <t>ETERNAL</t>
  </si>
  <si>
    <t>WIPRO</t>
  </si>
  <si>
    <t>MAFANG</t>
  </si>
  <si>
    <t>HINDALCO</t>
  </si>
  <si>
    <t>MOTHERSON</t>
  </si>
  <si>
    <t>RAILTEL</t>
  </si>
  <si>
    <t>TATACHEM</t>
  </si>
  <si>
    <t>UPL</t>
  </si>
  <si>
    <t>ITCHOTELS</t>
  </si>
  <si>
    <t>LT</t>
  </si>
  <si>
    <t>MIDCAPETF</t>
  </si>
  <si>
    <t>MOVALUE</t>
  </si>
  <si>
    <t>NMDC</t>
  </si>
  <si>
    <t>NORTHARC</t>
  </si>
  <si>
    <t>POLYCAB</t>
  </si>
  <si>
    <t>SAIL</t>
  </si>
  <si>
    <t>SBIN</t>
  </si>
  <si>
    <t>SETFGOLD</t>
  </si>
  <si>
    <t>TATAPOWER</t>
  </si>
  <si>
    <t>TATASTEEL</t>
  </si>
  <si>
    <t>TATATECH</t>
  </si>
  <si>
    <t>TVSMOTOR</t>
  </si>
  <si>
    <t>Column 1</t>
  </si>
  <si>
    <t>Holder</t>
  </si>
  <si>
    <t>Buy Date</t>
  </si>
  <si>
    <t>Buy</t>
  </si>
  <si>
    <t>Sell Date</t>
  </si>
  <si>
    <t>Sell</t>
  </si>
  <si>
    <t>LTP</t>
  </si>
  <si>
    <t>QTY</t>
  </si>
  <si>
    <t>Invested</t>
  </si>
  <si>
    <t>Turnover</t>
  </si>
  <si>
    <t>U P/L %</t>
  </si>
  <si>
    <t>Day_Change</t>
  </si>
  <si>
    <t>Change</t>
  </si>
  <si>
    <t>R P/L %</t>
  </si>
  <si>
    <t>STT</t>
  </si>
  <si>
    <t>Ex Txn Chg</t>
  </si>
  <si>
    <t>GST</t>
  </si>
  <si>
    <t>SEBI charges</t>
  </si>
  <si>
    <t>Total tax and charges</t>
  </si>
  <si>
    <t>DP Charges</t>
  </si>
  <si>
    <t>Total Charges</t>
  </si>
  <si>
    <t>Net P/L</t>
  </si>
  <si>
    <t>Net P/L %</t>
  </si>
  <si>
    <t>Balance</t>
  </si>
  <si>
    <t>Comment</t>
  </si>
  <si>
    <t>DHAN</t>
  </si>
  <si>
    <t>Initial Balance</t>
  </si>
  <si>
    <t>Current Balance</t>
  </si>
  <si>
    <t>Net P&amp;L</t>
  </si>
  <si>
    <t>MACD RSI</t>
  </si>
  <si>
    <t>SL</t>
  </si>
  <si>
    <t>Net % P&amp;L</t>
  </si>
  <si>
    <t>RAM</t>
  </si>
  <si>
    <t>TSL</t>
  </si>
  <si>
    <t>Sell Date - Year-Month</t>
  </si>
  <si>
    <t>RSI 50</t>
  </si>
  <si>
    <t>2025-Jun</t>
  </si>
  <si>
    <t>2025-Jul</t>
  </si>
  <si>
    <t>Manual</t>
  </si>
  <si>
    <t>2025-Aug</t>
  </si>
  <si>
    <t>2025-Nov</t>
  </si>
  <si>
    <t>GTT</t>
  </si>
  <si>
    <t>Dashrathlal</t>
  </si>
  <si>
    <t>HDFCLIFE</t>
  </si>
  <si>
    <t>HDFCMOMENT</t>
  </si>
  <si>
    <t>HDFCSILVER</t>
  </si>
  <si>
    <t>INDIGOPNTS</t>
  </si>
  <si>
    <t>ITETF</t>
  </si>
  <si>
    <t>RCOM</t>
  </si>
  <si>
    <t>TATACONSUM</t>
  </si>
  <si>
    <t>IDEA</t>
  </si>
  <si>
    <t>SILVERETF</t>
  </si>
  <si>
    <t>YESBANK</t>
  </si>
  <si>
    <t>Sr.#</t>
  </si>
  <si>
    <t>SUM of QTY</t>
  </si>
  <si>
    <t>IPO</t>
  </si>
  <si>
    <t>Diwali 24 Buy</t>
  </si>
  <si>
    <t>Diwali 25 Buy</t>
  </si>
  <si>
    <t>AS OF 22-Jun-25</t>
  </si>
  <si>
    <t>Column 1 2</t>
  </si>
  <si>
    <t>Column 2</t>
  </si>
  <si>
    <t>Target</t>
  </si>
  <si>
    <t>h</t>
  </si>
  <si>
    <t>Change 2</t>
  </si>
  <si>
    <t>ESPRESSO</t>
  </si>
  <si>
    <t>1:1 Bonus on 28-OCT-24</t>
  </si>
  <si>
    <t>GRASIM</t>
  </si>
  <si>
    <t>2021-May</t>
  </si>
  <si>
    <t>DHAN Total</t>
  </si>
  <si>
    <t>ADANIGREEN</t>
  </si>
  <si>
    <t>2021-Jun</t>
  </si>
  <si>
    <t>ESPRESSO Total</t>
  </si>
  <si>
    <t>ADANIPORTS</t>
  </si>
  <si>
    <t>2023-Sep</t>
  </si>
  <si>
    <t>Kamal Total</t>
  </si>
  <si>
    <t>Kamal</t>
  </si>
  <si>
    <t>DIVOPPBEES</t>
  </si>
  <si>
    <t>Savitri</t>
  </si>
  <si>
    <t>2023-Oct</t>
  </si>
  <si>
    <t>Paytm Total</t>
  </si>
  <si>
    <t>Paytm</t>
  </si>
  <si>
    <t>Ramkishor</t>
  </si>
  <si>
    <t>2023-Nov</t>
  </si>
  <si>
    <t>Ramkishor Total</t>
  </si>
  <si>
    <t>ICICIBANKN</t>
  </si>
  <si>
    <t>2023-Dec</t>
  </si>
  <si>
    <t>2024-Feb</t>
  </si>
  <si>
    <t>2024-Apr</t>
  </si>
  <si>
    <t>Savitri Total</t>
  </si>
  <si>
    <t>2024-Jul</t>
  </si>
  <si>
    <t>2024-Oct</t>
  </si>
  <si>
    <t>2024-Nov</t>
  </si>
  <si>
    <t>DOMS</t>
  </si>
  <si>
    <t>2025-Jan</t>
  </si>
  <si>
    <t>EXIDEIND</t>
  </si>
  <si>
    <t>ICICIBank</t>
  </si>
  <si>
    <t>HAPPYFORGE</t>
  </si>
  <si>
    <t>TATAMOTORS</t>
  </si>
  <si>
    <t>NAUKRI</t>
  </si>
  <si>
    <t>SBICARD</t>
  </si>
  <si>
    <t>TRANSFERED TO DHAN ON 5-FEB-25</t>
  </si>
  <si>
    <t>ZOMATO</t>
  </si>
  <si>
    <t>ULIP</t>
  </si>
  <si>
    <t xml:space="preserve">RSIEMA CROSS ON MONTHLY </t>
  </si>
  <si>
    <t>GOLD ETD</t>
  </si>
  <si>
    <t>Date</t>
  </si>
  <si>
    <t>Payment_Date</t>
  </si>
  <si>
    <t>Symbol</t>
  </si>
  <si>
    <t>Amount</t>
  </si>
  <si>
    <t>SUM of Amount</t>
  </si>
  <si>
    <t>DASHRATHLAL</t>
  </si>
  <si>
    <t>KAMAL</t>
  </si>
  <si>
    <t>RASHMI</t>
  </si>
  <si>
    <t>Date - Year-Month</t>
  </si>
  <si>
    <t>2022-Mar</t>
  </si>
  <si>
    <t>CAMS</t>
  </si>
  <si>
    <t>BOB</t>
  </si>
  <si>
    <t>2022-Jun</t>
  </si>
  <si>
    <t>2022-Jul</t>
  </si>
  <si>
    <t>2022-Aug</t>
  </si>
  <si>
    <t>CHOLAMANDALAM INV</t>
  </si>
  <si>
    <t>2022-Nov</t>
  </si>
  <si>
    <t>CIPLA</t>
  </si>
  <si>
    <t>2023-Feb</t>
  </si>
  <si>
    <t>2023-May</t>
  </si>
  <si>
    <t>2023-Jun</t>
  </si>
  <si>
    <t>EICHER MOTORS</t>
  </si>
  <si>
    <t>2023-Jul</t>
  </si>
  <si>
    <t>EXIDE</t>
  </si>
  <si>
    <t>2023-Aug</t>
  </si>
  <si>
    <t>2024-Jan</t>
  </si>
  <si>
    <t>INFO EDGE</t>
  </si>
  <si>
    <t>2024-Mar</t>
  </si>
  <si>
    <t>2024-May</t>
  </si>
  <si>
    <t>JSWSTEEL</t>
  </si>
  <si>
    <t>2024-Jun</t>
  </si>
  <si>
    <t>LAURUS LABS</t>
  </si>
  <si>
    <t>SBI</t>
  </si>
  <si>
    <t>TCS</t>
  </si>
  <si>
    <t>Breakout</t>
  </si>
  <si>
    <t>CHAMBLFERT</t>
  </si>
  <si>
    <t>GFS, before Breakout</t>
  </si>
  <si>
    <t xml:space="preserve"> Total</t>
  </si>
  <si>
    <t>GFS, before Breakout, sL</t>
  </si>
  <si>
    <t>AARTIIND</t>
  </si>
  <si>
    <t>GFS, before Breakout, Target</t>
  </si>
  <si>
    <t>ANGELONE Total</t>
  </si>
  <si>
    <t>PreBreakout</t>
  </si>
  <si>
    <t>CHOLAFIN</t>
  </si>
  <si>
    <t>FYERS Total</t>
  </si>
  <si>
    <t>KAMAL Total</t>
  </si>
  <si>
    <t>GLENMARK</t>
  </si>
  <si>
    <t>GFS</t>
  </si>
  <si>
    <t>IGIL</t>
  </si>
  <si>
    <t>OIL</t>
  </si>
  <si>
    <t>2024-Aug</t>
  </si>
  <si>
    <t>2024-Sep</t>
  </si>
  <si>
    <t>VMM</t>
  </si>
  <si>
    <t>RAM Total</t>
  </si>
  <si>
    <t>FYERS</t>
  </si>
  <si>
    <t>LICHSGFIN</t>
  </si>
  <si>
    <t>2024-Dec</t>
  </si>
  <si>
    <t xml:space="preserve">52WK </t>
  </si>
  <si>
    <t>2025-May</t>
  </si>
  <si>
    <t>LAURUSLABS</t>
  </si>
  <si>
    <t>52WK</t>
  </si>
  <si>
    <t>ZYDUSLIFE</t>
  </si>
  <si>
    <t>Trend scan</t>
  </si>
  <si>
    <t>Vijay Thakkar</t>
  </si>
  <si>
    <t xml:space="preserve"> </t>
  </si>
  <si>
    <t>AJMERA</t>
  </si>
  <si>
    <t>CONCOR</t>
  </si>
  <si>
    <t>SWING - SL hit</t>
  </si>
  <si>
    <t>FYERA Total</t>
  </si>
  <si>
    <t>BANKBARODA</t>
  </si>
  <si>
    <t>JINDALSTEL</t>
  </si>
  <si>
    <t>2023-Apr</t>
  </si>
  <si>
    <t>Daily Breakout with Vol. Target</t>
  </si>
  <si>
    <t>INDIACEM</t>
  </si>
  <si>
    <t>FYERA</t>
  </si>
  <si>
    <t>RSI EMA CROSS, SL HIT</t>
  </si>
  <si>
    <t>On Breakout, but without Volumn</t>
  </si>
  <si>
    <t>DIVISLAB</t>
  </si>
  <si>
    <t>GFS Running</t>
  </si>
  <si>
    <t>DIXON</t>
  </si>
  <si>
    <t xml:space="preserve">Weekly breakout </t>
  </si>
  <si>
    <t>Breakout with Volumn</t>
  </si>
  <si>
    <t>Strong Weekly &amp; Montly Candle and RSI 14 above 21 EMA RSI 14</t>
  </si>
  <si>
    <t>Weekly RSI about to cross 60, Daily Above 60, But RSI Divergence, Candle above Last Week high</t>
  </si>
  <si>
    <t>Timeout</t>
  </si>
  <si>
    <t>Took support on 50 EMA and price above 21 EMA</t>
  </si>
  <si>
    <t>Daily RSI near 59.4 and Price took support on 50 EMA, On Weekly price trading above 50 EMA and RSI at 58.29, Expexting a upside run</t>
  </si>
  <si>
    <t>EMA 21 &amp; 50 Crossover on Weekly TF, Weekly RSI @59.52 , aily RSI @ 60.36 and price above 21 &amp; 50 EMA</t>
  </si>
  <si>
    <t>TITAN</t>
  </si>
  <si>
    <t>EMA Support, W Pattern</t>
  </si>
  <si>
    <t>RBLBANK</t>
  </si>
  <si>
    <t>RIL Demerger</t>
  </si>
  <si>
    <t>Momentum</t>
  </si>
  <si>
    <t>Force Close</t>
  </si>
  <si>
    <t>GFS + Breakout</t>
  </si>
  <si>
    <t>Total</t>
  </si>
  <si>
    <t>Sudhadevi</t>
  </si>
  <si>
    <t>HDFC</t>
  </si>
  <si>
    <t>SUM of Net P/L</t>
  </si>
  <si>
    <t>2022-Jan</t>
  </si>
  <si>
    <t>2022-Feb</t>
  </si>
  <si>
    <t>MINDTREE</t>
  </si>
  <si>
    <t>2022-Apr</t>
  </si>
  <si>
    <t>AWL</t>
  </si>
  <si>
    <t>2022-May</t>
  </si>
  <si>
    <t>HINDUNILVR</t>
  </si>
  <si>
    <t>2022-Dec</t>
  </si>
  <si>
    <t>DEEPAKNTR</t>
  </si>
  <si>
    <t>SBILIFE</t>
  </si>
  <si>
    <t>MGL</t>
  </si>
  <si>
    <t>QUITY</t>
  </si>
  <si>
    <t>CUPID</t>
  </si>
  <si>
    <t>AUROPHARMA</t>
  </si>
  <si>
    <t>ZEEL</t>
  </si>
  <si>
    <t>2021-Feb</t>
  </si>
  <si>
    <t>2021-Mar</t>
  </si>
  <si>
    <t>2021-Apr</t>
  </si>
  <si>
    <t>VIPIND</t>
  </si>
  <si>
    <t>2021-Jul</t>
  </si>
  <si>
    <t>FEDERALBNK</t>
  </si>
  <si>
    <t>2021-Sep</t>
  </si>
  <si>
    <t>L&amp;TFH</t>
  </si>
  <si>
    <t>2021-Oct</t>
  </si>
  <si>
    <t>GHCL</t>
  </si>
  <si>
    <t>2021-Nov</t>
  </si>
  <si>
    <t>IBULHSGFIN</t>
  </si>
  <si>
    <t>RECLTD</t>
  </si>
  <si>
    <t>BANDHANBNK</t>
  </si>
  <si>
    <t>IEX</t>
  </si>
  <si>
    <t>MTARTECH</t>
  </si>
  <si>
    <t>ADANIPOWER</t>
  </si>
  <si>
    <t>ONGC</t>
  </si>
  <si>
    <t>DABUR</t>
  </si>
  <si>
    <t>SUNPHARMA</t>
  </si>
  <si>
    <t>LUPIN</t>
  </si>
  <si>
    <t>DWARKESH</t>
  </si>
  <si>
    <t>KPRMILL</t>
  </si>
  <si>
    <t>Sr. #</t>
  </si>
  <si>
    <t>MAESGETF</t>
  </si>
  <si>
    <t>Qty</t>
  </si>
  <si>
    <t>Curr Value</t>
  </si>
  <si>
    <t>Sell Value</t>
  </si>
  <si>
    <t>Curr P&amp;L</t>
  </si>
  <si>
    <t>Realised P&amp;L</t>
  </si>
  <si>
    <t>Realised P&amp;L %</t>
  </si>
  <si>
    <t>AXISBank</t>
  </si>
  <si>
    <t>STT total</t>
  </si>
  <si>
    <t>0.1% on buy &amp; sell</t>
  </si>
  <si>
    <t>Exchange txn charge</t>
  </si>
  <si>
    <t>NSE: 0.00325% : BSE: 0.003%</t>
  </si>
  <si>
    <t>Clearing charge</t>
  </si>
  <si>
    <t>18% on (brokerage + transaction charges)</t>
  </si>
  <si>
    <t>₹5 / crore</t>
  </si>
  <si>
    <t>Gross P&amp;L</t>
  </si>
  <si>
    <t>Vicky</t>
  </si>
  <si>
    <t>Nilesh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</si>
</sst>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₹]#,##0.00"/>
    <numFmt numFmtId="165" formatCode="d&quot;-&quot;mmm&quot;-&quot;yyyy"/>
    <numFmt numFmtId="166" formatCode="m/d/yyyy h:mm:ss"/>
    <numFmt numFmtId="167" formatCode="m-d-yyyy"/>
    <numFmt numFmtId="168" formatCode="d-mmm-yyyy"/>
    <numFmt numFmtId="169" formatCode="m-d-yy"/>
    <numFmt numFmtId="170" formatCode="dd-mmm-yyyy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b/>
      <color theme="1"/>
      <name val="Arial"/>
      <scheme val="minor"/>
    </font>
    <font>
      <color theme="1"/>
      <name val="Arial"/>
    </font>
    <font>
      <color rgb="FF314C59"/>
      <name val="Arial"/>
    </font>
    <font>
      <sz val="11.0"/>
      <color rgb="FF000000"/>
      <name val="Inconsolata"/>
    </font>
    <font>
      <b/>
      <color theme="1"/>
      <name val="Arial"/>
    </font>
    <font>
      <color rgb="FF4A4A4A"/>
      <name val="Roboto"/>
    </font>
    <font>
      <b/>
      <sz val="11.0"/>
      <color theme="1"/>
      <name val="Arial"/>
      <scheme val="minor"/>
    </font>
    <font/>
    <font>
      <color rgb="FF222222"/>
      <name val="Inter"/>
    </font>
    <font>
      <color rgb="FFFF0000"/>
      <name val="Arial"/>
      <scheme val="minor"/>
    </font>
    <font>
      <color rgb="FF424242"/>
      <name val="Inter"/>
    </font>
    <font>
      <color rgb="FF222222"/>
      <name val="Arial"/>
    </font>
    <font>
      <color rgb="FF424242"/>
      <name val="Arial"/>
    </font>
    <font>
      <b/>
      <color rgb="FFFF0000"/>
      <name val="Arial"/>
      <scheme val="minor"/>
    </font>
    <font>
      <b/>
      <sz val="10.0"/>
      <color theme="1"/>
      <name val="Arial"/>
      <scheme val="minor"/>
    </font>
    <font>
      <sz val="10.0"/>
      <color rgb="FF10B983"/>
      <name val="Arial"/>
    </font>
    <font>
      <b/>
      <sz val="12.0"/>
      <color theme="1"/>
      <name val="Arial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D7E6B"/>
        <bgColor rgb="FFDD7E6B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  <fill>
      <patternFill patternType="solid">
        <fgColor rgb="FFFAFAFB"/>
        <bgColor rgb="FFFAFAFB"/>
      </patternFill>
    </fill>
    <fill>
      <patternFill patternType="solid">
        <fgColor rgb="FF999999"/>
        <bgColor rgb="FF999999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2" numFmtId="0" xfId="0" applyFont="1"/>
    <xf borderId="0" fillId="3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0" fontId="1" numFmtId="0" xfId="0" applyFont="1"/>
    <xf borderId="0" fillId="0" fontId="1" numFmtId="164" xfId="0" applyFont="1" applyNumberFormat="1"/>
    <xf borderId="1" fillId="0" fontId="3" numFmtId="164" xfId="0" applyAlignment="1" applyBorder="1" applyFont="1" applyNumberFormat="1">
      <alignment readingOrder="0"/>
    </xf>
    <xf borderId="1" fillId="0" fontId="1" numFmtId="164" xfId="0" applyBorder="1" applyFont="1" applyNumberFormat="1"/>
    <xf borderId="1" fillId="0" fontId="1" numFmtId="164" xfId="0" applyAlignment="1" applyBorder="1" applyFont="1" applyNumberFormat="1">
      <alignment readingOrder="0"/>
    </xf>
    <xf borderId="1" fillId="0" fontId="2" numFmtId="164" xfId="0" applyBorder="1" applyFont="1" applyNumberFormat="1"/>
    <xf borderId="1" fillId="0" fontId="2" numFmtId="3" xfId="0" applyBorder="1" applyFont="1" applyNumberFormat="1"/>
    <xf borderId="1" fillId="0" fontId="2" numFmtId="164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1" fillId="0" fontId="1" numFmtId="0" xfId="0" applyBorder="1" applyFont="1"/>
    <xf borderId="0" fillId="0" fontId="2" numFmtId="164" xfId="0" applyFont="1" applyNumberFormat="1"/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vertical="bottom"/>
    </xf>
    <xf borderId="3" fillId="0" fontId="4" numFmtId="0" xfId="0" applyAlignment="1" applyBorder="1" applyFont="1">
      <alignment vertical="bottom"/>
    </xf>
    <xf borderId="1" fillId="0" fontId="1" numFmtId="0" xfId="0" applyAlignment="1" applyBorder="1" applyFont="1">
      <alignment readingOrder="0" shrinkToFit="0" vertical="center" wrapText="0"/>
    </xf>
    <xf borderId="1" fillId="0" fontId="1" numFmtId="164" xfId="0" applyAlignment="1" applyBorder="1" applyFont="1" applyNumberFormat="1">
      <alignment readingOrder="0" shrinkToFit="0" vertical="center" wrapText="0"/>
    </xf>
    <xf borderId="1" fillId="6" fontId="5" numFmtId="0" xfId="0" applyAlignment="1" applyBorder="1" applyFill="1" applyFont="1">
      <alignment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164" xfId="0" applyAlignment="1" applyBorder="1" applyFont="1" applyNumberFormat="1">
      <alignment shrinkToFit="0" vertical="center" wrapText="0"/>
    </xf>
    <xf borderId="1" fillId="0" fontId="1" numFmtId="10" xfId="0" applyAlignment="1" applyBorder="1" applyFont="1" applyNumberFormat="1">
      <alignment readingOrder="0" shrinkToFit="0" vertical="center" wrapText="0"/>
    </xf>
    <xf borderId="1" fillId="6" fontId="6" numFmtId="164" xfId="0" applyAlignment="1" applyBorder="1" applyFont="1" applyNumberFormat="1">
      <alignment shrinkToFit="0" vertical="center" wrapText="0"/>
    </xf>
    <xf borderId="4" fillId="0" fontId="1" numFmtId="164" xfId="0" applyAlignment="1" applyBorder="1" applyFont="1" applyNumberFormat="1">
      <alignment readingOrder="0" shrinkToFit="0" vertical="center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1" fillId="0" fontId="3" numFmtId="164" xfId="0" applyBorder="1" applyFont="1" applyNumberFormat="1"/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vertical="bottom"/>
    </xf>
    <xf borderId="1" fillId="0" fontId="3" numFmtId="10" xfId="0" applyAlignment="1" applyBorder="1" applyFont="1" applyNumberFormat="1">
      <alignment readingOrder="0"/>
    </xf>
    <xf borderId="1" fillId="6" fontId="1" numFmtId="164" xfId="0" applyAlignment="1" applyBorder="1" applyFont="1" applyNumberFormat="1">
      <alignment readingOrder="0" shrinkToFit="0" vertical="center" wrapText="0"/>
    </xf>
    <xf borderId="0" fillId="0" fontId="3" numFmtId="10" xfId="0" applyAlignment="1" applyFont="1" applyNumberForma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Font="1" applyNumberFormat="1"/>
    <xf borderId="1" fillId="6" fontId="8" numFmtId="164" xfId="0" applyAlignment="1" applyBorder="1" applyFont="1" applyNumberFormat="1">
      <alignment horizontal="left" readingOrder="0" shrinkToFit="0" vertical="center" wrapText="0"/>
    </xf>
    <xf borderId="1" fillId="0" fontId="1" numFmtId="167" xfId="0" applyAlignment="1" applyBorder="1" applyFont="1" applyNumberFormat="1">
      <alignment readingOrder="0" shrinkToFit="0" vertical="center" wrapText="0"/>
    </xf>
    <xf borderId="0" fillId="0" fontId="1" numFmtId="165" xfId="0" applyFont="1" applyNumberFormat="1"/>
    <xf borderId="1" fillId="6" fontId="8" numFmtId="0" xfId="0" applyAlignment="1" applyBorder="1" applyFont="1">
      <alignment horizontal="left" readingOrder="0" shrinkToFit="0" vertical="center" wrapText="0"/>
    </xf>
    <xf borderId="1" fillId="6" fontId="5" numFmtId="0" xfId="0" applyAlignment="1" applyBorder="1" applyFont="1">
      <alignment horizontal="left" readingOrder="0" shrinkToFit="0" vertical="center" wrapText="0"/>
    </xf>
    <xf borderId="1" fillId="6" fontId="5" numFmtId="0" xfId="0" applyAlignment="1" applyBorder="1" applyFont="1">
      <alignment readingOrder="0" shrinkToFit="0" vertical="center" wrapText="0"/>
    </xf>
    <xf borderId="2" fillId="0" fontId="1" numFmtId="164" xfId="0" applyAlignment="1" applyBorder="1" applyFont="1" applyNumberFormat="1">
      <alignment readingOrder="0" shrinkToFit="0" vertical="center" wrapText="0"/>
    </xf>
    <xf borderId="2" fillId="6" fontId="5" numFmtId="0" xfId="0" applyAlignment="1" applyBorder="1" applyFont="1">
      <alignment readingOrder="0" shrinkToFit="0" vertical="center" wrapText="0"/>
    </xf>
    <xf borderId="2" fillId="0" fontId="1" numFmtId="165" xfId="0" applyAlignment="1" applyBorder="1" applyFont="1" applyNumberFormat="1">
      <alignment readingOrder="0" shrinkToFit="0" vertical="center" wrapText="0"/>
    </xf>
    <xf borderId="2" fillId="0" fontId="1" numFmtId="10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3" xfId="0" applyBorder="1" applyFont="1" applyNumberFormat="1"/>
    <xf borderId="1" fillId="0" fontId="1" numFmtId="168" xfId="0" applyAlignment="1" applyBorder="1" applyFont="1" applyNumberFormat="1">
      <alignment readingOrder="0" shrinkToFit="0" vertical="center" wrapText="0"/>
    </xf>
    <xf borderId="2" fillId="6" fontId="5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readingOrder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6" fontId="1" numFmtId="164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64" xfId="0" applyAlignment="1" applyBorder="1" applyFont="1" applyNumberFormat="1">
      <alignment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3" fillId="0" fontId="4" numFmtId="164" xfId="0" applyAlignment="1" applyBorder="1" applyFont="1" applyNumberForma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0" fontId="9" numFmtId="164" xfId="0" applyAlignment="1" applyBorder="1" applyFont="1" applyNumberFormat="1">
      <alignment readingOrder="0"/>
    </xf>
    <xf borderId="3" fillId="0" fontId="4" numFmtId="165" xfId="0" applyAlignment="1" applyBorder="1" applyFont="1" applyNumberFormat="1">
      <alignment shrinkToFit="0" vertical="bottom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3" fillId="6" fontId="4" numFmtId="0" xfId="0" applyAlignment="1" applyBorder="1" applyFont="1">
      <alignment shrinkToFit="0" vertical="bottom" wrapText="0"/>
    </xf>
    <xf borderId="3" fillId="0" fontId="4" numFmtId="164" xfId="0" applyAlignment="1" applyBorder="1" applyFont="1" applyNumberFormat="1">
      <alignment readingOrder="0" shrinkToFit="0" vertical="bottom" wrapText="0"/>
    </xf>
    <xf borderId="3" fillId="0" fontId="4" numFmtId="0" xfId="0" applyAlignment="1" applyBorder="1" applyFont="1">
      <alignment horizontal="right" shrinkToFit="0" vertical="bottom" wrapText="0"/>
    </xf>
    <xf borderId="3" fillId="0" fontId="4" numFmtId="165" xfId="0" applyAlignment="1" applyBorder="1" applyFont="1" applyNumberFormat="1">
      <alignment readingOrder="0" shrinkToFit="0" vertical="bottom" wrapText="0"/>
    </xf>
    <xf borderId="3" fillId="0" fontId="4" numFmtId="0" xfId="0" applyAlignment="1" applyBorder="1" applyFont="1">
      <alignment horizontal="right" readingOrder="0" shrinkToFit="0" vertical="bottom" wrapText="0"/>
    </xf>
    <xf borderId="3" fillId="6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horizontal="right" readingOrder="0" shrinkToFit="0" vertical="bottom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7" fontId="1" numFmtId="0" xfId="0" applyAlignment="1" applyBorder="1" applyFill="1" applyFont="1">
      <alignment readingOrder="0"/>
    </xf>
    <xf borderId="4" fillId="7" fontId="1" numFmtId="0" xfId="0" applyAlignment="1" applyBorder="1" applyFont="1">
      <alignment readingOrder="0"/>
    </xf>
    <xf borderId="0" fillId="0" fontId="4" numFmtId="0" xfId="0" applyAlignment="1" applyFont="1">
      <alignment readingOrder="0" vertical="bottom"/>
    </xf>
    <xf borderId="1" fillId="0" fontId="1" numFmtId="0" xfId="0" applyAlignment="1" applyBorder="1" applyFont="1">
      <alignment readingOrder="0"/>
    </xf>
    <xf borderId="1" fillId="6" fontId="5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1" fillId="6" fontId="6" numFmtId="164" xfId="0" applyBorder="1" applyFont="1" applyNumberFormat="1"/>
    <xf borderId="4" fillId="0" fontId="1" numFmtId="164" xfId="0" applyAlignment="1" applyBorder="1" applyFont="1" applyNumberFormat="1">
      <alignment readingOrder="0"/>
    </xf>
    <xf borderId="1" fillId="6" fontId="1" numFmtId="164" xfId="0" applyAlignment="1" applyBorder="1" applyFont="1" applyNumberFormat="1">
      <alignment readingOrder="0"/>
    </xf>
    <xf borderId="2" fillId="0" fontId="1" numFmtId="164" xfId="0" applyAlignment="1" applyBorder="1" applyFont="1" applyNumberFormat="1">
      <alignment readingOrder="0"/>
    </xf>
    <xf borderId="2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readingOrder="0"/>
    </xf>
    <xf borderId="1" fillId="6" fontId="8" numFmtId="164" xfId="0" applyAlignment="1" applyBorder="1" applyFont="1" applyNumberFormat="1">
      <alignment horizontal="left" readingOrder="0"/>
    </xf>
    <xf borderId="1" fillId="6" fontId="8" numFmtId="0" xfId="0" applyAlignment="1" applyBorder="1" applyFont="1">
      <alignment horizontal="left" readingOrder="0"/>
    </xf>
    <xf borderId="2" fillId="6" fontId="5" numFmtId="0" xfId="0" applyAlignment="1" applyBorder="1" applyFont="1">
      <alignment horizontal="left" readingOrder="0"/>
    </xf>
    <xf borderId="2" fillId="0" fontId="1" numFmtId="10" xfId="0" applyAlignment="1" applyBorder="1" applyFont="1" applyNumberFormat="1">
      <alignment readingOrder="0"/>
    </xf>
    <xf borderId="5" fillId="0" fontId="1" numFmtId="0" xfId="0" applyBorder="1" applyFont="1"/>
    <xf borderId="6" fillId="0" fontId="3" numFmtId="0" xfId="0" applyAlignment="1" applyBorder="1" applyFont="1">
      <alignment horizontal="center" readingOrder="0"/>
    </xf>
    <xf borderId="7" fillId="0" fontId="10" numFmtId="0" xfId="0" applyBorder="1" applyFont="1"/>
    <xf borderId="8" fillId="0" fontId="10" numFmtId="0" xfId="0" applyBorder="1" applyFont="1"/>
    <xf borderId="5" fillId="0" fontId="3" numFmtId="164" xfId="0" applyBorder="1" applyFont="1" applyNumberFormat="1"/>
    <xf borderId="5" fillId="0" fontId="3" numFmtId="10" xfId="0" applyBorder="1" applyFont="1" applyNumberFormat="1"/>
    <xf borderId="5" fillId="0" fontId="3" numFmtId="164" xfId="0" applyBorder="1" applyFont="1" applyNumberFormat="1"/>
    <xf borderId="5" fillId="0" fontId="3" numFmtId="0" xfId="0" applyBorder="1" applyFont="1"/>
    <xf borderId="5" fillId="8" fontId="3" numFmtId="0" xfId="0" applyBorder="1" applyFill="1" applyFont="1"/>
    <xf borderId="1" fillId="9" fontId="1" numFmtId="164" xfId="0" applyAlignment="1" applyBorder="1" applyFill="1" applyFont="1" applyNumberFormat="1">
      <alignment readingOrder="0"/>
    </xf>
    <xf borderId="1" fillId="9" fontId="1" numFmtId="0" xfId="0" applyAlignment="1" applyBorder="1" applyFont="1">
      <alignment readingOrder="0"/>
    </xf>
    <xf borderId="1" fillId="9" fontId="5" numFmtId="0" xfId="0" applyAlignment="1" applyBorder="1" applyFont="1">
      <alignment horizontal="left" readingOrder="0"/>
    </xf>
    <xf borderId="5" fillId="8" fontId="3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1" numFmtId="169" xfId="0" applyAlignment="1" applyBorder="1" applyFont="1" applyNumberFormat="1">
      <alignment readingOrder="0"/>
    </xf>
    <xf borderId="2" fillId="0" fontId="1" numFmtId="164" xfId="0" applyBorder="1" applyFont="1" applyNumberFormat="1"/>
    <xf borderId="1" fillId="0" fontId="3" numFmtId="0" xfId="0" applyBorder="1" applyFont="1"/>
    <xf borderId="9" fillId="0" fontId="1" numFmtId="0" xfId="0" applyBorder="1" applyFont="1"/>
    <xf borderId="10" fillId="0" fontId="3" numFmtId="0" xfId="0" applyAlignment="1" applyBorder="1" applyFont="1">
      <alignment horizontal="center" readingOrder="0"/>
    </xf>
    <xf borderId="11" fillId="0" fontId="10" numFmtId="0" xfId="0" applyBorder="1" applyFont="1"/>
    <xf borderId="12" fillId="0" fontId="10" numFmtId="0" xfId="0" applyBorder="1" applyFont="1"/>
    <xf borderId="9" fillId="0" fontId="3" numFmtId="164" xfId="0" applyBorder="1" applyFont="1" applyNumberFormat="1"/>
    <xf borderId="9" fillId="0" fontId="3" numFmtId="10" xfId="0" applyBorder="1" applyFont="1" applyNumberFormat="1"/>
    <xf borderId="9" fillId="8" fontId="3" numFmtId="164" xfId="0" applyBorder="1" applyFont="1" applyNumberFormat="1"/>
    <xf borderId="9" fillId="0" fontId="3" numFmtId="0" xfId="0" applyBorder="1" applyFont="1"/>
    <xf borderId="1" fillId="7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1" fillId="10" fontId="1" numFmtId="0" xfId="0" applyAlignment="1" applyBorder="1" applyFill="1" applyFont="1">
      <alignment readingOrder="0"/>
    </xf>
    <xf borderId="1" fillId="10" fontId="1" numFmtId="168" xfId="0" applyAlignment="1" applyBorder="1" applyFont="1" applyNumberFormat="1">
      <alignment readingOrder="0"/>
    </xf>
    <xf borderId="1" fillId="10" fontId="1" numFmtId="164" xfId="0" applyBorder="1" applyFont="1" applyNumberFormat="1"/>
    <xf borderId="1" fillId="10" fontId="1" numFmtId="164" xfId="0" applyAlignment="1" applyBorder="1" applyFont="1" applyNumberFormat="1">
      <alignment readingOrder="0"/>
    </xf>
    <xf borderId="1" fillId="10" fontId="1" numFmtId="165" xfId="0" applyAlignment="1" applyBorder="1" applyFont="1" applyNumberFormat="1">
      <alignment horizontal="center" readingOrder="0"/>
    </xf>
    <xf borderId="1" fillId="10" fontId="1" numFmtId="0" xfId="0" applyAlignment="1" applyBorder="1" applyFont="1">
      <alignment horizontal="center" readingOrder="0"/>
    </xf>
    <xf borderId="1" fillId="0" fontId="1" numFmtId="164" xfId="0" applyBorder="1" applyFont="1" applyNumberFormat="1"/>
    <xf borderId="1" fillId="0" fontId="1" numFmtId="164" xfId="0" applyAlignment="1" applyBorder="1" applyFont="1" applyNumberFormat="1">
      <alignment readingOrder="0"/>
    </xf>
    <xf borderId="1" fillId="0" fontId="1" numFmtId="10" xfId="0" applyBorder="1" applyFont="1" applyNumberFormat="1"/>
    <xf borderId="2" fillId="0" fontId="1" numFmtId="164" xfId="0" applyAlignment="1" applyBorder="1" applyFont="1" applyNumberFormat="1">
      <alignment horizontal="center" readingOrder="0"/>
    </xf>
    <xf borderId="0" fillId="0" fontId="1" numFmtId="164" xfId="0" applyAlignment="1" applyFont="1" applyNumberFormat="1">
      <alignment readingOrder="0"/>
    </xf>
    <xf borderId="13" fillId="0" fontId="10" numFmtId="0" xfId="0" applyBorder="1" applyFont="1"/>
    <xf borderId="14" fillId="0" fontId="10" numFmtId="0" xfId="0" applyBorder="1" applyFont="1"/>
    <xf borderId="0" fillId="0" fontId="1" numFmtId="0" xfId="0" applyAlignment="1" applyFont="1">
      <alignment horizontal="left" readingOrder="0"/>
    </xf>
    <xf borderId="1" fillId="10" fontId="1" numFmtId="165" xfId="0" applyAlignment="1" applyBorder="1" applyFont="1" applyNumberFormat="1">
      <alignment readingOrder="0"/>
    </xf>
    <xf borderId="0" fillId="0" fontId="1" numFmtId="10" xfId="0" applyFont="1" applyNumberFormat="1"/>
    <xf borderId="0" fillId="6" fontId="11" numFmtId="0" xfId="0" applyAlignment="1" applyFont="1">
      <alignment horizontal="left" readingOrder="0"/>
    </xf>
    <xf borderId="0" fillId="0" fontId="12" numFmtId="164" xfId="0" applyAlignment="1" applyFont="1" applyNumberFormat="1">
      <alignment readingOrder="0"/>
    </xf>
    <xf borderId="0" fillId="11" fontId="13" numFmtId="0" xfId="0" applyAlignment="1" applyFill="1" applyFont="1">
      <alignment horizontal="left" readingOrder="0"/>
    </xf>
    <xf borderId="0" fillId="0" fontId="14" numFmtId="0" xfId="0" applyAlignment="1" applyFont="1">
      <alignment horizontal="left" readingOrder="0"/>
    </xf>
    <xf borderId="0" fillId="0" fontId="15" numFmtId="0" xfId="0" applyAlignment="1" applyFont="1">
      <alignment horizontal="left" readingOrder="0"/>
    </xf>
    <xf borderId="0" fillId="0" fontId="13" numFmtId="0" xfId="0" applyAlignment="1" applyFont="1">
      <alignment horizontal="left" readingOrder="0"/>
    </xf>
    <xf borderId="0" fillId="0" fontId="16" numFmtId="164" xfId="0" applyFont="1" applyNumberFormat="1"/>
    <xf borderId="0" fillId="0" fontId="17" numFmtId="0" xfId="0" applyAlignment="1" applyFont="1">
      <alignment horizontal="right" readingOrder="0"/>
    </xf>
    <xf borderId="0" fillId="6" fontId="18" numFmtId="164" xfId="0" applyAlignment="1" applyFont="1" applyNumberFormat="1">
      <alignment horizontal="right" readingOrder="0"/>
    </xf>
    <xf borderId="1" fillId="12" fontId="1" numFmtId="0" xfId="0" applyBorder="1" applyFill="1" applyFont="1"/>
    <xf borderId="1" fillId="12" fontId="1" numFmtId="164" xfId="0" applyBorder="1" applyFont="1" applyNumberFormat="1"/>
    <xf borderId="1" fillId="12" fontId="19" numFmtId="164" xfId="0" applyBorder="1" applyFont="1" applyNumberFormat="1"/>
    <xf borderId="1" fillId="12" fontId="19" numFmtId="10" xfId="0" applyBorder="1" applyFont="1" applyNumberFormat="1"/>
    <xf borderId="0" fillId="12" fontId="19" numFmtId="10" xfId="0" applyFont="1" applyNumberFormat="1"/>
    <xf borderId="0" fillId="0" fontId="1" numFmtId="164" xfId="0" applyFont="1" applyNumberFormat="1"/>
    <xf borderId="1" fillId="0" fontId="1" numFmtId="170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164" xfId="0" applyBorder="1" applyFont="1" applyNumberFormat="1"/>
  </cellXfs>
  <cellStyles count="1">
    <cellStyle xfId="0" name="Normal" builtinId="0"/>
  </cellStyles>
  <dxfs count="15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color rgb="FF356854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/>
      <fill>
        <patternFill patternType="solid">
          <fgColor rgb="FFD2D5E3"/>
          <bgColor rgb="FFD2D5E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font>
        <color rgb="FF000000"/>
      </font>
      <fill>
        <patternFill patternType="solid">
          <fgColor rgb="FFF5959C"/>
          <bgColor rgb="FFF5959C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theme="9"/>
          <bgColor theme="9"/>
        </patternFill>
      </fill>
      <border/>
    </dxf>
  </dxfs>
  <tableStyles count="9">
    <tableStyle count="4" pivot="0" name="Equity_Trade-2025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4" pivot="0" name="Dashrathlal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4" pivot="0" name="Ramkishor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5" pivot="0" name="Rashmi-style">
      <tableStyleElement dxfId="5" type="headerRow"/>
      <tableStyleElement dxfId="6" type="firstRowStripe"/>
      <tableStyleElement dxfId="7" type="secondRowStripe"/>
      <tableStyleElement dxfId="9" type="totalRow"/>
      <tableStyleElement dxfId="8" size="0" type="wholeTable"/>
    </tableStyle>
    <tableStyle count="4" pivot="0" name="Aishwarya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4" pivot="0" name="Sudhadevi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4" pivot="0" name="Long Term Holiding-style">
      <tableStyleElement dxfId="10" type="headerRow"/>
      <tableStyleElement dxfId="6" type="firstRowStripe"/>
      <tableStyleElement dxfId="7" type="secondRowStripe"/>
      <tableStyleElement dxfId="8" size="0" type="wholeTable"/>
    </tableStyle>
    <tableStyle count="4" pivot="0" name="Dividend-style">
      <tableStyleElement dxfId="10" type="headerRow"/>
      <tableStyleElement dxfId="6" type="firstRowStripe"/>
      <tableStyleElement dxfId="11" type="secondRowStripe"/>
      <tableStyleElement dxfId="8" size="0" type="wholeTable"/>
    </tableStyle>
    <tableStyle count="4" pivot="0" name="Equity_Trade-2024-style">
      <tableStyleElement dxfId="5" type="headerRow"/>
      <tableStyleElement dxfId="6" type="firstRowStripe"/>
      <tableStyleElement dxfId="7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2.xml"/><Relationship Id="rId20" Type="http://schemas.openxmlformats.org/officeDocument/2006/relationships/pivotCacheDefinition" Target="pivotCache/pivotCacheDefinition2.xml"/><Relationship Id="rId42" Type="http://schemas.openxmlformats.org/officeDocument/2006/relationships/pivotCacheDefinition" Target="pivotCache/pivotCacheDefinition24.xml"/><Relationship Id="rId41" Type="http://schemas.openxmlformats.org/officeDocument/2006/relationships/pivotCacheDefinition" Target="pivotCache/pivotCacheDefinition23.xml"/><Relationship Id="rId22" Type="http://schemas.openxmlformats.org/officeDocument/2006/relationships/pivotCacheDefinition" Target="pivotCache/pivotCacheDefinition4.xml"/><Relationship Id="rId44" Type="http://schemas.openxmlformats.org/officeDocument/2006/relationships/pivotCacheDefinition" Target="pivotCache/pivotCacheDefinition26.xml"/><Relationship Id="rId21" Type="http://schemas.openxmlformats.org/officeDocument/2006/relationships/pivotCacheDefinition" Target="pivotCache/pivotCacheDefinition3.xml"/><Relationship Id="rId43" Type="http://schemas.openxmlformats.org/officeDocument/2006/relationships/pivotCacheDefinition" Target="pivotCache/pivotCacheDefinition25.xml"/><Relationship Id="rId24" Type="http://schemas.openxmlformats.org/officeDocument/2006/relationships/pivotCacheDefinition" Target="pivotCache/pivotCacheDefinition6.xml"/><Relationship Id="rId23" Type="http://schemas.openxmlformats.org/officeDocument/2006/relationships/pivotCacheDefinition" Target="pivotCache/pivotCacheDefinition5.xml"/><Relationship Id="rId45" Type="http://schemas.openxmlformats.org/officeDocument/2006/relationships/pivotCacheDefinition" Target="pivotCache/pivotCacheDefinition2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pivotCacheDefinition" Target="pivotCache/pivotCacheDefinition8.xml"/><Relationship Id="rId25" Type="http://schemas.openxmlformats.org/officeDocument/2006/relationships/pivotCacheDefinition" Target="pivotCache/pivotCacheDefinition7.xml"/><Relationship Id="rId28" Type="http://schemas.openxmlformats.org/officeDocument/2006/relationships/pivotCacheDefinition" Target="pivotCache/pivotCacheDefinition10.xml"/><Relationship Id="rId27" Type="http://schemas.openxmlformats.org/officeDocument/2006/relationships/pivotCacheDefinition" Target="pivotCache/pivotCacheDefinition9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pivotCacheDefinition" Target="pivotCache/pivotCacheDefinition11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pivotCacheDefinition" Target="pivotCache/pivotCacheDefinition13.xml"/><Relationship Id="rId30" Type="http://schemas.openxmlformats.org/officeDocument/2006/relationships/pivotCacheDefinition" Target="pivotCache/pivotCacheDefinition12.xml"/><Relationship Id="rId11" Type="http://schemas.openxmlformats.org/officeDocument/2006/relationships/worksheet" Target="worksheets/sheet8.xml"/><Relationship Id="rId33" Type="http://schemas.openxmlformats.org/officeDocument/2006/relationships/pivotCacheDefinition" Target="pivotCache/pivotCacheDefinition15.xml"/><Relationship Id="rId10" Type="http://schemas.openxmlformats.org/officeDocument/2006/relationships/worksheet" Target="worksheets/sheet7.xml"/><Relationship Id="rId32" Type="http://schemas.openxmlformats.org/officeDocument/2006/relationships/pivotCacheDefinition" Target="pivotCache/pivotCacheDefinition14.xml"/><Relationship Id="rId13" Type="http://schemas.openxmlformats.org/officeDocument/2006/relationships/worksheet" Target="worksheets/sheet10.xml"/><Relationship Id="rId35" Type="http://schemas.openxmlformats.org/officeDocument/2006/relationships/pivotCacheDefinition" Target="pivotCache/pivotCacheDefinition17.xml"/><Relationship Id="rId12" Type="http://schemas.openxmlformats.org/officeDocument/2006/relationships/worksheet" Target="worksheets/sheet9.xml"/><Relationship Id="rId34" Type="http://schemas.openxmlformats.org/officeDocument/2006/relationships/pivotCacheDefinition" Target="pivotCache/pivotCacheDefinition16.xml"/><Relationship Id="rId15" Type="http://schemas.openxmlformats.org/officeDocument/2006/relationships/worksheet" Target="worksheets/sheet12.xml"/><Relationship Id="rId37" Type="http://schemas.openxmlformats.org/officeDocument/2006/relationships/pivotCacheDefinition" Target="pivotCache/pivotCacheDefinition19.xml"/><Relationship Id="rId14" Type="http://schemas.openxmlformats.org/officeDocument/2006/relationships/worksheet" Target="worksheets/sheet11.xml"/><Relationship Id="rId36" Type="http://schemas.openxmlformats.org/officeDocument/2006/relationships/pivotCacheDefinition" Target="pivotCache/pivotCacheDefinition18.xml"/><Relationship Id="rId17" Type="http://schemas.openxmlformats.org/officeDocument/2006/relationships/worksheet" Target="worksheets/sheet14.xml"/><Relationship Id="rId39" Type="http://schemas.openxmlformats.org/officeDocument/2006/relationships/pivotCacheDefinition" Target="pivotCache/pivotCacheDefinition21.xml"/><Relationship Id="rId16" Type="http://schemas.openxmlformats.org/officeDocument/2006/relationships/worksheet" Target="worksheets/sheet13.xml"/><Relationship Id="rId38" Type="http://schemas.openxmlformats.org/officeDocument/2006/relationships/pivotCacheDefinition" Target="pivotCache/pivotCacheDefinition20.xml"/><Relationship Id="rId19" Type="http://schemas.openxmlformats.org/officeDocument/2006/relationships/pivotCacheDefinition" Target="pivotCache/pivotCacheDefinition1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Balance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Equity_Trade_2021!$D$2:$D$53</c:f>
            </c:strRef>
          </c:cat>
          <c:val>
            <c:numRef>
              <c:f>Equity_Trade_2021!$Y$1:$Y$47</c:f>
              <c:numCache/>
            </c:numRef>
          </c:val>
        </c:ser>
        <c:overlap val="100"/>
        <c:axId val="1320667389"/>
        <c:axId val="2145603838"/>
      </c:barChart>
      <c:catAx>
        <c:axId val="1320667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603838"/>
      </c:catAx>
      <c:valAx>
        <c:axId val="21456038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0667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381000</xdr:colOff>
      <xdr:row>6</xdr:row>
      <xdr:rowOff>190500</xdr:rowOff>
    </xdr:from>
    <xdr:ext cx="3848100" cy="2381250"/>
    <xdr:pic>
      <xdr:nvPicPr>
        <xdr:cNvPr id="2081228399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523875</xdr:colOff>
      <xdr:row>18</xdr:row>
      <xdr:rowOff>9525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28</xdr:col>
      <xdr:colOff>962025</xdr:colOff>
      <xdr:row>5</xdr:row>
      <xdr:rowOff>133350</xdr:rowOff>
    </xdr:from>
    <xdr:ext cx="3848100" cy="2381250"/>
    <xdr:pic>
      <xdr:nvPicPr>
        <xdr:cNvPr id="1347398629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53" sheet="Equity_Trade-2025"/>
  </cacheSource>
  <cacheFields>
    <cacheField name="SYMBOL" numFmtId="164">
      <sharedItems containsBlank="1">
        <s v="ANGELONE"/>
        <s v="JIOFIN"/>
        <s v="TMCV"/>
        <s v="HINDZINC"/>
        <s v="IREDA"/>
        <s v="GODREJPROP"/>
        <s v="WIPRO"/>
        <s v="CROMPTON"/>
        <s v="PPLPHARMA"/>
        <s v="JSWENERGY"/>
        <s v="VOLTAS"/>
        <s v="INDGN"/>
        <s v="TITAGARH"/>
        <m/>
      </sharedItems>
    </cacheField>
    <cacheField name="Holder" numFmtId="0">
      <sharedItems containsBlank="1">
        <s v="DHAN"/>
        <s v="ANGELONE"/>
        <s v="RAM"/>
        <m/>
      </sharedItems>
    </cacheField>
    <cacheField name="Buy Date" numFmtId="165">
      <sharedItems containsDate="1" containsString="0" containsBlank="1">
        <d v="2025-01-01T00:00:00Z"/>
        <d v="2025-05-14T00:00:00Z"/>
        <d v="2025-05-20T00:00:00Z"/>
        <d v="2025-06-05T00:00:00Z"/>
        <d v="2025-06-03T00:00:00Z"/>
        <d v="2025-06-24T00:00:00Z"/>
        <d v="2025-06-27T00:00:00Z"/>
        <d v="2025-07-16T00:00:00Z"/>
        <d v="2025-07-18T00:00:00Z"/>
        <d v="2025-08-18T00:00:00Z"/>
        <d v="2025-08-19T00:00:00Z"/>
        <d v="2025-10-08T00:00:00Z"/>
        <m/>
      </sharedItems>
    </cacheField>
    <cacheField name="Buy" numFmtId="164">
      <sharedItems containsString="0" containsBlank="1" containsNumber="1">
        <n v="3006.15"/>
        <n v="267.0"/>
        <n v="366.5"/>
        <n v="475.0"/>
        <n v="176.2"/>
        <n v="2294.8"/>
        <n v="267.5"/>
        <n v="359.0"/>
        <n v="218.1"/>
        <n v="537.9"/>
        <n v="1402.0"/>
        <n v="589.1"/>
        <n v="920.0"/>
        <m/>
      </sharedItems>
    </cacheField>
    <cacheField name="Sell Date" numFmtId="0">
      <sharedItems containsDate="1" containsString="0" containsBlank="1">
        <m/>
        <d v="2025-06-19T00:00:00Z"/>
        <d v="2025-07-01T00:00:00Z"/>
        <d v="2025-08-01T00:00:00Z"/>
        <d v="2025-07-11T00:00:00Z"/>
        <d v="2025-11-25T00:00:00Z"/>
        <d v="2025-08-28T00:00:00Z"/>
      </sharedItems>
    </cacheField>
    <cacheField name="Sell" numFmtId="0">
      <sharedItems containsString="0" containsBlank="1" containsNumber="1">
        <m/>
        <n v="446.0"/>
        <n v="0.0"/>
        <n v="2302.0"/>
        <n v="244.5"/>
        <n v="335.6"/>
        <n v="190.0"/>
        <n v="477.04"/>
        <n v="550.0"/>
      </sharedItems>
    </cacheField>
    <cacheField name="LTP">
      <sharedItems containsMixedTypes="1" containsNumber="1">
        <n v="2543.2"/>
        <n v="298.5"/>
        <n v="425.5"/>
        <n v="610.2"/>
        <n v="139.0"/>
        <n v="2019.0"/>
        <n v="271.3"/>
        <n v="259.1"/>
        <n v="177.85"/>
        <n v="484.5"/>
        <n v="1380.0"/>
        <n v="532.0"/>
        <n v="835.0"/>
        <s v=""/>
      </sharedItems>
    </cacheField>
    <cacheField name="QTY" numFmtId="0">
      <sharedItems containsString="0" containsBlank="1" containsNumber="1" containsInteger="1">
        <n v="3.0"/>
        <n v="18.0"/>
        <n v="6.0"/>
        <n v="30.0"/>
        <n v="50.0"/>
        <n v="5.0"/>
        <n v="45.0"/>
        <n v="33.0"/>
        <n v="40.0"/>
        <n v="25.0"/>
        <n v="19.0"/>
        <n v="11.0"/>
        <m/>
      </sharedItems>
    </cacheField>
    <cacheField name="Invested" numFmtId="164">
      <sharedItems containsSemiMixedTypes="0" containsString="0" containsNumber="1">
        <n v="9018.45"/>
        <n v="4806.0"/>
        <n v="2199.0"/>
        <n v="14250.0"/>
        <n v="8810.0"/>
        <n v="11474.0"/>
        <n v="12037.5"/>
        <n v="11847.0"/>
        <n v="8724.0"/>
        <n v="13447.5"/>
        <n v="7010.0"/>
        <n v="11192.9"/>
        <n v="10120.0"/>
        <n v="0.0"/>
      </sharedItems>
    </cacheField>
    <cacheField name="Turnover" numFmtId="164">
      <sharedItems containsSemiMixedTypes="0" containsString="0" containsNumber="1">
        <n v="9018.45"/>
        <n v="4806.0"/>
        <n v="2199.0"/>
        <n v="27630.0"/>
        <n v="8810.0"/>
        <n v="22984.0"/>
        <n v="23040.0"/>
        <n v="22921.8"/>
        <n v="16324.0"/>
        <n v="25373.5"/>
        <n v="7010.0"/>
        <n v="21642.899999999998"/>
        <n v="10120.0"/>
        <n v="0.0"/>
      </sharedItems>
    </cacheField>
    <cacheField name="Unrealised P/L" numFmtId="164">
      <sharedItems containsSemiMixedTypes="0" containsString="0" containsNumber="1">
        <n v="-1388.8500000000008"/>
        <n v="567.0"/>
        <n v="354.0"/>
        <n v="0.0"/>
        <n v="-1859.9999999999995"/>
        <n v="-110.0"/>
        <n v="-935.0"/>
      </sharedItems>
    </cacheField>
    <cacheField name="U P/L %" numFmtId="10">
      <sharedItems containsSemiMixedTypes="0" containsString="0" containsNumber="1">
        <n v="-0.1540009646890542"/>
        <n v="0.11797752808988764"/>
        <n v="0.16098226466575716"/>
        <n v="0.0"/>
        <n v="-0.21112372304199767"/>
        <n v="-0.015691868758915834"/>
        <n v="-0.09239130434782608"/>
      </sharedItems>
    </cacheField>
    <cacheField name="Day_Change" numFmtId="164">
      <sharedItems containsSemiMixedTypes="0" containsString="0" containsNumber="1">
        <n v="-38.4"/>
        <n v="-0.25"/>
        <n v="13.8"/>
        <n v="0.0"/>
        <n v="3.33"/>
        <n v="-8.0"/>
        <n v="18.5"/>
      </sharedItems>
    </cacheField>
    <cacheField name="Change" numFmtId="164">
      <sharedItems containsSemiMixedTypes="0" containsString="0" containsNumber="1">
        <n v="-115.19999999999999"/>
        <n v="-4.5"/>
        <n v="82.80000000000001"/>
        <n v="0.0"/>
        <n v="166.5"/>
        <n v="-40.0"/>
        <n v="203.5"/>
      </sharedItems>
    </cacheField>
    <cacheField name="Realised P/L" numFmtId="164">
      <sharedItems containsSemiMixedTypes="0" containsString="0" containsNumber="1">
        <n v="0.0"/>
        <n v="-870.0"/>
        <n v="35.99999999999909"/>
        <n v="-1035.0"/>
        <n v="-772.1999999999992"/>
        <n v="-1123.9999999999998"/>
        <n v="-1521.4999999999989"/>
        <n v="-742.9000000000004"/>
      </sharedItems>
    </cacheField>
    <cacheField name="R P/L %" numFmtId="10">
      <sharedItems containsSemiMixedTypes="0" containsString="0" containsNumber="1">
        <n v="0.0"/>
        <n v="-0.061052631578947365"/>
        <n v="0.0031375283249084093"/>
        <n v="-0.08598130841121496"/>
        <n v="-0.06518105849582166"/>
        <n v="-0.12883998165978908"/>
        <n v="-0.1131437070087376"/>
        <n v="-0.06637243252418948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R50" sheet="Sudhadevi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</sharedItems>
    </cacheField>
    <cacheField name="SYMBOL" numFmtId="164">
      <sharedItems>
        <s v="ANGELONE"/>
        <s v="ASHOKLEY"/>
        <s v="AXISBANK"/>
        <s v="AZAD"/>
        <s v="BAJAJFINSV"/>
        <s v="BPCL"/>
        <s v="COALINDIA"/>
        <s v="DALBHARAT"/>
        <s v="EICHERMOT"/>
        <s v="ETERNAL"/>
        <s v="HINDALCO"/>
        <s v="ICICIBANK"/>
        <s v="IDFCFIRSTB"/>
        <s v="IRCTC"/>
        <s v="IREDA"/>
        <s v="ITC"/>
        <s v="ITCHOTELS"/>
        <s v="JIOFIN"/>
        <s v="LT"/>
        <s v="NORTHARC"/>
        <s v="POLYCAB"/>
        <s v="RELIANCE"/>
        <s v="SAIL"/>
        <s v="SBIN"/>
        <s v="TATACHEM"/>
        <s v="TMPV"/>
        <s v="TMCV"/>
        <s v="TATAPOWER"/>
        <s v="TATASTEEL"/>
        <s v="TATATECH"/>
        <s v="ICICIB22"/>
        <s v="MAFANG"/>
        <s v="ALPHAETF"/>
        <s v="MOVALUE"/>
        <s v="CPSEETF"/>
        <s v="SETFGOLD"/>
        <s v="GOLDCASE"/>
        <s v="MIDCAPETF"/>
        <s v="TVSMOTOR"/>
        <s v="MOTHERSON"/>
        <s v="NMDC"/>
        <s v="BHARATFORG"/>
      </sharedItems>
    </cacheField>
    <cacheField name="Holder" numFmtId="0">
      <sharedItems>
        <s v="DHAN"/>
      </sharedItems>
    </cacheField>
    <cacheField name="Buy Date" numFmtId="0">
      <sharedItems containsDate="1" containsString="0" containsBlank="1">
        <m/>
        <d v="2023-12-28T00:00:00Z"/>
        <d v="2025-07-16T00:00:00Z"/>
        <d v="2025-08-14T00:00:00Z"/>
        <d v="2025-10-21T00:00:00Z"/>
        <d v="2025-11-28T00:00:00Z"/>
        <d v="2025-12-04T00:00:00Z"/>
        <d v="2025-12-22T00:00:00Z"/>
      </sharedItems>
    </cacheField>
    <cacheField name="Buy" numFmtId="164">
      <sharedItems containsSemiMixedTypes="0" containsString="0" containsNumber="1">
        <n v="3006.15"/>
        <n v="123.5"/>
        <n v="1053.95"/>
        <n v="524.0"/>
        <n v="1750.0"/>
        <n v="205.25"/>
        <n v="443.0"/>
        <n v="1951.0"/>
        <n v="4417.15"/>
        <n v="110.8"/>
        <n v="675.0"/>
        <n v="1087.05"/>
        <n v="84.06"/>
        <n v="1000.05"/>
        <n v="68.05"/>
        <n v="391.19"/>
        <n v="611.06"/>
        <n v="192.52"/>
        <n v="3474.74"/>
        <n v="263.0"/>
        <n v="4322.0"/>
        <n v="1237.13"/>
        <n v="131.2"/>
        <n v="817.54"/>
        <n v="1075.0"/>
        <n v="445.810635"/>
        <n v="201.699365"/>
        <n v="222.67"/>
        <n v="142.65"/>
        <n v="500.0"/>
        <n v="93.66"/>
        <n v="95.89"/>
        <n v="28.38"/>
        <n v="102.62"/>
        <n v="90.5"/>
        <n v="66.56"/>
        <n v="12.8"/>
        <n v="83.75"/>
        <n v="22.35"/>
        <n v="3018.0"/>
        <n v="1469.0"/>
        <n v="94.12"/>
        <n v="117.2"/>
        <n v="117.5"/>
        <n v="78.35"/>
        <n v="1454.8"/>
        <n v="21.15"/>
      </sharedItems>
    </cacheField>
    <cacheField name="Sell Date" numFmtId="0">
      <sharedItems containsDate="1" containsString="0" containsBlank="1">
        <m/>
        <d v="2025-07-14T00:00:00Z"/>
        <d v="2025-07-25T00:00:00Z"/>
        <d v="2025-10-14T00:00:00Z"/>
        <d v="2025-10-24T00:00:00Z"/>
        <d v="2025-12-03T00:00:00Z"/>
        <d v="2025-12-09T00:00:00Z"/>
        <d v="2025-12-08T00:00:00Z"/>
        <d v="2025-12-22T00:00:00Z"/>
        <d v="2025-11-07T00:00:00Z"/>
      </sharedItems>
    </cacheField>
    <cacheField name="Sell" numFmtId="164">
      <sharedItems containsSemiMixedTypes="0" containsString="0" containsNumber="1">
        <n v="0.0"/>
        <n v="1549.15"/>
        <n v="1948.0"/>
        <n v="2193.0"/>
        <n v="6800.0"/>
        <n v="300.0"/>
        <n v="291.0"/>
        <n v="380.0"/>
        <n v="22.73"/>
        <n v="3367.3"/>
      </sharedItems>
    </cacheField>
    <cacheField name="LTP" numFmtId="164">
      <sharedItems containsSemiMixedTypes="0" containsString="0" containsNumber="1">
        <n v="2543.2"/>
        <n v="178.1"/>
        <n v="1224.5"/>
        <n v="1658.0"/>
        <n v="2042.0"/>
        <n v="369.7"/>
        <n v="400.65"/>
        <n v="2059.0"/>
        <n v="7290.0"/>
        <n v="284.25"/>
        <n v="863.85"/>
        <n v="1362.4"/>
        <n v="84.9"/>
        <n v="680.5"/>
        <n v="139.0"/>
        <n v="408.85"/>
        <n v="194.6"/>
        <n v="298.5"/>
        <n v="4070.0"/>
        <n v="253.65"/>
        <n v="7638.0"/>
        <n v="1569.0"/>
        <n v="133.0"/>
        <n v="971.25"/>
        <n v="776.9"/>
        <n v="362.6"/>
        <n v="425.5"/>
        <n v="382.4"/>
        <n v="170.82"/>
        <n v="661.1"/>
        <n v="116.72"/>
        <n v="168.98"/>
        <n v="25.31"/>
        <n v="114.45"/>
        <n v="91.15"/>
        <n v="116.68"/>
        <n v="21.49"/>
        <n v="22.76"/>
        <n v="3685.2"/>
        <n v="120.27"/>
        <n v="81.55"/>
        <n v="1457.7"/>
      </sharedItems>
    </cacheField>
    <cacheField name="QTY" numFmtId="0">
      <sharedItems containsSemiMixedTypes="0" containsString="0" containsNumber="1" containsInteger="1">
        <n v="3.0"/>
        <n v="14.0"/>
        <n v="10.0"/>
        <n v="8.0"/>
        <n v="4.0"/>
        <n v="66.0"/>
        <n v="33.0"/>
        <n v="5.0"/>
        <n v="1.0"/>
        <n v="51.0"/>
        <n v="20.0"/>
        <n v="140.0"/>
        <n v="200.0"/>
        <n v="2.0"/>
        <n v="25.0"/>
        <n v="57.0"/>
        <n v="17.0"/>
        <n v="27.0"/>
        <n v="106.0"/>
        <n v="443.0"/>
        <n v="190.0"/>
        <n v="751.0"/>
        <n v="50.0"/>
        <n v="100.0"/>
        <n v="700.0"/>
        <n v="300.0"/>
        <n v="21.0"/>
        <n v="30.0"/>
      </sharedItems>
    </cacheField>
    <cacheField name="Invested" numFmtId="164">
      <sharedItems containsSemiMixedTypes="0" containsString="0" containsNumber="1">
        <n v="9018.45"/>
        <n v="1729.0"/>
        <n v="10539.5"/>
        <n v="4192.0"/>
        <n v="7000.0"/>
        <n v="13546.5"/>
        <n v="14619.0"/>
        <n v="9755.0"/>
        <n v="4417.15"/>
        <n v="5650.8"/>
        <n v="6750.0"/>
        <n v="21741.0"/>
        <n v="11768.4"/>
        <n v="10000.5"/>
        <n v="13610.0"/>
        <n v="7823.8"/>
        <n v="1222.12"/>
        <n v="4813.0"/>
        <n v="17373.699999999997"/>
        <n v="14991.0"/>
        <n v="4322.0"/>
        <n v="21031.210000000003"/>
        <n v="2624.0"/>
        <n v="8175.4"/>
        <n v="4300.0"/>
        <n v="11145.265875"/>
        <n v="5042.484125"/>
        <n v="6012.089999999999"/>
        <n v="15120.900000000001"/>
        <n v="10000.0"/>
        <n v="41491.38"/>
        <n v="18219.1"/>
        <n v="21313.38"/>
        <n v="5131.0"/>
        <n v="4525.0"/>
        <n v="6656.0"/>
        <n v="8960.0"/>
        <n v="4187.5"/>
        <n v="6705.0"/>
        <n v="9054.0"/>
        <n v="7345.0"/>
        <n v="1976.52"/>
        <n v="3516.0"/>
        <n v="5875.0"/>
        <n v="7834.999999999999"/>
        <n v="5819.2"/>
        <n v="6345.0"/>
      </sharedItems>
    </cacheField>
    <cacheField name="Unrealised P/L" numFmtId="164">
      <sharedItems containsSemiMixedTypes="0" containsString="0" containsNumber="1">
        <n v="-1388.8500000000008"/>
        <n v="764.3999999999999"/>
        <n v="1705.4999999999995"/>
        <n v="0.0"/>
        <n v="10853.699999999999"/>
        <n v="-1397.5500000000006"/>
        <n v="8845.949999999999"/>
        <n v="1888.5000000000002"/>
        <n v="5507.000000000003"/>
        <n v="117.60000000000048"/>
        <n v="-3195.4999999999995"/>
        <n v="14190.0"/>
        <n v="353.2000000000005"/>
        <n v="-832.9199999999998"/>
        <n v="2976.300000000001"/>
        <n v="-532.9499999999997"/>
        <n v="3316.0"/>
        <n v="5641.789999999998"/>
        <n v="36.00000000000023"/>
        <n v="1537.1000000000004"/>
        <n v="-1192.4"/>
        <n v="-2080.265874999999"/>
        <n v="5595.015875"/>
        <n v="2986.0199999999986"/>
        <n v="3222.0000000000005"/>
        <n v="10215.580000000002"/>
        <n v="13887.099999999999"/>
        <n v="-2305.57"/>
        <n v="591.4999999999999"/>
        <n v="32.500000000000284"/>
        <n v="5012.0"/>
        <n v="6082.999999999998"/>
        <n v="1646.5000000000005"/>
        <n v="500.0"/>
        <n v="-62.369999999999976"/>
        <n v="92.0999999999998"/>
        <n v="138.4999999999998"/>
        <n v="320.0000000000003"/>
        <n v="11.600000000000364"/>
        <n v="101.99999999999996"/>
      </sharedItems>
    </cacheField>
    <cacheField name="U P/L %" numFmtId="10">
      <sharedItems containsSemiMixedTypes="0" containsString="0" containsNumber="1">
        <n v="-0.1540009646890542"/>
        <n v="0.44210526315789467"/>
        <n v="0.161819820674605"/>
        <n v="0.0"/>
        <n v="0.8012180267965895"/>
        <n v="-0.09559819413092556"/>
        <n v="1.56543321299639"/>
        <n v="0.2797777777777778"/>
        <n v="0.2533002161814085"/>
        <n v="0.009992862241256286"/>
        <n v="-0.319534023298835"/>
        <n v="1.0426157237325497"/>
        <n v="0.04514430327973625"/>
        <n v="-0.6815370012764703"/>
        <n v="0.17131065921479025"/>
        <n v="-0.03555133079847907"/>
        <n v="0.7672373900971773"/>
        <n v="0.26825798420537844"/>
        <n v="0.01371951219512204"/>
        <n v="0.18801526530811954"/>
        <n v="-0.2773023255813954"/>
        <n v="-0.18665017939735773"/>
        <n v="1.109575307785426"/>
        <n v="0.1974763406940062"/>
        <n v="0.32220000000000004"/>
        <n v="0.24620969464018794"/>
        <n v="0.7622275524037959"/>
        <n v="-0.10817477096546865"/>
        <n v="0.11527967257844472"/>
        <n v="0.007182320441989013"/>
        <n v="0.7530048076923077"/>
        <n v="0.6789062499999998"/>
        <n v="0.39319402985074636"/>
        <n v="0.06807351940095303"/>
        <n v="-0.03155546111347215"/>
        <n v="0.0261945392491467"/>
        <n v="0.02357446808510635"/>
        <n v="0.040842373962986636"/>
        <n v="0.0019934011547979727"/>
        <n v="0.016075650118203305"/>
      </sharedItems>
    </cacheField>
    <cacheField name="Day_Change" numFmtId="164">
      <sharedItems containsSemiMixedTypes="0" containsString="0" containsNumber="1">
        <n v="-38.4"/>
        <n v="1.05"/>
        <n v="-8.7"/>
        <n v="0.0"/>
        <n v="-0.2"/>
        <n v="14.4"/>
        <n v="-2.45"/>
        <n v="-0.7"/>
        <n v="-6.1"/>
        <n v="-0.45"/>
        <n v="-1.15"/>
        <n v="3.33"/>
        <n v="6.15"/>
        <n v="-1.64"/>
        <n v="-2.4"/>
        <n v="1.35"/>
        <n v="35.0"/>
        <n v="-6.4"/>
        <n v="2.94"/>
        <n v="-3.05"/>
        <n v="8.4"/>
        <n v="3.45"/>
        <n v="13.8"/>
        <n v="1.6"/>
        <n v="-2.3"/>
        <n v="0.58"/>
        <n v="2.12"/>
        <n v="-0.05"/>
        <n v="0.42"/>
        <n v="1.19"/>
        <n v="1.7"/>
        <n v="0.34"/>
        <n v="-0.84"/>
        <n v="3.03"/>
        <n v="1.5"/>
      </sharedItems>
    </cacheField>
    <cacheField name="Change" numFmtId="164">
      <sharedItems containsSemiMixedTypes="0" containsString="0" containsNumber="1">
        <n v="-115.19999999999999"/>
        <n v="14.700000000000001"/>
        <n v="-87.0"/>
        <n v="0.0"/>
        <n v="-13.200000000000001"/>
        <n v="475.2"/>
        <n v="-124.95"/>
        <n v="-7.0"/>
        <n v="-122.0"/>
        <n v="-63.0"/>
        <n v="-11.5"/>
        <n v="666.0"/>
        <n v="123.0"/>
        <n v="-3.28"/>
        <n v="-12.0"/>
        <n v="76.95"/>
        <n v="35.0"/>
        <n v="-108.80000000000001"/>
        <n v="58.8"/>
        <n v="-30.5"/>
        <n v="33.6"/>
        <n v="86.25"/>
        <n v="345.0"/>
        <n v="169.60000000000002"/>
        <n v="-46.0"/>
        <n v="256.94"/>
        <n v="402.8"/>
        <n v="-37.550000000000004"/>
        <n v="21.0"/>
        <n v="59.5"/>
        <n v="170.0"/>
        <n v="238.00000000000003"/>
        <n v="85.0"/>
        <n v="-32.0"/>
        <n v="24.99"/>
        <n v="-25.2"/>
        <n v="-42.0"/>
        <n v="303.0"/>
        <n v="6.0"/>
        <n v="102.00000000000001"/>
      </sharedItems>
    </cacheField>
    <cacheField name="Realised P/L" numFmtId="164">
      <sharedItems containsSemiMixedTypes="0" containsString="0" containsNumber="1">
        <n v="0.0"/>
        <n v="8201.2"/>
        <n v="792.0"/>
        <n v="1210.0"/>
        <n v="2382.8500000000004"/>
        <n v="9649.199999999999"/>
        <n v="2461.9999999999995"/>
        <n v="4247.910000000001"/>
        <n v="113.9999999999997"/>
        <n v="1047.9000000000005"/>
      </sharedItems>
    </cacheField>
    <cacheField name="R P/L %" numFmtId="10">
      <sharedItems containsSemiMixedTypes="0" containsString="0" containsNumber="1">
        <n v="0.0"/>
        <n v="1.9563931297709924"/>
        <n v="0.11314285714285714"/>
        <n v="0.12403895438236802"/>
        <n v="0.5394541729395652"/>
        <n v="1.707581227436823"/>
        <n v="0.5115312694784957"/>
        <n v="0.7065612790227692"/>
        <n v="0.01700223713646528"/>
        <n v="0.115738899933731"/>
      </sharedItems>
    </cacheField>
    <cacheField name="column 12" numFmtId="0">
      <sharedItems containsBlank="1">
        <m/>
        <s v="TSL"/>
        <s v="Target"/>
        <s v="Diwali 25 Buy"/>
      </sharedItems>
    </cacheField>
    <cacheField name="Column 2" numFmtId="0">
      <sharedItems containsBlank="1">
        <e v="#REF!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P53" sheet="Rashmi"/>
  </cacheSource>
  <cacheFields>
    <cacheField name="SYMBOL" numFmtId="164">
      <sharedItems containsBlank="1">
        <s v="BPCL"/>
        <s v="CPSEETF"/>
        <s v="HCLTECH"/>
        <s v="HDFCBANK"/>
        <s v="ICICIBANK"/>
        <s v="IRCTC"/>
        <s v="MAFANG"/>
        <s v="TATACHEM"/>
        <s v="RAILTEL"/>
        <s v="JIOFIN"/>
        <s v="TMPV"/>
        <s v="HAL"/>
        <s v="UPL"/>
        <s v="BAJAJHFL"/>
        <s v="ITC"/>
        <s v="ASIANPAINT"/>
        <s v="RELIANCE"/>
        <s v="TMCV"/>
        <s v="ICICIB22"/>
        <s v="MOTHERSON"/>
        <m/>
      </sharedItems>
    </cacheField>
    <cacheField name="Holder" numFmtId="0">
      <sharedItems containsBlank="1">
        <s v="Rashmi"/>
        <m/>
      </sharedItems>
    </cacheField>
    <cacheField name="Buy Date" numFmtId="0">
      <sharedItems containsDate="1" containsString="0" containsBlank="1">
        <m/>
        <d v="2023-05-08T00:00:00Z"/>
        <d v="2023-06-07T00:00:00Z"/>
        <d v="2023-07-05T00:00:00Z"/>
        <d v="2023-08-11T00:00:00Z"/>
        <d v="2023-09-04T00:00:00Z"/>
        <d v="2023-10-06T00:00:00Z"/>
        <d v="2023-11-12T00:00:00Z"/>
        <d v="2024-02-05T00:00:00Z"/>
        <d v="2024-04-03T00:00:00Z"/>
        <d v="2024-05-08T00:00:00Z"/>
        <d v="2024-06-07T00:00:00Z"/>
        <d v="2024-09-06T00:00:00Z"/>
        <d v="2024-09-16T00:00:00Z"/>
        <d v="2024-11-01T00:00:00Z"/>
        <d v="2025-05-21T00:00:00Z"/>
        <d v="2025-06-04T00:00:00Z"/>
        <d v="2025-08-08T00:00:00Z"/>
        <d v="2025-08-26T00:00:00Z"/>
        <d v="2025-10-21T00:00:00Z"/>
        <d v="2025-11-21T00:00:00Z"/>
        <d v="2025-11-28T00:00:00Z"/>
      </sharedItems>
    </cacheField>
    <cacheField name="Buy" numFmtId="164">
      <sharedItems containsString="0" containsBlank="1" containsNumber="1">
        <n v="179.625"/>
        <n v="19.75"/>
        <n v="1199.09"/>
        <n v="702.17"/>
        <n v="663.14"/>
        <n v="753.45"/>
        <n v="50.0"/>
        <n v="977.1"/>
        <n v="823.825"/>
        <n v="133.5"/>
        <n v="129.35"/>
        <n v="660.7"/>
        <n v="47.48"/>
        <n v="261.5"/>
        <n v="459.401625"/>
        <n v="450.18261"/>
        <n v="721.5"/>
        <n v="743.275"/>
        <n v="972.6"/>
        <n v="86.1"/>
        <n v="4718.55"/>
        <n v="615.0"/>
        <n v="70.0"/>
        <n v="93.5"/>
        <n v="434.0"/>
        <n v="911.75"/>
        <n v="2500.0"/>
        <n v="702.165"/>
        <n v="762.8666666666667"/>
        <n v="1469.0"/>
        <n v="207.848375"/>
        <n v="203.67739"/>
        <n v="116.75"/>
        <n v="117.2"/>
        <m/>
      </sharedItems>
    </cacheField>
    <cacheField name="Sell Date" numFmtId="0">
      <sharedItems containsDate="1" containsString="0" containsBlank="1">
        <m/>
        <d v="2023-09-01T00:00:00Z"/>
        <d v="2025-08-08T00:00:00Z"/>
        <d v="2025-11-21T00:00:00Z"/>
      </sharedItems>
    </cacheField>
    <cacheField name="Sell" numFmtId="164">
      <sharedItems containsString="0" containsBlank="1" containsNumber="1">
        <n v="0.0"/>
        <n v="217.5"/>
        <n v="353.85"/>
        <n v="105.58"/>
        <n v="154.2"/>
        <m/>
      </sharedItems>
    </cacheField>
    <cacheField name="LTP" numFmtId="164">
      <sharedItems containsString="0" containsBlank="1" containsNumber="1">
        <n v="369.7"/>
        <n v="91.15"/>
        <n v="1674.8"/>
        <n v="997.0"/>
        <n v="1362.4"/>
        <n v="680.5"/>
        <n v="168.98"/>
        <n v="776.9"/>
        <n v="360.0"/>
        <n v="298.5"/>
        <n v="362.6"/>
        <n v="4409.8"/>
        <n v="780.7"/>
        <n v="95.75"/>
        <n v="408.85"/>
        <n v="2808.0"/>
        <n v="1569.0"/>
        <n v="425.5"/>
        <n v="116.72"/>
        <n v="120.27"/>
        <m/>
      </sharedItems>
    </cacheField>
    <cacheField name="QTY" numFmtId="0">
      <sharedItems containsString="0" containsBlank="1" containsNumber="1" containsInteger="1">
        <n v="60.0"/>
        <n v="1.0"/>
        <n v="11.0"/>
        <n v="6.0"/>
        <n v="22.0"/>
        <n v="15.0"/>
        <n v="288.0"/>
        <n v="3.0"/>
        <n v="27.0"/>
        <n v="10.0"/>
        <n v="38.0"/>
        <n v="7.0"/>
        <n v="57.0"/>
        <n v="8.0"/>
        <n v="114.0"/>
        <n v="100.0"/>
        <n v="51.0"/>
        <n v="5.0"/>
        <n v="4.0"/>
        <n v="9.0"/>
        <n v="50.0"/>
        <m/>
      </sharedItems>
    </cacheField>
    <cacheField name="Invested" numFmtId="164">
      <sharedItems containsSemiMixedTypes="0" containsString="0" containsNumber="1">
        <n v="10777.5"/>
        <n v="19.75"/>
        <n v="13189.99"/>
        <n v="4213.0199999999995"/>
        <n v="14589.08"/>
        <n v="11301.75"/>
        <n v="14400.0"/>
        <n v="14656.5"/>
        <n v="2471.4750000000004"/>
        <n v="3604.5"/>
        <n v="1335.0"/>
        <n v="4915.3"/>
        <n v="4624.900000000001"/>
        <n v="332.35999999999996"/>
        <n v="5753.0"/>
        <n v="3215.811375"/>
        <n v="3151.2782700000002"/>
        <n v="2164.5"/>
        <n v="2229.825"/>
        <n v="2917.8"/>
        <n v="4907.7"/>
        <n v="4718.55"/>
        <n v="4920.0"/>
        <n v="7980.0"/>
        <n v="7000.0"/>
        <n v="4768.5"/>
        <n v="4774.0"/>
        <n v="4558.75"/>
        <n v="10000.0"/>
        <n v="4212.99"/>
        <n v="6865.8"/>
        <n v="4407.0"/>
        <n v="1454.938625"/>
        <n v="1425.74173"/>
        <n v="5837.5"/>
        <n v="5860.0"/>
        <n v="0.0"/>
      </sharedItems>
    </cacheField>
    <cacheField name="Unrealised P/L" numFmtId="164">
      <sharedItems containsSemiMixedTypes="0" containsString="0" containsNumber="1">
        <n v="11404.5"/>
        <n v="71.4"/>
        <n v="5232.81"/>
        <n v="1768.9800000000002"/>
        <n v="15383.720000000003"/>
        <n v="-1094.2500000000007"/>
        <n v="34266.24"/>
        <n v="-3003.000000000001"/>
        <n v="519.5249999999999"/>
        <n v="0.0"/>
        <n v="138.59999999999968"/>
        <n v="305.69000000000005"/>
        <n v="814.0"/>
        <n v="-677.611375"/>
        <n v="-613.07827"/>
        <n v="826.5"/>
        <n v="761.1750000000001"/>
        <n v="-876.3000000000001"/>
        <n v="287.85000000000065"/>
        <n v="-308.75"/>
        <n v="1325.6000000000004"/>
        <n v="-119.84999999999971"/>
        <n v="-276.64999999999975"/>
        <n v="-674.2500000000001"/>
        <n v="1232.0"/>
        <n v="1769.0100000000002"/>
        <n v="2107.2"/>
        <n v="300.0"/>
        <n v="1523.561375"/>
        <n v="1552.75827"/>
        <n v="-1.5000000000000568"/>
        <n v="153.49999999999966"/>
      </sharedItems>
    </cacheField>
    <cacheField name="U P/L %" numFmtId="10">
      <sharedItems containsSemiMixedTypes="0" containsString="0" containsNumber="1">
        <n v="1.0581767571329157"/>
        <n v="3.6151898734177217"/>
        <n v="0.39672585043658115"/>
        <n v="0.4198840736573765"/>
        <n v="1.0544681364417772"/>
        <n v="-0.09682128873846976"/>
        <n v="2.3796"/>
        <n v="-0.2048920274281036"/>
        <n v="0.2102084787424513"/>
        <n v="0.0"/>
        <n v="0.02996821552898434"/>
        <n v="0.9197556866048865"/>
        <n v="0.14149139579349904"/>
        <n v="-0.2107124131308852"/>
        <n v="-0.19454907420790862"/>
        <n v="0.38184338184338185"/>
        <n v="0.341360869126501"/>
        <n v="-0.30032901501130993"/>
        <n v="0.05865272938443684"/>
        <n v="-0.06543323690540526"/>
        <n v="0.2694308943089432"/>
        <n v="-0.02513368983957213"/>
        <n v="-0.05794930875576031"/>
        <n v="-0.14790238552234716"/>
        <n v="0.1232"/>
        <n v="0.41989418441534404"/>
        <n v="0.3069125229397885"/>
        <n v="0.06807351940095303"/>
        <n v="1.047165391598563"/>
        <n v="1.089088042614843"/>
        <n v="-2.5695931477517036E-4"/>
        <n v="0.0261945392491467"/>
      </sharedItems>
    </cacheField>
    <cacheField name="Day_Change" numFmtId="164">
      <sharedItems containsSemiMixedTypes="0" containsString="0" containsNumber="1">
        <n v="-0.2"/>
        <n v="1.19"/>
        <n v="4.5"/>
        <n v="9.3"/>
        <n v="-6.1"/>
        <n v="-1.15"/>
        <n v="2.12"/>
        <n v="8.4"/>
        <n v="0.0"/>
        <n v="-0.25"/>
        <n v="3.45"/>
        <n v="23.7"/>
        <n v="4.15"/>
        <n v="6.15"/>
        <n v="0.4"/>
        <n v="-6.4"/>
        <n v="13.8"/>
        <n v="0.58"/>
        <n v="-0.84"/>
      </sharedItems>
    </cacheField>
    <cacheField name="Change" numFmtId="164">
      <sharedItems containsSemiMixedTypes="0" containsString="0" containsNumber="1">
        <n v="-12.0"/>
        <n v="1.19"/>
        <n v="49.5"/>
        <n v="55.800000000000004"/>
        <n v="-134.2"/>
        <n v="-17.25"/>
        <n v="610.5600000000001"/>
        <n v="126.0"/>
        <n v="27.900000000000002"/>
        <n v="0.0"/>
        <n v="-8.049999999999999"/>
        <n v="8.33"/>
        <n v="-5.5"/>
        <n v="24.150000000000002"/>
        <n v="-3.4499999999999997"/>
        <n v="67.83"/>
        <n v="23.7"/>
        <n v="33.2"/>
        <n v="60.69"/>
        <n v="67.65"/>
        <n v="42.0"/>
        <n v="1.6"/>
        <n v="83.7"/>
        <n v="-19.200000000000003"/>
        <n v="96.60000000000001"/>
        <n v="28.999999999999996"/>
        <n v="-42.0"/>
      </sharedItems>
    </cacheField>
    <cacheField name="Realised P/L" numFmtId="164">
      <sharedItems containsSemiMixedTypes="0" containsString="0" containsNumber="1">
        <n v="0.0"/>
        <n v="2268.0"/>
        <n v="2203.5"/>
        <n v="8531.000000000002"/>
        <n v="4056.12"/>
        <n v="8419.999999999998"/>
      </sharedItems>
    </cacheField>
    <cacheField name="R P/L %" numFmtId="10">
      <sharedItems containsSemiMixedTypes="0" containsString="0" containsNumber="1">
        <n v="0.0"/>
        <n v="0.6292134831460674"/>
        <n v="1.650561797752809"/>
        <n v="1.735601082334751"/>
        <n v="0.5082857142857142"/>
        <n v="1.2028571428571426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P13" sheet="Aishwarya"/>
  </cacheSource>
  <cacheFields>
    <cacheField name="SYMBOL" numFmtId="164">
      <sharedItems>
        <s v="ALPHA"/>
        <s v="HDFCBANK"/>
        <s v="ICICIB22"/>
        <s v="IDFCFIRSTB"/>
        <s v="IRCTC"/>
        <s v="TMPV"/>
        <s v="IREDA"/>
        <s v="GPPL"/>
        <s v="RELIANCE"/>
        <s v="GOLDCASE"/>
        <s v="TMCV"/>
      </sharedItems>
    </cacheField>
    <cacheField name="Holder" numFmtId="0">
      <sharedItems>
        <s v="Aishwarya"/>
      </sharedItems>
    </cacheField>
    <cacheField name="Buy Date" numFmtId="0">
      <sharedItems containsDate="1" containsString="0" containsBlank="1">
        <m/>
        <d v="2025-06-05T00:00:00Z"/>
        <d v="2026-06-12T00:00:00Z"/>
        <d v="2025-10-21T00:00:00Z"/>
      </sharedItems>
    </cacheField>
    <cacheField name="Buy" numFmtId="164">
      <sharedItems containsSemiMixedTypes="0" containsString="0" containsNumber="1">
        <n v="53.96"/>
        <n v="742.64"/>
        <n v="83.97"/>
        <n v="85.59"/>
        <n v="972.6"/>
        <n v="434.3058"/>
        <n v="176.35"/>
        <n v="165.6"/>
        <n v="1468.0"/>
        <n v="20.1"/>
        <n v="196.49419999999998"/>
      </sharedItems>
    </cacheField>
    <cacheField name="Sell Date" numFmtId="0">
      <sharedItems containsString="0" containsBlank="1">
        <m/>
      </sharedItems>
    </cacheField>
    <cacheField name="Sell" numFmtId="164">
      <sharedItems containsString="0" containsBlank="1" containsNumber="1" containsInteger="1">
        <n v="0.0"/>
        <m/>
      </sharedItems>
    </cacheField>
    <cacheField name="LTP" numFmtId="164">
      <sharedItems containsSemiMixedTypes="0" containsString="0" containsNumber="1">
        <n v="48.97"/>
        <n v="997.0"/>
        <n v="116.72"/>
        <n v="84.9"/>
        <n v="680.5"/>
        <n v="362.6"/>
        <n v="139.0"/>
        <n v="192.6"/>
        <n v="1569.0"/>
        <n v="21.49"/>
        <n v="425.5"/>
      </sharedItems>
    </cacheField>
    <cacheField name="QTY" numFmtId="0">
      <sharedItems containsSemiMixedTypes="0" containsString="0" containsNumber="1" containsInteger="1">
        <n v="236.0"/>
        <n v="8.0"/>
        <n v="227.0"/>
        <n v="83.0"/>
        <n v="5.0"/>
        <n v="50.0"/>
        <n v="100.0"/>
        <n v="3.0"/>
        <n v="21.0"/>
      </sharedItems>
    </cacheField>
    <cacheField name="Invested" numFmtId="164">
      <sharedItems containsSemiMixedTypes="0" containsString="0" containsNumber="1">
        <n v="12734.56"/>
        <n v="5941.12"/>
        <n v="19061.19"/>
        <n v="7103.97"/>
        <n v="4863.0"/>
        <n v="3474.4464"/>
        <n v="8817.5"/>
        <n v="16560.0"/>
        <n v="4404.0"/>
        <n v="422.1"/>
        <n v="1571.9535999999998"/>
      </sharedItems>
    </cacheField>
    <cacheField name="Unrealised P/L" numFmtId="164">
      <sharedItems containsSemiMixedTypes="0" containsString="0" containsNumber="1">
        <n v="-1177.6400000000006"/>
        <n v="2034.88"/>
        <n v="7434.25"/>
        <n v="-57.26999999999981"/>
        <n v="-1460.5"/>
        <n v="-573.6463999999996"/>
        <n v="-1867.4999999999998"/>
        <n v="2700.0"/>
        <n v="303.0"/>
        <n v="29.189999999999937"/>
        <n v="1832.0464000000002"/>
      </sharedItems>
    </cacheField>
    <cacheField name="U P/L %" numFmtId="10">
      <sharedItems containsSemiMixedTypes="0" containsString="0" containsNumber="1">
        <n v="-0.09247590808005934"/>
        <n v="0.34250780997522356"/>
        <n v="0.39002024532571156"/>
        <n v="-0.008061689449702042"/>
        <n v="-0.30032901501130993"/>
        <n v="-0.1651044033950271"/>
        <n v="-0.21179472639637084"/>
        <n v="0.16304347826086957"/>
        <n v="0.06880108991825613"/>
        <n v="0.06915422885572124"/>
        <n v="1.1654583188714986"/>
      </sharedItems>
    </cacheField>
    <cacheField name="Day_Change" numFmtId="164">
      <sharedItems containsSemiMixedTypes="0" containsString="0" containsNumber="1">
        <n v="-0.01"/>
        <n v="9.3"/>
        <n v="0.58"/>
        <n v="-0.45"/>
        <n v="-1.15"/>
        <n v="3.45"/>
        <n v="3.33"/>
        <n v="-0.99"/>
        <n v="-6.4"/>
        <n v="0.34"/>
        <n v="13.8"/>
      </sharedItems>
    </cacheField>
    <cacheField name="Change" numFmtId="164">
      <sharedItems containsSemiMixedTypes="0" containsString="0" containsNumber="1">
        <n v="-2.36"/>
        <n v="74.4"/>
        <n v="131.66"/>
        <n v="-37.35"/>
        <n v="-5.75"/>
        <n v="27.6"/>
        <n v="166.5"/>
        <n v="-99.0"/>
        <n v="-19.200000000000003"/>
        <n v="7.140000000000001"/>
        <n v="110.4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53" sheet="Equity_Trade-2025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ANGELONE"/>
        <s v="JIOFIN"/>
        <s v="TMCV"/>
        <s v="HINDZINC"/>
        <s v="IREDA"/>
        <s v="GODREJPROP"/>
        <s v="WIPRO"/>
        <s v="CROMPTON"/>
        <s v="PPLPHARMA"/>
        <s v="JSWENERGY"/>
        <s v="VOLTAS"/>
        <s v="INDGN"/>
        <s v="TITAGARH"/>
        <m/>
      </sharedItems>
    </cacheField>
    <cacheField name="Holder" numFmtId="0">
      <sharedItems containsBlank="1">
        <s v="DHAN"/>
        <s v="ANGELONE"/>
        <s v="RAM"/>
        <m/>
      </sharedItems>
    </cacheField>
    <cacheField name="Buy Date" numFmtId="165">
      <sharedItems containsDate="1" containsString="0" containsBlank="1">
        <d v="2025-01-01T00:00:00Z"/>
        <d v="2025-05-14T00:00:00Z"/>
        <d v="2025-05-20T00:00:00Z"/>
        <d v="2025-06-05T00:00:00Z"/>
        <d v="2025-06-03T00:00:00Z"/>
        <d v="2025-06-24T00:00:00Z"/>
        <d v="2025-06-27T00:00:00Z"/>
        <d v="2025-07-16T00:00:00Z"/>
        <d v="2025-07-18T00:00:00Z"/>
        <d v="2025-08-18T00:00:00Z"/>
        <d v="2025-08-19T00:00:00Z"/>
        <d v="2025-10-08T00:00:00Z"/>
        <m/>
      </sharedItems>
    </cacheField>
    <cacheField name="Buy" numFmtId="164">
      <sharedItems containsString="0" containsBlank="1" containsNumber="1">
        <n v="3006.15"/>
        <n v="267.0"/>
        <n v="366.5"/>
        <n v="475.0"/>
        <n v="176.2"/>
        <n v="2294.8"/>
        <n v="267.5"/>
        <n v="359.0"/>
        <n v="218.1"/>
        <n v="537.9"/>
        <n v="1402.0"/>
        <n v="589.1"/>
        <n v="920.0"/>
        <m/>
      </sharedItems>
    </cacheField>
    <cacheField name="Sell Date" numFmtId="0">
      <sharedItems containsDate="1" containsString="0" containsBlank="1">
        <m/>
        <d v="2025-06-19T00:00:00Z"/>
        <d v="2025-07-01T00:00:00Z"/>
        <d v="2025-08-01T00:00:00Z"/>
        <d v="2025-07-11T00:00:00Z"/>
        <d v="2025-11-25T00:00:00Z"/>
        <d v="2025-08-28T00:00:00Z"/>
      </sharedItems>
    </cacheField>
    <cacheField name="Sell" numFmtId="0">
      <sharedItems containsString="0" containsBlank="1" containsNumber="1">
        <m/>
        <n v="446.0"/>
        <n v="0.0"/>
        <n v="2302.0"/>
        <n v="244.5"/>
        <n v="335.6"/>
        <n v="190.0"/>
        <n v="477.04"/>
        <n v="550.0"/>
      </sharedItems>
    </cacheField>
    <cacheField name="LTP">
      <sharedItems containsMixedTypes="1" containsNumber="1">
        <n v="2543.2"/>
        <n v="298.5"/>
        <n v="425.5"/>
        <n v="610.2"/>
        <n v="139.0"/>
        <n v="2019.0"/>
        <n v="271.3"/>
        <n v="259.1"/>
        <n v="177.85"/>
        <n v="484.5"/>
        <n v="1380.0"/>
        <n v="532.0"/>
        <n v="835.0"/>
        <s v=""/>
      </sharedItems>
    </cacheField>
    <cacheField name="QTY" numFmtId="0">
      <sharedItems containsString="0" containsBlank="1" containsNumber="1" containsInteger="1">
        <n v="3.0"/>
        <n v="18.0"/>
        <n v="6.0"/>
        <n v="30.0"/>
        <n v="50.0"/>
        <n v="5.0"/>
        <n v="45.0"/>
        <n v="33.0"/>
        <n v="40.0"/>
        <n v="25.0"/>
        <n v="19.0"/>
        <n v="11.0"/>
        <m/>
      </sharedItems>
    </cacheField>
    <cacheField name="Invested" numFmtId="164">
      <sharedItems containsSemiMixedTypes="0" containsString="0" containsNumber="1">
        <n v="9018.45"/>
        <n v="4806.0"/>
        <n v="2199.0"/>
        <n v="14250.0"/>
        <n v="8810.0"/>
        <n v="11474.0"/>
        <n v="12037.5"/>
        <n v="11847.0"/>
        <n v="8724.0"/>
        <n v="13447.5"/>
        <n v="7010.0"/>
        <n v="11192.9"/>
        <n v="10120.0"/>
        <n v="0.0"/>
      </sharedItems>
    </cacheField>
    <cacheField name="Turnover" numFmtId="164">
      <sharedItems containsSemiMixedTypes="0" containsString="0" containsNumber="1">
        <n v="9018.45"/>
        <n v="4806.0"/>
        <n v="2199.0"/>
        <n v="27630.0"/>
        <n v="8810.0"/>
        <n v="22984.0"/>
        <n v="23040.0"/>
        <n v="22921.8"/>
        <n v="16324.0"/>
        <n v="25373.5"/>
        <n v="7010.0"/>
        <n v="21642.899999999998"/>
        <n v="10120.0"/>
        <n v="0.0"/>
      </sharedItems>
    </cacheField>
    <cacheField name="Unrealised P/L" numFmtId="164">
      <sharedItems containsSemiMixedTypes="0" containsString="0" containsNumber="1">
        <n v="-1388.8500000000008"/>
        <n v="567.0"/>
        <n v="354.0"/>
        <n v="0.0"/>
        <n v="-1859.9999999999995"/>
        <n v="-110.0"/>
        <n v="-935.0"/>
      </sharedItems>
    </cacheField>
    <cacheField name="U P/L %" numFmtId="10">
      <sharedItems containsSemiMixedTypes="0" containsString="0" containsNumber="1">
        <n v="-0.1540009646890542"/>
        <n v="0.11797752808988764"/>
        <n v="0.16098226466575716"/>
        <n v="0.0"/>
        <n v="-0.21112372304199767"/>
        <n v="-0.015691868758915834"/>
        <n v="-0.09239130434782608"/>
      </sharedItems>
    </cacheField>
    <cacheField name="Day_Change" numFmtId="164">
      <sharedItems containsSemiMixedTypes="0" containsString="0" containsNumber="1">
        <n v="-38.4"/>
        <n v="-0.25"/>
        <n v="13.8"/>
        <n v="0.0"/>
        <n v="3.33"/>
        <n v="-8.0"/>
        <n v="18.5"/>
      </sharedItems>
    </cacheField>
    <cacheField name="Change" numFmtId="164">
      <sharedItems containsSemiMixedTypes="0" containsString="0" containsNumber="1">
        <n v="-115.19999999999999"/>
        <n v="-4.5"/>
        <n v="82.80000000000001"/>
        <n v="0.0"/>
        <n v="166.5"/>
        <n v="-40.0"/>
        <n v="203.5"/>
      </sharedItems>
    </cacheField>
    <cacheField name="Realised P/L" numFmtId="164">
      <sharedItems containsSemiMixedTypes="0" containsString="0" containsNumber="1">
        <n v="0.0"/>
        <n v="-870.0"/>
        <n v="35.99999999999909"/>
        <n v="-1035.0"/>
        <n v="-772.1999999999992"/>
        <n v="-1123.9999999999998"/>
        <n v="-1521.4999999999989"/>
        <n v="-742.9000000000004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3" sheet="Equity_Trade-2025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ANGELONE"/>
        <s v="JIOFIN"/>
        <s v="TMCV"/>
        <s v="HINDZINC"/>
        <s v="IREDA"/>
        <s v="GODREJPROP"/>
        <s v="WIPRO"/>
        <s v="CROMPTON"/>
        <s v="PPLPHARMA"/>
        <s v="JSWENERGY"/>
        <s v="VOLTAS"/>
        <s v="INDGN"/>
        <s v="TITAGARH"/>
        <m/>
      </sharedItems>
    </cacheField>
    <cacheField name="Holder" numFmtId="0">
      <sharedItems containsBlank="1">
        <s v="DHAN"/>
        <s v="ANGELONE"/>
        <s v="RAM"/>
        <m/>
      </sharedItems>
    </cacheField>
    <cacheField name="Buy Date" numFmtId="165">
      <sharedItems containsDate="1" containsString="0" containsBlank="1">
        <d v="2025-01-01T00:00:00Z"/>
        <d v="2025-05-14T00:00:00Z"/>
        <d v="2025-05-20T00:00:00Z"/>
        <d v="2025-06-05T00:00:00Z"/>
        <d v="2025-06-03T00:00:00Z"/>
        <d v="2025-06-24T00:00:00Z"/>
        <d v="2025-06-27T00:00:00Z"/>
        <d v="2025-07-16T00:00:00Z"/>
        <d v="2025-07-18T00:00:00Z"/>
        <d v="2025-08-18T00:00:00Z"/>
        <d v="2025-08-19T00:00:00Z"/>
        <d v="2025-10-08T00:00:00Z"/>
        <m/>
      </sharedItems>
    </cacheField>
    <cacheField name="Buy" numFmtId="164">
      <sharedItems containsString="0" containsBlank="1" containsNumber="1">
        <n v="3006.15"/>
        <n v="267.0"/>
        <n v="366.5"/>
        <n v="475.0"/>
        <n v="176.2"/>
        <n v="2294.8"/>
        <n v="267.5"/>
        <n v="359.0"/>
        <n v="218.1"/>
        <n v="537.9"/>
        <n v="1402.0"/>
        <n v="589.1"/>
        <n v="920.0"/>
        <m/>
      </sharedItems>
    </cacheField>
    <cacheField name="Sell Date" numFmtId="0">
      <sharedItems containsDate="1" containsString="0" containsBlank="1">
        <m/>
        <d v="2025-06-19T00:00:00Z"/>
        <d v="2025-07-01T00:00:00Z"/>
        <d v="2025-08-01T00:00:00Z"/>
        <d v="2025-07-11T00:00:00Z"/>
        <d v="2025-11-25T00:00:00Z"/>
        <d v="2025-08-28T00:00:00Z"/>
      </sharedItems>
    </cacheField>
    <cacheField name="Sell" numFmtId="0">
      <sharedItems containsString="0" containsBlank="1" containsNumber="1">
        <m/>
        <n v="446.0"/>
        <n v="0.0"/>
        <n v="2302.0"/>
        <n v="244.5"/>
        <n v="335.6"/>
        <n v="190.0"/>
        <n v="477.04"/>
        <n v="550.0"/>
      </sharedItems>
    </cacheField>
    <cacheField name="LTP">
      <sharedItems containsMixedTypes="1" containsNumber="1">
        <n v="2543.2"/>
        <n v="298.5"/>
        <n v="425.5"/>
        <n v="610.2"/>
        <n v="139.0"/>
        <n v="2019.0"/>
        <n v="271.3"/>
        <n v="259.1"/>
        <n v="177.85"/>
        <n v="484.5"/>
        <n v="1380.0"/>
        <n v="532.0"/>
        <n v="835.0"/>
        <s v=""/>
      </sharedItems>
    </cacheField>
    <cacheField name="QTY" numFmtId="0">
      <sharedItems containsString="0" containsBlank="1" containsNumber="1" containsInteger="1">
        <n v="3.0"/>
        <n v="18.0"/>
        <n v="6.0"/>
        <n v="30.0"/>
        <n v="50.0"/>
        <n v="5.0"/>
        <n v="45.0"/>
        <n v="33.0"/>
        <n v="40.0"/>
        <n v="25.0"/>
        <n v="19.0"/>
        <n v="11.0"/>
        <m/>
      </sharedItems>
    </cacheField>
    <cacheField name="Invested" numFmtId="164">
      <sharedItems containsSemiMixedTypes="0" containsString="0" containsNumber="1">
        <n v="9018.45"/>
        <n v="4806.0"/>
        <n v="2199.0"/>
        <n v="14250.0"/>
        <n v="8810.0"/>
        <n v="11474.0"/>
        <n v="12037.5"/>
        <n v="11847.0"/>
        <n v="8724.0"/>
        <n v="13447.5"/>
        <n v="7010.0"/>
        <n v="11192.9"/>
        <n v="10120.0"/>
        <n v="0.0"/>
      </sharedItems>
    </cacheField>
    <cacheField name="Turnover" numFmtId="164">
      <sharedItems containsSemiMixedTypes="0" containsString="0" containsNumber="1">
        <n v="9018.45"/>
        <n v="4806.0"/>
        <n v="2199.0"/>
        <n v="27630.0"/>
        <n v="8810.0"/>
        <n v="22984.0"/>
        <n v="23040.0"/>
        <n v="22921.8"/>
        <n v="16324.0"/>
        <n v="25373.5"/>
        <n v="7010.0"/>
        <n v="21642.899999999998"/>
        <n v="10120.0"/>
        <n v="0.0"/>
      </sharedItems>
    </cacheField>
    <cacheField name="Unrealised P/L" numFmtId="164">
      <sharedItems containsSemiMixedTypes="0" containsString="0" containsNumber="1">
        <n v="-1388.8500000000008"/>
        <n v="567.0"/>
        <n v="354.0"/>
        <n v="0.0"/>
        <n v="-1859.9999999999995"/>
        <n v="-110.0"/>
        <n v="-935.0"/>
      </sharedItems>
    </cacheField>
    <cacheField name="U P/L %" numFmtId="10">
      <sharedItems containsSemiMixedTypes="0" containsString="0" containsNumber="1">
        <n v="-0.1540009646890542"/>
        <n v="0.11797752808988764"/>
        <n v="0.16098226466575716"/>
        <n v="0.0"/>
        <n v="-0.21112372304199767"/>
        <n v="-0.015691868758915834"/>
        <n v="-0.09239130434782608"/>
      </sharedItems>
    </cacheField>
    <cacheField name="Day_Change" numFmtId="164">
      <sharedItems containsSemiMixedTypes="0" containsString="0" containsNumber="1">
        <n v="-38.4"/>
        <n v="-0.25"/>
        <n v="13.8"/>
        <n v="0.0"/>
        <n v="3.33"/>
        <n v="-8.0"/>
        <n v="18.5"/>
      </sharedItems>
    </cacheField>
    <cacheField name="Change" numFmtId="164">
      <sharedItems containsSemiMixedTypes="0" containsString="0" containsNumber="1">
        <n v="-115.19999999999999"/>
        <n v="-4.5"/>
        <n v="82.80000000000001"/>
        <n v="0.0"/>
        <n v="166.5"/>
        <n v="-40.0"/>
        <n v="203.5"/>
      </sharedItems>
    </cacheField>
    <cacheField name="Realised P/L" numFmtId="164">
      <sharedItems containsSemiMixedTypes="0" containsString="0" containsNumber="1">
        <n v="0.0"/>
        <n v="-870.0"/>
        <n v="35.99999999999909"/>
        <n v="-1035.0"/>
        <n v="-772.1999999999992"/>
        <n v="-1123.9999999999998"/>
        <n v="-1521.4999999999989"/>
        <n v="-742.9000000000004"/>
      </sharedItems>
    </cacheField>
    <cacheField name="R P/L %" numFmtId="10">
      <sharedItems containsSemiMixedTypes="0" containsString="0" containsNumber="1">
        <n v="0.0"/>
        <n v="-0.061052631578947365"/>
        <n v="0.0031375283249084093"/>
        <n v="-0.08598130841121496"/>
        <n v="-0.06518105849582166"/>
        <n v="-0.12883998165978908"/>
        <n v="-0.1131437070087376"/>
        <n v="-0.06637243252418948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53" sheet="Dashrathlal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GOLDCASE"/>
        <s v="HCLTECH"/>
        <s v="HDFCLIFE"/>
        <s v="HDFCMOMENT"/>
        <s v="HDFCSILVER"/>
        <s v="ICICIB22"/>
        <s v="IDFCFIRSTB"/>
        <s v="INDIGOPNTS"/>
        <s v="ITETF"/>
        <s v="RCOM"/>
        <s v="TATACONSUM"/>
        <s v="TATASTEEL"/>
        <s v="TMCV"/>
        <s v="TMPV"/>
        <m/>
      </sharedItems>
    </cacheField>
    <cacheField name="Holder" numFmtId="0">
      <sharedItems containsBlank="1">
        <s v="Dashrathlal"/>
        <m/>
      </sharedItems>
    </cacheField>
    <cacheField name="Buy Date" numFmtId="0">
      <sharedItems containsString="0" containsBlank="1">
        <m/>
      </sharedItems>
    </cacheField>
    <cacheField name="Buy" numFmtId="164">
      <sharedItems containsString="0" containsBlank="1" containsNumber="1">
        <n v="19.8"/>
        <n v="1598.5"/>
        <n v="763.9"/>
        <n v="31.75"/>
        <n v="151.87"/>
        <n v="116.64"/>
        <n v="80.69"/>
        <n v="1202.55"/>
        <n v="37.77"/>
        <n v="33.91"/>
        <n v="1154.8"/>
        <n v="179.29"/>
        <n v="203.32"/>
        <n v="449.4"/>
        <m/>
      </sharedItems>
    </cacheField>
    <cacheField name="Sell Date" numFmtId="0">
      <sharedItems containsString="0" containsBlank="1">
        <m/>
      </sharedItems>
    </cacheField>
    <cacheField name="Sell" numFmtId="0">
      <sharedItems containsString="0" containsBlank="1">
        <m/>
      </sharedItems>
    </cacheField>
    <cacheField name="LTP">
      <sharedItems containsMixedTypes="1" containsNumber="1">
        <n v="21.49"/>
        <n v="1674.8"/>
        <n v="763.0"/>
        <n v="31.69"/>
        <n v="203.12"/>
        <n v="116.72"/>
        <n v="84.9"/>
        <n v="1170.2"/>
        <n v="40.99"/>
        <n v="1.08"/>
        <n v="1185.2"/>
        <n v="170.82"/>
        <n v="425.5"/>
        <n v="362.6"/>
        <s v=""/>
      </sharedItems>
    </cacheField>
    <cacheField name="QTY" numFmtId="0">
      <sharedItems containsString="0" containsBlank="1" containsNumber="1" containsInteger="1">
        <n v="328.0"/>
        <n v="17.0"/>
        <n v="11.0"/>
        <n v="251.0"/>
        <n v="47.0"/>
        <n v="147.0"/>
        <n v="25.0"/>
        <n v="5.0"/>
        <n v="80.0"/>
        <n v="200.0"/>
        <n v="12.0"/>
        <n v="10.0"/>
        <n v="1.0"/>
        <m/>
      </sharedItems>
    </cacheField>
    <cacheField name="Invested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Turnover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Unrealised P/L" numFmtId="164">
      <sharedItems containsSemiMixedTypes="0" containsString="0" containsNumber="1">
        <n v="554.3199999999993"/>
        <n v="1297.0999999999992"/>
        <n v="-9.89999999999975"/>
        <n v="-15.059999999999679"/>
        <n v="2408.75"/>
        <n v="11.75999999999975"/>
        <n v="105.2500000000002"/>
        <n v="-161.74999999999955"/>
        <n v="257.5999999999999"/>
        <n v="-6566.0"/>
        <n v="364.8000000000011"/>
        <n v="-84.69999999999999"/>
        <n v="222.18"/>
        <n v="-86.79999999999995"/>
        <n v="0.0"/>
      </sharedItems>
    </cacheField>
    <cacheField name="U P/L %" numFmtId="10">
      <sharedItems containsSemiMixedTypes="0" containsString="0" containsNumber="1">
        <n v="0.08535353535353524"/>
        <n v="0.04773224898342193"/>
        <n v="-0.0011781646812409703"/>
        <n v="-0.0018897637795275187"/>
        <n v="0.3374596694541384"/>
        <n v="6.85871056241412E-4"/>
        <n v="0.052174990705168026"/>
        <n v="-0.02690116835058826"/>
        <n v="0.0852528461742123"/>
        <n v="-0.9681509879091714"/>
        <n v="0.026324904745410542"/>
        <n v="-0.04724189860003346"/>
        <n v="1.0927601809954752"/>
        <n v="-0.19314641744548278"/>
        <n v="0.0"/>
      </sharedItems>
    </cacheField>
    <cacheField name="Day_Change" numFmtId="164">
      <sharedItems containsSemiMixedTypes="0" containsString="0" containsNumber="1">
        <n v="0.34"/>
        <n v="4.5"/>
        <n v="1.2"/>
        <n v="-0.12"/>
        <n v="1.84"/>
        <n v="0.58"/>
        <n v="-0.45"/>
        <n v="-10.0"/>
        <n v="-0.34"/>
        <n v="-0.05"/>
        <n v="6.4"/>
        <n v="1.6"/>
        <n v="13.8"/>
        <n v="3.45"/>
        <n v="0.0"/>
      </sharedItems>
    </cacheField>
    <cacheField name="Change" numFmtId="164">
      <sharedItems containsSemiMixedTypes="0" containsString="0" containsNumber="1">
        <n v="111.52000000000001"/>
        <n v="76.5"/>
        <n v="13.2"/>
        <n v="-30.119999999999997"/>
        <n v="86.48"/>
        <n v="85.25999999999999"/>
        <n v="-11.25"/>
        <n v="-50.0"/>
        <n v="-27.200000000000003"/>
        <n v="-10.0"/>
        <n v="76.80000000000001"/>
        <n v="16.0"/>
        <n v="13.8"/>
        <n v="3.45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53" sheet="Dashrathlal"/>
  </cacheSource>
  <cacheFields>
    <cacheField name="SYMBOL" numFmtId="164">
      <sharedItems containsBlank="1">
        <s v="GOLDCASE"/>
        <s v="HCLTECH"/>
        <s v="HDFCLIFE"/>
        <s v="HDFCMOMENT"/>
        <s v="HDFCSILVER"/>
        <s v="ICICIB22"/>
        <s v="IDFCFIRSTB"/>
        <s v="INDIGOPNTS"/>
        <s v="ITETF"/>
        <s v="RCOM"/>
        <s v="TATACONSUM"/>
        <s v="TATASTEEL"/>
        <s v="TMCV"/>
        <s v="TMPV"/>
        <m/>
      </sharedItems>
    </cacheField>
    <cacheField name="Holder" numFmtId="0">
      <sharedItems containsBlank="1">
        <s v="Dashrathlal"/>
        <m/>
      </sharedItems>
    </cacheField>
    <cacheField name="Buy Date" numFmtId="0">
      <sharedItems containsString="0" containsBlank="1">
        <m/>
      </sharedItems>
    </cacheField>
    <cacheField name="Buy" numFmtId="164">
      <sharedItems containsString="0" containsBlank="1" containsNumber="1">
        <n v="19.8"/>
        <n v="1598.5"/>
        <n v="763.9"/>
        <n v="31.75"/>
        <n v="151.87"/>
        <n v="116.64"/>
        <n v="80.69"/>
        <n v="1202.55"/>
        <n v="37.77"/>
        <n v="33.91"/>
        <n v="1154.8"/>
        <n v="179.29"/>
        <n v="203.32"/>
        <n v="449.4"/>
        <m/>
      </sharedItems>
    </cacheField>
    <cacheField name="Sell Date" numFmtId="0">
      <sharedItems containsString="0" containsBlank="1">
        <m/>
      </sharedItems>
    </cacheField>
    <cacheField name="Sell" numFmtId="0">
      <sharedItems containsString="0" containsBlank="1">
        <m/>
      </sharedItems>
    </cacheField>
    <cacheField name="LTP">
      <sharedItems containsMixedTypes="1" containsNumber="1">
        <n v="21.49"/>
        <n v="1674.8"/>
        <n v="763.0"/>
        <n v="31.69"/>
        <n v="203.12"/>
        <n v="116.72"/>
        <n v="84.9"/>
        <n v="1170.2"/>
        <n v="40.99"/>
        <n v="1.08"/>
        <n v="1185.2"/>
        <n v="170.82"/>
        <n v="425.5"/>
        <n v="362.6"/>
        <s v=""/>
      </sharedItems>
    </cacheField>
    <cacheField name="QTY" numFmtId="0">
      <sharedItems containsString="0" containsBlank="1" containsNumber="1" containsInteger="1">
        <n v="328.0"/>
        <n v="17.0"/>
        <n v="11.0"/>
        <n v="251.0"/>
        <n v="47.0"/>
        <n v="147.0"/>
        <n v="25.0"/>
        <n v="5.0"/>
        <n v="80.0"/>
        <n v="200.0"/>
        <n v="12.0"/>
        <n v="10.0"/>
        <n v="1.0"/>
        <m/>
      </sharedItems>
    </cacheField>
    <cacheField name="Invested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Turnover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Unrealised P/L" numFmtId="164">
      <sharedItems containsSemiMixedTypes="0" containsString="0" containsNumber="1">
        <n v="554.3199999999993"/>
        <n v="1297.0999999999992"/>
        <n v="-9.89999999999975"/>
        <n v="-15.059999999999679"/>
        <n v="2408.75"/>
        <n v="11.75999999999975"/>
        <n v="105.2500000000002"/>
        <n v="-161.74999999999955"/>
        <n v="257.5999999999999"/>
        <n v="-6566.0"/>
        <n v="364.8000000000011"/>
        <n v="-84.69999999999999"/>
        <n v="222.18"/>
        <n v="-86.79999999999995"/>
        <n v="0.0"/>
      </sharedItems>
    </cacheField>
    <cacheField name="U P/L %" numFmtId="10">
      <sharedItems containsSemiMixedTypes="0" containsString="0" containsNumber="1">
        <n v="0.08535353535353524"/>
        <n v="0.04773224898342193"/>
        <n v="-0.0011781646812409703"/>
        <n v="-0.0018897637795275187"/>
        <n v="0.3374596694541384"/>
        <n v="6.85871056241412E-4"/>
        <n v="0.052174990705168026"/>
        <n v="-0.02690116835058826"/>
        <n v="0.0852528461742123"/>
        <n v="-0.9681509879091714"/>
        <n v="0.026324904745410542"/>
        <n v="-0.04724189860003346"/>
        <n v="1.0927601809954752"/>
        <n v="-0.19314641744548278"/>
        <n v="0.0"/>
      </sharedItems>
    </cacheField>
    <cacheField name="Day_Change" numFmtId="164">
      <sharedItems containsSemiMixedTypes="0" containsString="0" containsNumber="1">
        <n v="0.34"/>
        <n v="4.5"/>
        <n v="1.2"/>
        <n v="-0.12"/>
        <n v="1.84"/>
        <n v="0.58"/>
        <n v="-0.45"/>
        <n v="-10.0"/>
        <n v="-0.34"/>
        <n v="-0.05"/>
        <n v="6.4"/>
        <n v="1.6"/>
        <n v="13.8"/>
        <n v="3.45"/>
        <n v="0.0"/>
      </sharedItems>
    </cacheField>
    <cacheField name="Change" numFmtId="164">
      <sharedItems containsSemiMixedTypes="0" containsString="0" containsNumber="1">
        <n v="111.52000000000001"/>
        <n v="76.5"/>
        <n v="13.2"/>
        <n v="-30.119999999999997"/>
        <n v="86.48"/>
        <n v="85.25999999999999"/>
        <n v="-11.25"/>
        <n v="-50.0"/>
        <n v="-27.200000000000003"/>
        <n v="-10.0"/>
        <n v="76.80000000000001"/>
        <n v="16.0"/>
        <n v="13.8"/>
        <n v="3.45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3" sheet="Dashrathlal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GOLDCASE"/>
        <s v="HCLTECH"/>
        <s v="HDFCLIFE"/>
        <s v="HDFCMOMENT"/>
        <s v="HDFCSILVER"/>
        <s v="ICICIB22"/>
        <s v="IDFCFIRSTB"/>
        <s v="INDIGOPNTS"/>
        <s v="ITETF"/>
        <s v="RCOM"/>
        <s v="TATACONSUM"/>
        <s v="TATASTEEL"/>
        <s v="TMCV"/>
        <s v="TMPV"/>
        <m/>
      </sharedItems>
    </cacheField>
    <cacheField name="Holder" numFmtId="0">
      <sharedItems containsBlank="1">
        <s v="Dashrathlal"/>
        <m/>
      </sharedItems>
    </cacheField>
    <cacheField name="Buy Date" numFmtId="0">
      <sharedItems containsString="0" containsBlank="1">
        <m/>
      </sharedItems>
    </cacheField>
    <cacheField name="Buy" numFmtId="164">
      <sharedItems containsString="0" containsBlank="1" containsNumber="1">
        <n v="19.8"/>
        <n v="1598.5"/>
        <n v="763.9"/>
        <n v="31.75"/>
        <n v="151.87"/>
        <n v="116.64"/>
        <n v="80.69"/>
        <n v="1202.55"/>
        <n v="37.77"/>
        <n v="33.91"/>
        <n v="1154.8"/>
        <n v="179.29"/>
        <n v="203.32"/>
        <n v="449.4"/>
        <m/>
      </sharedItems>
    </cacheField>
    <cacheField name="Sell Date" numFmtId="0">
      <sharedItems containsString="0" containsBlank="1">
        <m/>
      </sharedItems>
    </cacheField>
    <cacheField name="Sell" numFmtId="0">
      <sharedItems containsString="0" containsBlank="1">
        <m/>
      </sharedItems>
    </cacheField>
    <cacheField name="LTP">
      <sharedItems containsMixedTypes="1" containsNumber="1">
        <n v="21.49"/>
        <n v="1674.8"/>
        <n v="763.0"/>
        <n v="31.69"/>
        <n v="203.12"/>
        <n v="116.72"/>
        <n v="84.9"/>
        <n v="1170.2"/>
        <n v="40.99"/>
        <n v="1.08"/>
        <n v="1185.2"/>
        <n v="170.82"/>
        <n v="425.5"/>
        <n v="362.6"/>
        <s v=""/>
      </sharedItems>
    </cacheField>
    <cacheField name="QTY" numFmtId="0">
      <sharedItems containsString="0" containsBlank="1" containsNumber="1" containsInteger="1">
        <n v="328.0"/>
        <n v="17.0"/>
        <n v="11.0"/>
        <n v="251.0"/>
        <n v="47.0"/>
        <n v="147.0"/>
        <n v="25.0"/>
        <n v="5.0"/>
        <n v="80.0"/>
        <n v="200.0"/>
        <n v="12.0"/>
        <n v="10.0"/>
        <n v="1.0"/>
        <m/>
      </sharedItems>
    </cacheField>
    <cacheField name="Invested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Turnover" numFmtId="164">
      <sharedItems containsSemiMixedTypes="0" containsString="0" containsNumber="1">
        <n v="6494.400000000001"/>
        <n v="27174.5"/>
        <n v="8402.9"/>
        <n v="7969.25"/>
        <n v="7137.89"/>
        <n v="17146.08"/>
        <n v="2017.25"/>
        <n v="6012.75"/>
        <n v="3021.6000000000004"/>
        <n v="6781.999999999999"/>
        <n v="13857.599999999999"/>
        <n v="1792.8999999999999"/>
        <n v="203.32"/>
        <n v="449.4"/>
        <n v="0.0"/>
      </sharedItems>
    </cacheField>
    <cacheField name="Unrealised P/L" numFmtId="164">
      <sharedItems containsSemiMixedTypes="0" containsString="0" containsNumber="1">
        <n v="554.3199999999993"/>
        <n v="1297.0999999999992"/>
        <n v="-9.89999999999975"/>
        <n v="-15.059999999999679"/>
        <n v="2408.75"/>
        <n v="11.75999999999975"/>
        <n v="105.2500000000002"/>
        <n v="-161.74999999999955"/>
        <n v="257.5999999999999"/>
        <n v="-6566.0"/>
        <n v="364.8000000000011"/>
        <n v="-84.69999999999999"/>
        <n v="222.18"/>
        <n v="-86.79999999999995"/>
        <n v="0.0"/>
      </sharedItems>
    </cacheField>
    <cacheField name="U P/L %" numFmtId="10">
      <sharedItems containsSemiMixedTypes="0" containsString="0" containsNumber="1">
        <n v="0.08535353535353524"/>
        <n v="0.04773224898342193"/>
        <n v="-0.0011781646812409703"/>
        <n v="-0.0018897637795275187"/>
        <n v="0.3374596694541384"/>
        <n v="6.85871056241412E-4"/>
        <n v="0.052174990705168026"/>
        <n v="-0.02690116835058826"/>
        <n v="0.0852528461742123"/>
        <n v="-0.9681509879091714"/>
        <n v="0.026324904745410542"/>
        <n v="-0.04724189860003346"/>
        <n v="1.0927601809954752"/>
        <n v="-0.19314641744548278"/>
        <n v="0.0"/>
      </sharedItems>
    </cacheField>
    <cacheField name="Day_Change" numFmtId="164">
      <sharedItems containsSemiMixedTypes="0" containsString="0" containsNumber="1">
        <n v="0.34"/>
        <n v="4.5"/>
        <n v="1.2"/>
        <n v="-0.12"/>
        <n v="1.84"/>
        <n v="0.58"/>
        <n v="-0.45"/>
        <n v="-10.0"/>
        <n v="-0.34"/>
        <n v="-0.05"/>
        <n v="6.4"/>
        <n v="1.6"/>
        <n v="13.8"/>
        <n v="3.45"/>
        <n v="0.0"/>
      </sharedItems>
    </cacheField>
    <cacheField name="Change" numFmtId="164">
      <sharedItems containsSemiMixedTypes="0" containsString="0" containsNumber="1">
        <n v="111.52000000000001"/>
        <n v="76.5"/>
        <n v="13.2"/>
        <n v="-30.119999999999997"/>
        <n v="86.48"/>
        <n v="85.25999999999999"/>
        <n v="-11.25"/>
        <n v="-50.0"/>
        <n v="-27.200000000000003"/>
        <n v="-10.0"/>
        <n v="76.80000000000001"/>
        <n v="16.0"/>
        <n v="13.8"/>
        <n v="3.45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53" sheet="Ramkishor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GOLDCASE"/>
        <s v="ICICIB22"/>
        <s v="IDEA"/>
        <s v="IRCTC"/>
        <s v="MOVALUE"/>
        <s v="SILVERETF"/>
        <s v="TITAGARH"/>
        <s v="VOLTAS"/>
        <s v="YESBANK"/>
        <m/>
      </sharedItems>
    </cacheField>
    <cacheField name="Holder" numFmtId="0">
      <sharedItems containsBlank="1">
        <s v="RAM"/>
        <m/>
      </sharedItems>
    </cacheField>
    <cacheField name="Buy Date" numFmtId="165">
      <sharedItems containsDate="1" containsString="0" containsBlank="1">
        <d v="2025-10-21T00:00:00Z"/>
        <d v="2023-11-03T00:00:00Z"/>
        <d v="2023-01-25T00:00:00Z"/>
        <d v="2021-11-04T00:00:00Z"/>
        <d v="2024-11-01T00:00:00Z"/>
        <d v="2025-10-08T00:00:00Z"/>
        <d v="2025-08-18T00:00:00Z"/>
        <d v="2020-08-05T00:00:00Z"/>
        <m/>
      </sharedItems>
    </cacheField>
    <cacheField name="Buy" numFmtId="164">
      <sharedItems containsString="0" containsBlank="1" containsNumber="1">
        <n v="20.13"/>
        <n v="74.9"/>
        <n v="10.8"/>
        <n v="823.2"/>
        <n v="102.0"/>
        <n v="150.0"/>
        <n v="920.0"/>
        <n v="1402.0"/>
        <n v="12.85"/>
        <m/>
      </sharedItems>
    </cacheField>
    <cacheField name="Sell Date" numFmtId="0">
      <sharedItems containsString="0" containsBlank="1">
        <m/>
      </sharedItems>
    </cacheField>
    <cacheField name="Sell" numFmtId="164">
      <sharedItems containsString="0" containsBlank="1" containsNumber="1" containsInteger="1">
        <n v="0.0"/>
        <m/>
      </sharedItems>
    </cacheField>
    <cacheField name="LTP">
      <sharedItems containsMixedTypes="1" containsNumber="1">
        <n v="21.49"/>
        <n v="116.72"/>
        <n v="12.02"/>
        <n v="680.5"/>
        <n v="114.45"/>
        <n v="204.0"/>
        <n v="835.0"/>
        <n v="1380.0"/>
        <n v="21.74"/>
        <s v=""/>
      </sharedItems>
    </cacheField>
    <cacheField name="QTY" numFmtId="0">
      <sharedItems containsString="0" containsBlank="1" containsNumber="1" containsInteger="1">
        <n v="51.0"/>
        <n v="200.0"/>
        <n v="225.0"/>
        <n v="1.0"/>
        <n v="5.0"/>
        <n v="11.0"/>
        <n v="75.0"/>
        <m/>
      </sharedItems>
    </cacheField>
    <cacheField name="Invested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Turnover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Unrealised P/L" numFmtId="164">
      <sharedItems containsSemiMixedTypes="0" containsString="0" containsNumber="1">
        <n v="69.35999999999997"/>
        <n v="8363.999999999998"/>
        <n v="274.4999999999998"/>
        <n v="-142.70000000000005"/>
        <n v="634.9500000000002"/>
        <n v="270.0"/>
        <n v="-935.0"/>
        <n v="-110.0"/>
        <n v="666.7499999999999"/>
        <n v="0.0"/>
      </sharedItems>
    </cacheField>
    <cacheField name="U P/L %" numFmtId="10">
      <sharedItems containsSemiMixedTypes="0" containsString="0" containsNumber="1">
        <n v="0.06756085444610033"/>
        <n v="0.5583444592790385"/>
        <n v="0.11296296296296285"/>
        <n v="-0.1733479105928086"/>
        <n v="0.12205882352941179"/>
        <n v="0.36"/>
        <n v="-0.09239130434782608"/>
        <n v="-0.015691868758915834"/>
        <n v="0.6918287937743189"/>
        <n v="0.0"/>
      </sharedItems>
    </cacheField>
    <cacheField name="Day_Change" numFmtId="164">
      <sharedItems containsSemiMixedTypes="0" containsString="0" containsNumber="1">
        <n v="0.34"/>
        <n v="0.58"/>
        <n v="0.17"/>
        <n v="-1.15"/>
        <n v="0.42"/>
        <n v="1.46"/>
        <n v="18.5"/>
        <n v="-8.0"/>
        <n v="-0.04"/>
        <n v="0.0"/>
      </sharedItems>
    </cacheField>
    <cacheField name="Change" numFmtId="164">
      <sharedItems containsSemiMixedTypes="0" containsString="0" containsNumber="1">
        <n v="17.34"/>
        <n v="115.99999999999999"/>
        <n v="38.25"/>
        <n v="-1.15"/>
        <n v="21.419999999999998"/>
        <n v="7.3"/>
        <n v="203.5"/>
        <n v="-40.0"/>
        <n v="-3.0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53" sheet="Ramkishor"/>
  </cacheSource>
  <cacheFields>
    <cacheField name="SYMBOL" numFmtId="164">
      <sharedItems containsBlank="1">
        <s v="GOLDCASE"/>
        <s v="ICICIB22"/>
        <s v="IDEA"/>
        <s v="IRCTC"/>
        <s v="MOVALUE"/>
        <s v="SILVERETF"/>
        <s v="TITAGARH"/>
        <s v="VOLTAS"/>
        <s v="YESBANK"/>
        <m/>
      </sharedItems>
    </cacheField>
    <cacheField name="Holder" numFmtId="0">
      <sharedItems containsBlank="1">
        <s v="RAM"/>
        <m/>
      </sharedItems>
    </cacheField>
    <cacheField name="Buy Date" numFmtId="165">
      <sharedItems containsDate="1" containsString="0" containsBlank="1">
        <d v="2025-10-21T00:00:00Z"/>
        <d v="2023-11-03T00:00:00Z"/>
        <d v="2023-01-25T00:00:00Z"/>
        <d v="2021-11-04T00:00:00Z"/>
        <d v="2024-11-01T00:00:00Z"/>
        <d v="2025-10-08T00:00:00Z"/>
        <d v="2025-08-18T00:00:00Z"/>
        <d v="2020-08-05T00:00:00Z"/>
        <m/>
      </sharedItems>
    </cacheField>
    <cacheField name="Buy" numFmtId="164">
      <sharedItems containsString="0" containsBlank="1" containsNumber="1">
        <n v="20.13"/>
        <n v="74.9"/>
        <n v="10.8"/>
        <n v="823.2"/>
        <n v="102.0"/>
        <n v="150.0"/>
        <n v="920.0"/>
        <n v="1402.0"/>
        <n v="12.85"/>
        <m/>
      </sharedItems>
    </cacheField>
    <cacheField name="Sell Date" numFmtId="0">
      <sharedItems containsString="0" containsBlank="1">
        <m/>
      </sharedItems>
    </cacheField>
    <cacheField name="Sell" numFmtId="164">
      <sharedItems containsString="0" containsBlank="1" containsNumber="1" containsInteger="1">
        <n v="0.0"/>
        <m/>
      </sharedItems>
    </cacheField>
    <cacheField name="LTP">
      <sharedItems containsMixedTypes="1" containsNumber="1">
        <n v="21.49"/>
        <n v="116.72"/>
        <n v="12.02"/>
        <n v="680.5"/>
        <n v="114.45"/>
        <n v="204.0"/>
        <n v="835.0"/>
        <n v="1380.0"/>
        <n v="21.74"/>
        <s v=""/>
      </sharedItems>
    </cacheField>
    <cacheField name="QTY" numFmtId="0">
      <sharedItems containsString="0" containsBlank="1" containsNumber="1" containsInteger="1">
        <n v="51.0"/>
        <n v="200.0"/>
        <n v="225.0"/>
        <n v="1.0"/>
        <n v="5.0"/>
        <n v="11.0"/>
        <n v="75.0"/>
        <m/>
      </sharedItems>
    </cacheField>
    <cacheField name="Invested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Turnover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Unrealised P/L" numFmtId="164">
      <sharedItems containsSemiMixedTypes="0" containsString="0" containsNumber="1">
        <n v="69.35999999999997"/>
        <n v="8363.999999999998"/>
        <n v="274.4999999999998"/>
        <n v="-142.70000000000005"/>
        <n v="634.9500000000002"/>
        <n v="270.0"/>
        <n v="-935.0"/>
        <n v="-110.0"/>
        <n v="666.7499999999999"/>
        <n v="0.0"/>
      </sharedItems>
    </cacheField>
    <cacheField name="U P/L %" numFmtId="10">
      <sharedItems containsSemiMixedTypes="0" containsString="0" containsNumber="1">
        <n v="0.06756085444610033"/>
        <n v="0.5583444592790385"/>
        <n v="0.11296296296296285"/>
        <n v="-0.1733479105928086"/>
        <n v="0.12205882352941179"/>
        <n v="0.36"/>
        <n v="-0.09239130434782608"/>
        <n v="-0.015691868758915834"/>
        <n v="0.6918287937743189"/>
        <n v="0.0"/>
      </sharedItems>
    </cacheField>
    <cacheField name="Day_Change" numFmtId="164">
      <sharedItems containsSemiMixedTypes="0" containsString="0" containsNumber="1">
        <n v="0.34"/>
        <n v="0.58"/>
        <n v="0.17"/>
        <n v="-1.15"/>
        <n v="0.42"/>
        <n v="1.46"/>
        <n v="18.5"/>
        <n v="-8.0"/>
        <n v="-0.04"/>
        <n v="0.0"/>
      </sharedItems>
    </cacheField>
    <cacheField name="Change" numFmtId="164">
      <sharedItems containsSemiMixedTypes="0" containsString="0" containsNumber="1">
        <n v="17.34"/>
        <n v="115.99999999999999"/>
        <n v="38.25"/>
        <n v="-1.15"/>
        <n v="21.419999999999998"/>
        <n v="7.3"/>
        <n v="203.5"/>
        <n v="-40.0"/>
        <n v="-3.0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3" sheet="Ramkishor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GOLDCASE"/>
        <s v="ICICIB22"/>
        <s v="IDEA"/>
        <s v="IRCTC"/>
        <s v="MOVALUE"/>
        <s v="SILVERETF"/>
        <s v="TITAGARH"/>
        <s v="VOLTAS"/>
        <s v="YESBANK"/>
        <m/>
      </sharedItems>
    </cacheField>
    <cacheField name="Holder" numFmtId="0">
      <sharedItems containsBlank="1">
        <s v="RAM"/>
        <m/>
      </sharedItems>
    </cacheField>
    <cacheField name="Buy Date" numFmtId="165">
      <sharedItems containsDate="1" containsString="0" containsBlank="1">
        <d v="2025-10-21T00:00:00Z"/>
        <d v="2023-11-03T00:00:00Z"/>
        <d v="2023-01-25T00:00:00Z"/>
        <d v="2021-11-04T00:00:00Z"/>
        <d v="2024-11-01T00:00:00Z"/>
        <d v="2025-10-08T00:00:00Z"/>
        <d v="2025-08-18T00:00:00Z"/>
        <d v="2020-08-05T00:00:00Z"/>
        <m/>
      </sharedItems>
    </cacheField>
    <cacheField name="Buy" numFmtId="164">
      <sharedItems containsString="0" containsBlank="1" containsNumber="1">
        <n v="20.13"/>
        <n v="74.9"/>
        <n v="10.8"/>
        <n v="823.2"/>
        <n v="102.0"/>
        <n v="150.0"/>
        <n v="920.0"/>
        <n v="1402.0"/>
        <n v="12.85"/>
        <m/>
      </sharedItems>
    </cacheField>
    <cacheField name="Sell Date" numFmtId="0">
      <sharedItems containsString="0" containsBlank="1">
        <m/>
      </sharedItems>
    </cacheField>
    <cacheField name="Sell" numFmtId="164">
      <sharedItems containsString="0" containsBlank="1" containsNumber="1" containsInteger="1">
        <n v="0.0"/>
        <m/>
      </sharedItems>
    </cacheField>
    <cacheField name="LTP">
      <sharedItems containsMixedTypes="1" containsNumber="1">
        <n v="21.49"/>
        <n v="116.72"/>
        <n v="12.02"/>
        <n v="680.5"/>
        <n v="114.45"/>
        <n v="204.0"/>
        <n v="835.0"/>
        <n v="1380.0"/>
        <n v="21.74"/>
        <s v=""/>
      </sharedItems>
    </cacheField>
    <cacheField name="QTY" numFmtId="0">
      <sharedItems containsString="0" containsBlank="1" containsNumber="1" containsInteger="1">
        <n v="51.0"/>
        <n v="200.0"/>
        <n v="225.0"/>
        <n v="1.0"/>
        <n v="5.0"/>
        <n v="11.0"/>
        <n v="75.0"/>
        <m/>
      </sharedItems>
    </cacheField>
    <cacheField name="Invested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Turnover" numFmtId="164">
      <sharedItems containsSemiMixedTypes="0" containsString="0" containsNumber="1">
        <n v="1026.6299999999999"/>
        <n v="14980.000000000002"/>
        <n v="2430.0"/>
        <n v="823.2"/>
        <n v="5202.0"/>
        <n v="750.0"/>
        <n v="10120.0"/>
        <n v="7010.0"/>
        <n v="963.75"/>
        <n v="0.0"/>
      </sharedItems>
    </cacheField>
    <cacheField name="Unrealised P/L" numFmtId="164">
      <sharedItems containsSemiMixedTypes="0" containsString="0" containsNumber="1">
        <n v="69.35999999999997"/>
        <n v="8363.999999999998"/>
        <n v="274.4999999999998"/>
        <n v="-142.70000000000005"/>
        <n v="634.9500000000002"/>
        <n v="270.0"/>
        <n v="-935.0"/>
        <n v="-110.0"/>
        <n v="666.7499999999999"/>
        <n v="0.0"/>
      </sharedItems>
    </cacheField>
    <cacheField name="U P/L %" numFmtId="10">
      <sharedItems containsSemiMixedTypes="0" containsString="0" containsNumber="1">
        <n v="0.06756085444610033"/>
        <n v="0.5583444592790385"/>
        <n v="0.11296296296296285"/>
        <n v="-0.1733479105928086"/>
        <n v="0.12205882352941179"/>
        <n v="0.36"/>
        <n v="-0.09239130434782608"/>
        <n v="-0.015691868758915834"/>
        <n v="0.6918287937743189"/>
        <n v="0.0"/>
      </sharedItems>
    </cacheField>
    <cacheField name="Day_Change" numFmtId="164">
      <sharedItems containsSemiMixedTypes="0" containsString="0" containsNumber="1">
        <n v="0.34"/>
        <n v="0.58"/>
        <n v="0.17"/>
        <n v="-1.15"/>
        <n v="0.42"/>
        <n v="1.46"/>
        <n v="18.5"/>
        <n v="-8.0"/>
        <n v="-0.04"/>
        <n v="0.0"/>
      </sharedItems>
    </cacheField>
    <cacheField name="Change" numFmtId="164">
      <sharedItems containsSemiMixedTypes="0" containsString="0" containsNumber="1">
        <n v="17.34"/>
        <n v="115.99999999999999"/>
        <n v="38.25"/>
        <n v="-1.15"/>
        <n v="21.419999999999998"/>
        <n v="7.3"/>
        <n v="203.5"/>
        <n v="-40.0"/>
        <n v="-3.0"/>
        <n v="0.0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P12" sheet="Aishwarya"/>
  </cacheSource>
  <cacheFields>
    <cacheField name="SYMBOL" numFmtId="164">
      <sharedItems>
        <s v="ALPHA"/>
        <s v="HDFCBANK"/>
        <s v="ICICIB22"/>
        <s v="IDFCFIRSTB"/>
        <s v="IRCTC"/>
        <s v="TMPV"/>
        <s v="IREDA"/>
        <s v="GPPL"/>
        <s v="RELIANCE"/>
        <s v="GOLDCASE"/>
      </sharedItems>
    </cacheField>
    <cacheField name="Holder" numFmtId="0">
      <sharedItems>
        <s v="Aishwarya"/>
      </sharedItems>
    </cacheField>
    <cacheField name="Buy Date" numFmtId="0">
      <sharedItems containsDate="1" containsString="0" containsBlank="1">
        <m/>
        <d v="2025-06-05T00:00:00Z"/>
        <d v="2026-06-12T00:00:00Z"/>
        <d v="2025-10-21T00:00:00Z"/>
      </sharedItems>
    </cacheField>
    <cacheField name="Buy" numFmtId="164">
      <sharedItems containsSemiMixedTypes="0" containsString="0" containsNumber="1">
        <n v="53.96"/>
        <n v="742.64"/>
        <n v="83.97"/>
        <n v="85.59"/>
        <n v="972.6"/>
        <n v="434.3058"/>
        <n v="176.35"/>
        <n v="165.6"/>
        <n v="1468.0"/>
        <n v="20.1"/>
      </sharedItems>
    </cacheField>
    <cacheField name="Sell Date" numFmtId="0">
      <sharedItems containsString="0" containsBlank="1">
        <m/>
      </sharedItems>
    </cacheField>
    <cacheField name="Sell" numFmtId="164">
      <sharedItems containsSemiMixedTypes="0" containsString="0" containsNumber="1" containsInteger="1">
        <n v="0.0"/>
      </sharedItems>
    </cacheField>
    <cacheField name="LTP" numFmtId="164">
      <sharedItems containsSemiMixedTypes="0" containsString="0" containsNumber="1">
        <n v="48.97"/>
        <n v="997.0"/>
        <n v="116.72"/>
        <n v="84.9"/>
        <n v="680.5"/>
        <n v="362.6"/>
        <n v="139.0"/>
        <n v="192.6"/>
        <n v="1569.0"/>
        <n v="21.49"/>
      </sharedItems>
    </cacheField>
    <cacheField name="QTY" numFmtId="0">
      <sharedItems containsSemiMixedTypes="0" containsString="0" containsNumber="1" containsInteger="1">
        <n v="236.0"/>
        <n v="8.0"/>
        <n v="227.0"/>
        <n v="83.0"/>
        <n v="5.0"/>
        <n v="50.0"/>
        <n v="100.0"/>
        <n v="3.0"/>
        <n v="21.0"/>
      </sharedItems>
    </cacheField>
    <cacheField name="Invested" numFmtId="164">
      <sharedItems containsSemiMixedTypes="0" containsString="0" containsNumber="1">
        <n v="12734.56"/>
        <n v="5941.12"/>
        <n v="19061.19"/>
        <n v="7103.97"/>
        <n v="4863.0"/>
        <n v="3474.4464"/>
        <n v="8817.5"/>
        <n v="16560.0"/>
        <n v="4404.0"/>
        <n v="422.1"/>
      </sharedItems>
    </cacheField>
    <cacheField name="Unrealised P/L" numFmtId="164">
      <sharedItems containsSemiMixedTypes="0" containsString="0" containsNumber="1">
        <n v="-1177.6400000000006"/>
        <n v="2034.88"/>
        <n v="7434.25"/>
        <n v="-57.26999999999981"/>
        <n v="-1460.5"/>
        <n v="-573.6463999999996"/>
        <n v="-1867.4999999999998"/>
        <n v="2700.0"/>
        <n v="303.0"/>
        <n v="29.189999999999937"/>
      </sharedItems>
    </cacheField>
    <cacheField name="U P/L %" numFmtId="10">
      <sharedItems containsSemiMixedTypes="0" containsString="0" containsNumber="1">
        <n v="-0.09247590808005934"/>
        <n v="0.34250780997522356"/>
        <n v="0.39002024532571156"/>
        <n v="-0.008061689449702042"/>
        <n v="-0.30032901501130993"/>
        <n v="-0.1651044033950271"/>
        <n v="-0.21179472639637084"/>
        <n v="0.16304347826086957"/>
        <n v="0.06880108991825613"/>
        <n v="0.06915422885572124"/>
      </sharedItems>
    </cacheField>
    <cacheField name="Day_Change" numFmtId="164">
      <sharedItems containsSemiMixedTypes="0" containsString="0" containsNumber="1">
        <n v="-0.01"/>
        <n v="9.3"/>
        <n v="0.58"/>
        <n v="-0.45"/>
        <n v="-1.15"/>
        <n v="3.45"/>
        <n v="3.33"/>
        <n v="-0.99"/>
        <n v="-6.4"/>
        <n v="0.34"/>
      </sharedItems>
    </cacheField>
    <cacheField name="Change" numFmtId="164">
      <sharedItems containsSemiMixedTypes="0" containsString="0" containsNumber="1">
        <n v="-2.36"/>
        <n v="74.4"/>
        <n v="131.66"/>
        <n v="-37.35"/>
        <n v="-5.75"/>
        <n v="27.6"/>
        <n v="166.5"/>
        <n v="-99.0"/>
        <n v="-19.200000000000003"/>
        <n v="7.140000000000001"/>
      </sharedItems>
    </cacheField>
    <cacheField name="Realised P/L" numFmtId="164">
      <sharedItems containsSemiMixedTypes="0" containsString="0" containsNumber="1" containsInteger="1">
        <n v="0.0"/>
      </sharedItems>
    </cacheField>
    <cacheField name="R P/L %" numFmtId="10">
      <sharedItems containsSemiMixedTypes="0" containsString="0" containsNumber="1" containsInteger="1">
        <n v="0.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74" sheet="Long Term Holiding"/>
  </cacheSource>
  <cacheFields>
    <cacheField name="h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</sharedItems>
    </cacheField>
    <cacheField name="SYMBOL" numFmtId="164">
      <sharedItems>
        <s v="RELIANCE"/>
        <s v="GRASIM"/>
        <s v="BPCL"/>
        <s v="DIVOPPBEES"/>
        <s v="ICICIB22"/>
        <s v="ICICIBANKN"/>
        <s v="TATASTEEL"/>
        <s v="HDFCLIFE"/>
        <s v="JIOFIN"/>
        <s v="COALINDIA"/>
        <s v="ADANIGREEN"/>
        <s v="SBIN"/>
        <s v="ICICIBank"/>
        <s v="ADANIPORTS"/>
        <s v="MAFANG"/>
        <s v="AXISBANK"/>
        <s v="IRCTC"/>
        <s v="TATACONSUM"/>
        <s v="HCLTECH"/>
        <s v="EXIDEIND"/>
        <s v="TATAPOWER"/>
        <s v="ETERNAL"/>
        <s v="TATAMOTORS"/>
        <s v="WIPRO"/>
        <s v="IREDA"/>
        <s v="TATATECH"/>
        <s v="IDFCFIRSTB"/>
        <s v="HAPPYFORGE"/>
        <s v="AZAD"/>
        <s v="DOMS"/>
        <s v="LT"/>
        <s v="POLYCAB"/>
        <s v="HDFCBANK"/>
        <s v="SAIL"/>
        <s v="TATACHEM"/>
        <s v="NAUKRI"/>
        <s v="INDGN"/>
        <s v="GOLDCASE"/>
        <s v="MOVALUE"/>
        <s v="ZOMATO"/>
      </sharedItems>
    </cacheField>
    <cacheField name="Holder" numFmtId="0">
      <sharedItems>
        <s v="ESPRESSO"/>
        <s v="Savitri"/>
        <s v="Ramkishor"/>
        <s v="DHAN"/>
        <s v="Paytm"/>
        <s v="Kamal"/>
      </sharedItems>
    </cacheField>
    <cacheField name="Buy Date" numFmtId="165">
      <sharedItems containsDate="1" containsString="0" containsBlank="1">
        <d v="2023-01-18T00:00:00Z"/>
        <d v="2023-01-30T00:00:00Z"/>
        <d v="2023-02-03T00:00:00Z"/>
        <d v="2023-02-15T00:00:00Z"/>
        <d v="2023-06-14T00:00:00Z"/>
        <d v="2023-08-07T00:00:00Z"/>
        <d v="2023-08-30T00:00:00Z"/>
        <m/>
        <d v="2017-08-03T00:00:00Z"/>
        <d v="2020-01-28T00:00:00Z"/>
        <d v="2020-02-12T00:00:00Z"/>
        <d v="2021-02-26T00:00:00Z"/>
        <d v="2021-03-22T00:00:00Z"/>
        <d v="2021-05-07T00:00:00Z"/>
        <d v="2021-07-29T00:00:00Z"/>
        <d v="2021-11-08T00:00:00Z"/>
        <d v="2021-12-22T00:00:00Z"/>
        <d v="2022-11-09T00:00:00Z"/>
        <d v="2022-07-28T00:00:00Z"/>
        <d v="2022-10-24T00:00:00Z"/>
        <d v="2023-01-02T00:00:00Z"/>
        <d v="2023-01-28T00:00:00Z"/>
        <d v="2021-03-04T00:00:00Z"/>
        <d v="2023-10-05T00:00:00Z"/>
        <d v="2023-11-29T00:00:00Z"/>
        <d v="2023-11-30T00:00:00Z"/>
        <d v="2023-12-01T00:00:00Z"/>
        <d v="2023-12-29T00:00:00Z"/>
        <d v="2023-12-27T00:00:00Z"/>
        <d v="2023-12-28T00:00:00Z"/>
        <d v="2023-12-19T00:00:00Z"/>
        <d v="2024-01-02T00:00:00Z"/>
        <d v="2024-01-16T00:00:00Z"/>
        <d v="2024-01-20T00:00:00Z"/>
        <d v="2024-01-31T00:00:00Z"/>
        <d v="2024-02-13T00:00:00Z"/>
        <d v="2024-02-09T00:00:00Z"/>
        <d v="2024-02-12T00:00:00Z"/>
        <d v="2024-02-23T00:00:00Z"/>
        <d v="2024-02-27T00:00:00Z"/>
        <d v="2024-03-06T00:00:00Z"/>
        <d v="2024-03-26T00:00:00Z"/>
        <d v="2024-03-28T00:00:00Z"/>
        <d v="2024-05-13T00:00:00Z"/>
        <d v="2024-05-16T00:00:00Z"/>
        <d v="2024-05-22T00:00:00Z"/>
        <d v="2024-04-22T00:00:00Z"/>
        <d v="2024-02-26T00:00:00Z"/>
        <d v="2024-06-06T00:00:00Z"/>
        <d v="2024-07-04T00:00:00Z"/>
      </sharedItems>
    </cacheField>
    <cacheField name="Buy" numFmtId="164">
      <sharedItems containsSemiMixedTypes="0" containsString="0" containsNumber="1">
        <n v="1242.675"/>
        <n v="1685.0"/>
        <n v="1167.375"/>
        <n v="327.72"/>
        <n v="49.48"/>
        <n v="57.93"/>
        <n v="41.54"/>
        <n v="113.8"/>
        <n v="69.86"/>
        <n v="639.4"/>
        <n v="1.0"/>
        <n v="263.63"/>
        <n v="187.15"/>
        <n v="324.7"/>
        <n v="595.9"/>
        <n v="722.5"/>
        <n v="48.6"/>
        <n v="723.0"/>
        <n v="833.3"/>
        <n v="145.55"/>
        <n v="35.23"/>
        <n v="98.1"/>
        <n v="101.25"/>
        <n v="835.68"/>
        <n v="1211.36"/>
        <n v="115.47"/>
        <n v="223.25"/>
        <n v="210.0"/>
        <n v="225.15"/>
        <n v="76.0"/>
        <n v="501.65"/>
        <n v="715.0"/>
        <n v="74.69"/>
        <n v="32.0"/>
        <n v="500.0"/>
        <n v="86.0"/>
        <n v="88.25"/>
        <n v="850.0"/>
        <n v="524.0"/>
        <n v="790.0"/>
        <n v="3480.0"/>
        <n v="4322.0"/>
        <n v="3639.15"/>
        <n v="3429.9"/>
        <n v="3328.75"/>
        <n v="1405.95"/>
        <n v="126.95"/>
        <n v="101.2"/>
        <n v="3495.0"/>
        <n v="1075.0"/>
        <n v="99.5"/>
        <n v="5600.0"/>
        <n v="452.0"/>
        <n v="11.77"/>
        <n v="102.62"/>
        <n v="95.89"/>
        <n v="1053.95"/>
        <n v="1000.05"/>
        <n v="443.0"/>
        <n v="151.5"/>
        <n v="1051.75"/>
        <n v="1087.05"/>
        <n v="759.4"/>
        <n v="142.65"/>
        <n v="824.0"/>
        <n v="80.99"/>
        <n v="207.45"/>
      </sharedItems>
    </cacheField>
    <cacheField name="Sell Date" numFmtId="0">
      <sharedItems containsDate="1" containsString="0" containsBlank="1">
        <m/>
        <d v="2023-09-14T00:00:00Z"/>
        <d v="2025-01-03T00:00:00Z"/>
        <d v="2023-10-05T00:00:00Z"/>
        <d v="2024-07-10T00:00:00Z"/>
        <d v="2024-02-26T00:00:00Z"/>
        <d v="2021-06-16T00:00:00Z"/>
        <d v="2024-02-23T00:00:00Z"/>
        <d v="2024-04-22T00:00:00Z"/>
        <d v="2021-05-28T00:00:00Z"/>
        <d v="2024-11-18T00:00:00Z"/>
        <d v="2025-06-05T00:00:00Z"/>
        <d v="2023-11-29T00:00:00Z"/>
        <d v="2023-11-30T00:00:00Z"/>
        <d v="2023-12-27T00:00:00Z"/>
        <d v="2023-12-28T00:00:00Z"/>
        <d v="2025-07-14T00:00:00Z"/>
        <d v="2023-12-20T00:00:00Z"/>
        <d v="2024-10-07T00:00:00Z"/>
        <d v="2024-07-03T00:00:00Z"/>
        <d v="2024-07-12T00:00:00Z"/>
      </sharedItems>
    </cacheField>
    <cacheField name="Sell" numFmtId="164">
      <sharedItems containsSemiMixedTypes="0" containsString="0" containsNumber="1">
        <n v="0.0"/>
        <n v="1923.7"/>
        <n v="82.2"/>
        <n v="44.66"/>
        <n v="168.42"/>
        <n v="443.0"/>
        <n v="1200.0"/>
        <n v="759.4"/>
        <n v="1087.05"/>
        <n v="782.5"/>
        <n v="95.89"/>
        <n v="1053.95"/>
        <n v="1000.05"/>
        <n v="142.65"/>
        <n v="427.0"/>
        <n v="414.85"/>
        <n v="495.7"/>
        <n v="52.8"/>
        <n v="151.5"/>
        <n v="1305.4"/>
        <n v="1051.75"/>
        <n v="1010.45"/>
        <n v="722.75"/>
        <n v="1549.15"/>
        <n v="1405.25"/>
        <n v="7983.95"/>
        <n v="556.0"/>
        <n v="294.78"/>
      </sharedItems>
    </cacheField>
    <cacheField name="LTP">
      <sharedItems containsMixedTypes="1" containsNumber="1">
        <n v="1569.0"/>
        <n v="2823.1"/>
        <n v="369.7"/>
        <n v="83.27"/>
        <n v="116.72"/>
        <n v="48.75"/>
        <n v="170.82"/>
        <n v="763.0"/>
        <n v="298.5"/>
        <n v="400.65"/>
        <n v="1017.0"/>
        <n v="971.25"/>
        <n v="1362.4"/>
        <n v="1492.8"/>
        <n v="168.98"/>
        <n v="1224.5"/>
        <n v="680.5"/>
        <n v="1185.2"/>
        <n v="1674.8"/>
        <n v="370.5"/>
        <n v="382.4"/>
        <n v="284.25"/>
        <e v="#N/A"/>
        <n v="271.3"/>
        <n v="139.0"/>
        <n v="661.1"/>
        <n v="84.9"/>
        <n v="1096.0"/>
        <n v="1658.0"/>
        <n v="2568.0"/>
        <n v="4070.0"/>
        <n v="7638.0"/>
        <n v="997.0"/>
        <n v="133.0"/>
        <n v="776.9"/>
        <n v="1365.9"/>
        <n v="532.0"/>
        <n v="21.49"/>
        <n v="114.45"/>
      </sharedItems>
    </cacheField>
    <cacheField name="QTY" numFmtId="0">
      <sharedItems containsSemiMixedTypes="0" containsString="0" containsNumber="1" containsInteger="1">
        <n v="5.0"/>
        <n v="10.0"/>
        <n v="2.0"/>
        <n v="65.0"/>
        <n v="60.0"/>
        <n v="80.0"/>
        <n v="40.0"/>
        <n v="45.0"/>
        <n v="11.0"/>
        <n v="7.0"/>
        <n v="30.0"/>
        <n v="1.0"/>
        <n v="20.0"/>
        <n v="102.0"/>
        <n v="3.0"/>
        <n v="52.0"/>
        <n v="50.0"/>
        <n v="51.0"/>
        <n v="23.0"/>
        <n v="25.0"/>
        <n v="27.0"/>
        <n v="75.0"/>
        <n v="4.0"/>
        <n v="18.0"/>
        <n v="48.0"/>
        <n v="160.0"/>
        <n v="300.0"/>
        <n v="35.0"/>
        <n v="17.0"/>
        <n v="8.0"/>
        <n v="100.0"/>
        <n v="500.0"/>
        <n v="190.0"/>
        <n v="33.0"/>
        <n v="150.0"/>
        <n v="106.0"/>
        <n v="9.0"/>
        <n v="70.0"/>
      </sharedItems>
    </cacheField>
    <cacheField name="Invested" numFmtId="164">
      <sharedItems containsSemiMixedTypes="0" containsString="0" containsNumber="1">
        <n v="6213.375"/>
        <n v="16850.0"/>
        <n v="2334.75"/>
        <n v="3277.2000000000003"/>
        <n v="3216.2"/>
        <n v="3475.8"/>
        <n v="3323.2"/>
        <n v="4552.0"/>
        <n v="3143.7"/>
        <n v="7033.4"/>
        <n v="7.0"/>
        <n v="7908.9"/>
        <n v="1871.5"/>
        <n v="324.7"/>
        <n v="11918.0"/>
        <n v="3612.5"/>
        <n v="4957.2"/>
        <n v="7230.0"/>
        <n v="9166.3"/>
        <n v="436.65000000000003"/>
        <n v="1831.9599999999998"/>
        <n v="4905.0"/>
        <n v="5163.75"/>
        <n v="9192.48"/>
        <n v="12113.599999999999"/>
        <n v="1270.17"/>
        <n v="8479.519999999999"/>
        <n v="5134.75"/>
        <n v="5250.0"/>
        <n v="6079.05"/>
        <n v="5700.0"/>
        <n v="2006.6"/>
        <n v="12870.0"/>
        <n v="3585.12"/>
        <n v="5120.0"/>
        <n v="9600.0"/>
        <n v="5000.0"/>
        <n v="10000.0"/>
        <n v="3010.0"/>
        <n v="3088.75"/>
        <n v="14450.0"/>
        <n v="10480.0"/>
        <n v="4192.0"/>
        <n v="7900.0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11200.0"/>
        <n v="4520.0"/>
        <n v="5885.0"/>
        <n v="5131.0"/>
        <n v="18219.1"/>
        <n v="10539.5"/>
        <n v="10000.5"/>
        <n v="14619.0"/>
        <n v="22725.0"/>
        <n v="21035.0"/>
        <n v="21741.0"/>
        <n v="759.4"/>
        <n v="15120.900000000001"/>
        <n v="7416.0"/>
        <n v="5669.299999999999"/>
        <n v="5601.15"/>
      </sharedItems>
    </cacheField>
    <cacheField name="Turnover" numFmtId="164">
      <sharedItems containsSemiMixedTypes="0" containsString="0" containsNumber="1">
        <n v="6213.375"/>
        <n v="36087.0"/>
        <n v="2334.75"/>
        <n v="3277.2000000000003"/>
        <n v="8559.2"/>
        <n v="3475.8"/>
        <n v="6895.999999999999"/>
        <n v="11288.8"/>
        <n v="3143.7"/>
        <n v="7033.4"/>
        <n v="7.0"/>
        <n v="21198.9"/>
        <n v="13871.5"/>
        <n v="1084.1"/>
        <n v="33659.0"/>
        <n v="7525.0"/>
        <n v="14737.980000000001"/>
        <n v="17769.5"/>
        <n v="20166.85"/>
        <n v="1765.6499999999999"/>
        <n v="6818.24"/>
        <n v="12037.5"/>
        <n v="12438.9"/>
        <n v="9192.48"/>
        <n v="12113.599999999999"/>
        <n v="1270.17"/>
        <n v="8479.519999999999"/>
        <n v="5134.75"/>
        <n v="15925.0"/>
        <n v="15621.25"/>
        <n v="6079.05"/>
        <n v="5700.0"/>
        <n v="2006.6"/>
        <n v="21792.600000000002"/>
        <n v="3585.12"/>
        <n v="13568.0"/>
        <n v="55050.0"/>
        <n v="18054.0"/>
        <n v="31035.0"/>
        <n v="3010.0"/>
        <n v="3088.75"/>
        <n v="31627.65"/>
        <n v="24935.0"/>
        <n v="16585.2"/>
        <n v="21952.5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27167.9"/>
        <n v="10080.0"/>
        <n v="5885.0"/>
        <n v="5131.0"/>
        <n v="18219.1"/>
        <n v="10539.5"/>
        <n v="10000.5"/>
        <n v="14619.0"/>
        <n v="66942.0"/>
        <n v="21035.0"/>
        <n v="21741.0"/>
        <n v="759.4"/>
        <n v="15120.900000000001"/>
        <n v="7416.0"/>
        <n v="5669.299999999999"/>
        <n v="5601.15"/>
      </sharedItems>
    </cacheField>
    <cacheField name="Unrealised P/L">
      <sharedItems containsMixedTypes="1" containsNumber="1">
        <n v="1631.6250000000002"/>
        <n v="0.0"/>
        <n v="803.25"/>
        <n v="419.7999999999996"/>
        <n v="3527.4"/>
        <n v="2108.7"/>
        <n v="1359.6000000000004"/>
        <n v="2082.5"/>
        <n v="3844.720000000001"/>
        <n v="4634.400000000001"/>
        <n v="608.8499999999999"/>
        <n v="3244.0800000000004"/>
        <n v="3368.35"/>
        <n v="4245.749999999999"/>
        <n v="15618.75"/>
        <e v="#N/A"/>
        <n v="2017.44"/>
        <n v="-38.4999999999998"/>
        <n v="-117.2499999999998"/>
        <n v="14224.0"/>
        <n v="590.0"/>
        <n v="3316.0"/>
        <n v="430.8499999999999"/>
        <n v="640.0999999999999"/>
        <n v="741.25"/>
        <n v="-1226.8500000000001"/>
        <n v="120.99999999999994"/>
        <n v="1551.9999999999995"/>
        <n v="575.0"/>
        <n v="-1192.4"/>
        <n v="861.0"/>
        <n v="4859.999999999999"/>
        <n v="591.4999999999999"/>
        <n v="13887.099999999999"/>
        <n v="1705.4999999999995"/>
        <n v="-3195.4999999999995"/>
        <n v="-1397.5500000000006"/>
        <n v="-7813.0"/>
        <n v="5507.000000000003"/>
        <n v="211.85000000000002"/>
        <n v="2986.0199999999986"/>
        <n v="1325.25"/>
        <n v="273.7000000000007"/>
      </sharedItems>
    </cacheField>
    <cacheField name="U P/L %">
      <sharedItems containsMixedTypes="1" containsNumber="1">
        <n v="0.26259882913875315"/>
        <n v="0.0"/>
        <n v="0.344041117892708"/>
        <n v="0.1280971561088733"/>
        <n v="1.0148455031935093"/>
        <n v="0.6707701116518752"/>
        <n v="0.193306224585549"/>
        <n v="297.5"/>
        <n v="0.41824621864828654"/>
        <n v="0.38257825914674426"/>
        <n v="0.4793452844894777"/>
        <n v="0.6559910414333706"/>
        <n v="0.6984232733733066"/>
        <n v="2.7401315789473686"/>
        <e v="#N/A"/>
        <n v="0.5627259338599545"/>
        <n v="-0.012790697674418539"/>
        <n v="-0.03796033994334271"/>
        <n v="2.250632911392405"/>
        <n v="0.16954022988505746"/>
        <n v="0.7672373900971773"/>
        <n v="0.1183930313397359"/>
        <n v="0.18662351672060407"/>
        <n v="0.22268118663161848"/>
        <n v="-0.29087094135637825"/>
        <n v="0.04765655769988182"/>
        <n v="0.15335968379446635"/>
        <n v="0.16452074391988555"/>
        <n v="-0.2773023255813954"/>
        <n v="0.17306532663316582"/>
        <n v="0.8258283772302463"/>
        <n v="0.11527967257844472"/>
        <n v="0.7622275524037959"/>
        <n v="0.161819820674605"/>
        <n v="-0.319534023298835"/>
        <n v="-0.09559819413092556"/>
        <n v="-0.3714285714285714"/>
        <n v="0.2533002161814085"/>
        <n v="0.2789702396628918"/>
        <n v="0.1974763406940062"/>
        <n v="0.1787014563106796"/>
        <n v="0.04827756513149785"/>
      </sharedItems>
    </cacheField>
    <cacheField name="Change">
      <sharedItems containsMixedTypes="1" containsNumber="1">
        <n v="-6.4"/>
        <n v="0.0"/>
        <n v="-0.2"/>
        <n v="0.58"/>
        <n v="1.2"/>
        <n v="-0.25"/>
        <n v="6.4"/>
        <n v="4.5"/>
        <n v="1.6"/>
        <n v="-2.45"/>
        <e v="#N/A"/>
        <n v="-0.45"/>
        <n v="-9.2"/>
        <n v="-2.4"/>
        <n v="35.0"/>
        <n v="9.3"/>
        <n v="2.94"/>
        <n v="8.4"/>
        <n v="0.34"/>
        <n v="0.42"/>
        <n v="2.12"/>
        <n v="-8.7"/>
        <n v="-1.15"/>
        <n v="14.4"/>
        <n v="-2.3"/>
        <n v="-6.1"/>
        <n v="-3.05"/>
      </sharedItems>
    </cacheField>
    <cacheField name="change2">
      <sharedItems containsMixedTypes="1" containsNumber="1">
        <n v="-32.0"/>
        <n v="0.0"/>
        <n v="-12.8"/>
        <n v="-2.0"/>
        <n v="34.8"/>
        <n v="26.099999999999998"/>
        <n v="13.2"/>
        <n v="-1.75"/>
        <n v="70.4"/>
        <n v="45.0"/>
        <n v="17.6"/>
        <n v="31.5"/>
        <n v="-4.6000000000000005"/>
        <n v="43.2"/>
        <n v="-183.75"/>
        <e v="#N/A"/>
        <n v="27.839999999999996"/>
        <n v="-15.75"/>
        <n v="-73.6"/>
        <n v="-2.4"/>
        <n v="35.0"/>
        <n v="27.900000000000002"/>
        <n v="58.8"/>
        <n v="57.99999999999999"/>
        <n v="33.6"/>
        <n v="28.999999999999996"/>
        <n v="170.0"/>
        <n v="21.0"/>
        <n v="402.8"/>
        <n v="-87.0"/>
        <n v="-11.5"/>
        <n v="475.2"/>
        <n v="-46.0"/>
        <n v="-122.0"/>
        <n v="-3.05"/>
        <n v="169.60000000000002"/>
        <n v="-27.45"/>
        <n v="-31.5"/>
      </sharedItems>
    </cacheField>
    <cacheField name="Realised P/L" numFmtId="164">
      <sharedItems containsSemiMixedTypes="0" containsString="0" containsNumber="1">
        <n v="0.0"/>
        <n v="2387.0000000000005"/>
        <n v="2126.8"/>
        <n v="249.5999999999998"/>
        <n v="2184.7999999999997"/>
        <n v="5381.1"/>
        <n v="10128.5"/>
        <n v="434.7"/>
        <n v="9823.0"/>
        <n v="300.0"/>
        <n v="4823.58"/>
        <n v="3309.5000000000005"/>
        <n v="1834.25"/>
        <n v="892.3499999999999"/>
        <n v="3154.32"/>
        <n v="2227.5000000000005"/>
        <n v="2111.4"/>
        <n v="5425.0"/>
        <n v="5121.250000000001"/>
        <n v="-3947.4"/>
        <n v="3327.9999999999995"/>
        <n v="35850.0"/>
        <n v="8054.000000000001"/>
        <n v="11035.0"/>
        <n v="2727.6500000000005"/>
        <n v="3975.0"/>
        <n v="8201.2"/>
        <n v="6152.5"/>
        <n v="4767.9"/>
        <n v="1040.0"/>
        <n v="21491.999999999996"/>
      </sharedItems>
    </cacheField>
    <cacheField name="R P/L %" numFmtId="10">
      <sharedItems containsSemiMixedTypes="0" containsString="0" containsNumber="1">
        <n v="0.0"/>
        <n v="0.14166172106824929"/>
        <n v="0.6612772837510107"/>
        <n v="0.07510832932113619"/>
        <n v="0.4799648506151142"/>
        <n v="0.6803853886128286"/>
        <n v="5.411969008816457"/>
        <n v="1.3387742531567601"/>
        <n v="0.8242154723946971"/>
        <n v="0.08304498269896193"/>
        <n v="0.9730452674897119"/>
        <n v="0.45774550484094056"/>
        <n v="0.2001080043201728"/>
        <n v="2.043627619374785"/>
        <n v="1.7218279875106446"/>
        <n v="0.45412844036697264"/>
        <n v="0.40888888888888897"/>
        <n v="1.0333333333333334"/>
        <n v="0.9754761904761906"/>
        <n v="-0.30671328671328674"/>
        <n v="0.6499999999999999"/>
        <n v="3.734375"/>
        <n v="1.6108000000000002"/>
        <n v="1.1035"/>
        <n v="0.188764705882353"/>
        <n v="0.37929389312977096"/>
        <n v="1.9563931297709924"/>
        <n v="0.7787974683544304"/>
        <n v="0.4257053571428571"/>
        <n v="0.23008849557522124"/>
        <n v="0.9457425742574256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101" sheet="Long Term Holiding"/>
  </cacheSource>
  <cacheFields>
    <cacheField name="h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</sharedItems>
    </cacheField>
    <cacheField name="SYMBOL" numFmtId="164">
      <sharedItems>
        <s v="RELIANCE"/>
        <s v="GRASIM"/>
        <s v="BPCL"/>
        <s v="DIVOPPBEES"/>
        <s v="ICICIB22"/>
        <s v="ICICIBANKN"/>
        <s v="TATASTEEL"/>
        <s v="HDFCLIFE"/>
        <s v="JIOFIN"/>
        <s v="COALINDIA"/>
        <s v="ADANIGREEN"/>
        <s v="SBIN"/>
        <s v="ICICIBank"/>
        <s v="ADANIPORTS"/>
        <s v="MAFANG"/>
        <s v="AXISBANK"/>
        <s v="IRCTC"/>
        <s v="TATACONSUM"/>
        <s v="HCLTECH"/>
        <s v="EXIDEIND"/>
        <s v="TATAPOWER"/>
        <s v="ETERNAL"/>
        <s v="TATAMOTORS"/>
        <s v="WIPRO"/>
        <s v="IREDA"/>
        <s v="TATATECH"/>
        <s v="IDFCFIRSTB"/>
        <s v="HAPPYFORGE"/>
        <s v="AZAD"/>
        <s v="DOMS"/>
        <s v="LT"/>
        <s v="POLYCAB"/>
        <s v="HDFCBANK"/>
        <s v="SAIL"/>
        <s v="TATACHEM"/>
        <s v="NAUKRI"/>
        <s v="INDGN"/>
        <s v="GOLDCASE"/>
        <s v="MOVALUE"/>
        <s v="ZOMATO"/>
        <s v="ALPHAETF"/>
        <s v="ALPHA"/>
        <s v="HDFCMOMENT"/>
        <s v="ASHOKLEY"/>
        <s v="ITETF"/>
        <s v="UPL"/>
        <s v="SBICARD"/>
        <s v="SETFGOLD"/>
      </sharedItems>
    </cacheField>
    <cacheField name="Holder" numFmtId="0">
      <sharedItems>
        <s v="ESPRESSO"/>
        <s v="Savitri"/>
        <s v="Ramkishor"/>
        <s v="DHAN"/>
        <s v="Paytm"/>
        <s v="Kamal"/>
      </sharedItems>
    </cacheField>
    <cacheField name="Buy Date" numFmtId="165">
      <sharedItems containsDate="1" containsString="0" containsBlank="1">
        <d v="2023-01-18T00:00:00Z"/>
        <d v="2023-01-30T00:00:00Z"/>
        <d v="2023-02-03T00:00:00Z"/>
        <d v="2023-02-15T00:00:00Z"/>
        <d v="2023-06-14T00:00:00Z"/>
        <d v="2023-08-07T00:00:00Z"/>
        <d v="2023-08-30T00:00:00Z"/>
        <m/>
        <d v="2017-08-03T00:00:00Z"/>
        <d v="2020-01-28T00:00:00Z"/>
        <d v="2020-02-12T00:00:00Z"/>
        <d v="2021-02-26T00:00:00Z"/>
        <d v="2021-03-22T00:00:00Z"/>
        <d v="2021-05-07T00:00:00Z"/>
        <d v="2021-07-29T00:00:00Z"/>
        <d v="2021-11-08T00:00:00Z"/>
        <d v="2021-12-22T00:00:00Z"/>
        <d v="2022-11-09T00:00:00Z"/>
        <d v="2022-07-28T00:00:00Z"/>
        <d v="2022-10-24T00:00:00Z"/>
        <d v="2023-01-02T00:00:00Z"/>
        <d v="2023-01-28T00:00:00Z"/>
        <d v="2021-03-04T00:00:00Z"/>
        <d v="2023-10-05T00:00:00Z"/>
        <d v="2023-11-29T00:00:00Z"/>
        <d v="2023-11-30T00:00:00Z"/>
        <d v="2023-12-01T00:00:00Z"/>
        <d v="2023-12-29T00:00:00Z"/>
        <d v="2023-12-27T00:00:00Z"/>
        <d v="2023-12-28T00:00:00Z"/>
        <d v="2023-12-19T00:00:00Z"/>
        <d v="2024-01-02T00:00:00Z"/>
        <d v="2024-01-16T00:00:00Z"/>
        <d v="2024-01-20T00:00:00Z"/>
        <d v="2024-01-31T00:00:00Z"/>
        <d v="2024-02-13T00:00:00Z"/>
        <d v="2024-02-09T00:00:00Z"/>
        <d v="2024-02-12T00:00:00Z"/>
        <d v="2024-02-23T00:00:00Z"/>
        <d v="2024-02-27T00:00:00Z"/>
        <d v="2024-03-06T00:00:00Z"/>
        <d v="2024-03-26T00:00:00Z"/>
        <d v="2024-03-28T00:00:00Z"/>
        <d v="2024-05-13T00:00:00Z"/>
        <d v="2024-05-16T00:00:00Z"/>
        <d v="2024-05-22T00:00:00Z"/>
        <d v="2024-04-22T00:00:00Z"/>
        <d v="2024-02-26T00:00:00Z"/>
        <d v="2024-06-06T00:00:00Z"/>
        <d v="2024-07-04T00:00:00Z"/>
        <d v="2024-07-09T00:00:00Z"/>
        <d v="2024-07-15T00:00:00Z"/>
        <d v="2024-07-16T00:00:00Z"/>
        <d v="2024-07-26T00:00:00Z"/>
        <d v="2024-08-20T00:00:00Z"/>
        <d v="2024-08-21T00:00:00Z"/>
        <d v="2024-08-29T00:00:00Z"/>
        <d v="2024-09-04T00:00:00Z"/>
        <d v="2024-10-01T00:00:00Z"/>
        <d v="2024-10-28T00:00:00Z"/>
        <d v="2024-11-01T00:00:00Z"/>
        <d v="2024-11-21T00:00:00Z"/>
        <d v="2024-12-04T00:00:00Z"/>
        <d v="2025-06-04T00:00:00Z"/>
      </sharedItems>
    </cacheField>
    <cacheField name="Buy" numFmtId="164">
      <sharedItems containsSemiMixedTypes="0" containsString="0" containsNumber="1">
        <n v="1242.675"/>
        <n v="1685.0"/>
        <n v="1167.375"/>
        <n v="327.72"/>
        <n v="49.48"/>
        <n v="57.93"/>
        <n v="41.54"/>
        <n v="113.8"/>
        <n v="69.86"/>
        <n v="639.4"/>
        <n v="1.0"/>
        <n v="263.63"/>
        <n v="187.15"/>
        <n v="324.7"/>
        <n v="595.9"/>
        <n v="722.5"/>
        <n v="48.6"/>
        <n v="723.0"/>
        <n v="833.3"/>
        <n v="145.55"/>
        <n v="35.23"/>
        <n v="98.1"/>
        <n v="101.25"/>
        <n v="835.68"/>
        <n v="1211.36"/>
        <n v="115.47"/>
        <n v="223.25"/>
        <n v="210.0"/>
        <n v="225.15"/>
        <n v="76.0"/>
        <n v="501.65"/>
        <n v="715.0"/>
        <n v="74.69"/>
        <n v="32.0"/>
        <n v="500.0"/>
        <n v="86.0"/>
        <n v="88.25"/>
        <n v="850.0"/>
        <n v="524.0"/>
        <n v="790.0"/>
        <n v="3480.0"/>
        <n v="4322.0"/>
        <n v="3639.15"/>
        <n v="3429.9"/>
        <n v="3328.75"/>
        <n v="1405.95"/>
        <n v="126.95"/>
        <n v="101.2"/>
        <n v="3495.0"/>
        <n v="1075.0"/>
        <n v="99.5"/>
        <n v="5600.0"/>
        <n v="452.0"/>
        <n v="11.77"/>
        <n v="102.62"/>
        <n v="95.89"/>
        <n v="1053.95"/>
        <n v="1000.05"/>
        <n v="443.0"/>
        <n v="151.5"/>
        <n v="1051.75"/>
        <n v="1087.05"/>
        <n v="759.4"/>
        <n v="142.65"/>
        <n v="824.0"/>
        <n v="80.99"/>
        <n v="207.45"/>
        <n v="28.68"/>
        <n v="28.7"/>
        <n v="56.83"/>
        <n v="28.91"/>
        <n v="118.15"/>
        <n v="169.45"/>
        <n v="36.72"/>
        <n v="247.0"/>
        <n v="42.36"/>
        <n v="42.26"/>
        <n v="574.5"/>
        <n v="43.27"/>
        <n v="764.1"/>
        <n v="622.8"/>
        <n v="110.76"/>
        <n v="26.57"/>
        <n v="35.16"/>
        <n v="1339.6"/>
        <n v="102.0"/>
        <n v="66.56"/>
        <n v="1311.65"/>
        <n v="15.38"/>
      </sharedItems>
    </cacheField>
    <cacheField name="Sell Date" numFmtId="0">
      <sharedItems containsDate="1" containsString="0" containsBlank="1">
        <m/>
        <d v="2023-09-14T00:00:00Z"/>
        <d v="2025-01-03T00:00:00Z"/>
        <d v="2023-10-05T00:00:00Z"/>
        <d v="2024-07-10T00:00:00Z"/>
        <d v="2024-02-26T00:00:00Z"/>
        <d v="2021-06-16T00:00:00Z"/>
        <d v="2024-02-23T00:00:00Z"/>
        <d v="2024-04-22T00:00:00Z"/>
        <d v="2021-05-28T00:00:00Z"/>
        <d v="2024-11-18T00:00:00Z"/>
        <d v="2025-06-05T00:00:00Z"/>
        <d v="2023-11-29T00:00:00Z"/>
        <d v="2023-11-30T00:00:00Z"/>
        <d v="2023-12-27T00:00:00Z"/>
        <d v="2023-12-28T00:00:00Z"/>
        <d v="2025-07-14T00:00:00Z"/>
        <d v="2023-12-20T00:00:00Z"/>
        <d v="2024-10-07T00:00:00Z"/>
        <d v="2024-07-03T00:00:00Z"/>
        <d v="2024-07-12T00:00:00Z"/>
      </sharedItems>
    </cacheField>
    <cacheField name="Sell" numFmtId="164">
      <sharedItems containsSemiMixedTypes="0" containsString="0" containsNumber="1">
        <n v="0.0"/>
        <n v="1923.7"/>
        <n v="82.2"/>
        <n v="44.66"/>
        <n v="168.42"/>
        <n v="443.0"/>
        <n v="1200.0"/>
        <n v="759.4"/>
        <n v="1087.05"/>
        <n v="782.5"/>
        <n v="95.89"/>
        <n v="1053.95"/>
        <n v="1000.05"/>
        <n v="142.65"/>
        <n v="427.0"/>
        <n v="414.85"/>
        <n v="495.7"/>
        <n v="52.8"/>
        <n v="151.5"/>
        <n v="1305.4"/>
        <n v="1051.75"/>
        <n v="1010.45"/>
        <n v="722.75"/>
        <n v="1549.15"/>
        <n v="1405.25"/>
        <n v="7983.95"/>
        <n v="556.0"/>
        <n v="294.78"/>
        <n v="38.46"/>
      </sharedItems>
    </cacheField>
    <cacheField name="LTP">
      <sharedItems containsMixedTypes="1" containsNumber="1">
        <n v="1569.0"/>
        <n v="2823.1"/>
        <n v="369.7"/>
        <n v="83.27"/>
        <n v="116.72"/>
        <n v="48.75"/>
        <n v="170.82"/>
        <n v="763.0"/>
        <n v="298.5"/>
        <n v="400.65"/>
        <n v="1017.0"/>
        <n v="971.25"/>
        <n v="1362.4"/>
        <n v="1492.8"/>
        <n v="168.98"/>
        <n v="1224.5"/>
        <n v="680.5"/>
        <n v="1185.2"/>
        <n v="1674.8"/>
        <n v="370.5"/>
        <n v="382.4"/>
        <n v="284.25"/>
        <e v="#N/A"/>
        <n v="271.3"/>
        <n v="139.0"/>
        <n v="661.1"/>
        <n v="84.9"/>
        <n v="1096.0"/>
        <n v="1658.0"/>
        <n v="2568.0"/>
        <n v="4070.0"/>
        <n v="7638.0"/>
        <n v="997.0"/>
        <n v="133.0"/>
        <n v="776.9"/>
        <n v="1365.9"/>
        <n v="532.0"/>
        <n v="21.49"/>
        <n v="114.45"/>
        <n v="25.31"/>
        <n v="48.97"/>
        <n v="31.69"/>
        <n v="178.1"/>
        <n v="40.99"/>
        <n v="780.7"/>
        <n v="869.0"/>
        <n v="116.68"/>
      </sharedItems>
    </cacheField>
    <cacheField name="QTY" numFmtId="0">
      <sharedItems containsSemiMixedTypes="0" containsString="0" containsNumber="1" containsInteger="1">
        <n v="5.0"/>
        <n v="10.0"/>
        <n v="2.0"/>
        <n v="65.0"/>
        <n v="60.0"/>
        <n v="80.0"/>
        <n v="40.0"/>
        <n v="45.0"/>
        <n v="11.0"/>
        <n v="7.0"/>
        <n v="30.0"/>
        <n v="1.0"/>
        <n v="20.0"/>
        <n v="102.0"/>
        <n v="3.0"/>
        <n v="52.0"/>
        <n v="50.0"/>
        <n v="51.0"/>
        <n v="23.0"/>
        <n v="25.0"/>
        <n v="27.0"/>
        <n v="75.0"/>
        <n v="4.0"/>
        <n v="18.0"/>
        <n v="48.0"/>
        <n v="160.0"/>
        <n v="300.0"/>
        <n v="35.0"/>
        <n v="17.0"/>
        <n v="8.0"/>
        <n v="100.0"/>
        <n v="500.0"/>
        <n v="190.0"/>
        <n v="33.0"/>
        <n v="150.0"/>
        <n v="106.0"/>
        <n v="9.0"/>
        <n v="70.0"/>
        <n v="200.0"/>
        <n v="400.0"/>
        <n v="14.0"/>
        <n v="6.0"/>
        <n v="151.0"/>
      </sharedItems>
    </cacheField>
    <cacheField name="Invested" numFmtId="164">
      <sharedItems containsSemiMixedTypes="0" containsString="0" containsNumber="1">
        <n v="6213.375"/>
        <n v="16850.0"/>
        <n v="2334.75"/>
        <n v="3277.2000000000003"/>
        <n v="3216.2"/>
        <n v="3475.8"/>
        <n v="3323.2"/>
        <n v="4552.0"/>
        <n v="3143.7"/>
        <n v="7033.4"/>
        <n v="7.0"/>
        <n v="7908.9"/>
        <n v="1871.5"/>
        <n v="324.7"/>
        <n v="11918.0"/>
        <n v="3612.5"/>
        <n v="4957.2"/>
        <n v="7230.0"/>
        <n v="9166.3"/>
        <n v="436.65000000000003"/>
        <n v="1831.9599999999998"/>
        <n v="4905.0"/>
        <n v="5163.75"/>
        <n v="9192.48"/>
        <n v="12113.599999999999"/>
        <n v="1270.17"/>
        <n v="8479.519999999999"/>
        <n v="5134.75"/>
        <n v="5250.0"/>
        <n v="6079.05"/>
        <n v="5700.0"/>
        <n v="2006.6"/>
        <n v="12870.0"/>
        <n v="3585.12"/>
        <n v="5120.0"/>
        <n v="9600.0"/>
        <n v="5000.0"/>
        <n v="10000.0"/>
        <n v="3010.0"/>
        <n v="3088.75"/>
        <n v="14450.0"/>
        <n v="10480.0"/>
        <n v="4192.0"/>
        <n v="7900.0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11200.0"/>
        <n v="4520.0"/>
        <n v="5885.0"/>
        <n v="5131.0"/>
        <n v="18219.1"/>
        <n v="10539.5"/>
        <n v="10000.5"/>
        <n v="14619.0"/>
        <n v="22725.0"/>
        <n v="21035.0"/>
        <n v="21741.0"/>
        <n v="759.4"/>
        <n v="15120.900000000001"/>
        <n v="7416.0"/>
        <n v="5669.299999999999"/>
        <n v="5601.15"/>
        <n v="5736.0"/>
        <n v="2870.0"/>
        <n v="2841.5"/>
        <n v="11564.0"/>
        <n v="11815.0"/>
        <n v="169.45"/>
        <n v="3672.0"/>
        <n v="3458.0"/>
        <n v="2118.0"/>
        <n v="2113.0"/>
        <n v="4596.0"/>
        <n v="346.16"/>
        <n v="4584.6"/>
        <n v="4982.4"/>
        <n v="443.04"/>
        <n v="4012.07"/>
        <n v="5309.16"/>
        <n v="4018.7999999999997"/>
        <n v="612.0"/>
        <n v="5202.0"/>
        <n v="6656.0"/>
        <n v="3934.9500000000003"/>
        <n v="3076.0"/>
      </sharedItems>
    </cacheField>
    <cacheField name="Turnover" numFmtId="164">
      <sharedItems containsSemiMixedTypes="0" containsString="0" containsNumber="1">
        <n v="6213.375"/>
        <n v="36087.0"/>
        <n v="2334.75"/>
        <n v="3277.2000000000003"/>
        <n v="8559.2"/>
        <n v="3475.8"/>
        <n v="6895.999999999999"/>
        <n v="11288.8"/>
        <n v="3143.7"/>
        <n v="7033.4"/>
        <n v="7.0"/>
        <n v="21198.9"/>
        <n v="13871.5"/>
        <n v="1084.1"/>
        <n v="33659.0"/>
        <n v="7525.0"/>
        <n v="14737.980000000001"/>
        <n v="17769.5"/>
        <n v="20166.85"/>
        <n v="1765.6499999999999"/>
        <n v="6818.24"/>
        <n v="12037.5"/>
        <n v="12438.9"/>
        <n v="9192.48"/>
        <n v="12113.599999999999"/>
        <n v="1270.17"/>
        <n v="8479.519999999999"/>
        <n v="5134.75"/>
        <n v="15925.0"/>
        <n v="15621.25"/>
        <n v="6079.05"/>
        <n v="5700.0"/>
        <n v="2006.6"/>
        <n v="21792.600000000002"/>
        <n v="3585.12"/>
        <n v="13568.0"/>
        <n v="55050.0"/>
        <n v="18054.0"/>
        <n v="31035.0"/>
        <n v="3010.0"/>
        <n v="3088.75"/>
        <n v="31627.65"/>
        <n v="24935.0"/>
        <n v="16585.2"/>
        <n v="21952.5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27167.9"/>
        <n v="10080.0"/>
        <n v="5885.0"/>
        <n v="5131.0"/>
        <n v="18219.1"/>
        <n v="10539.5"/>
        <n v="10000.5"/>
        <n v="14619.0"/>
        <n v="66942.0"/>
        <n v="21035.0"/>
        <n v="21741.0"/>
        <n v="759.4"/>
        <n v="15120.900000000001"/>
        <n v="7416.0"/>
        <n v="5669.299999999999"/>
        <n v="5601.15"/>
        <n v="5736.0"/>
        <n v="2870.0"/>
        <n v="2841.5"/>
        <n v="22725.0"/>
        <n v="11564.0"/>
        <n v="11815.0"/>
        <n v="169.45"/>
        <n v="3672.0"/>
        <n v="3458.0"/>
        <n v="2118.0"/>
        <n v="4036.0"/>
        <n v="4596.0"/>
        <n v="346.16"/>
        <n v="4584.6"/>
        <n v="4982.4"/>
        <n v="443.04"/>
        <n v="4012.07"/>
        <n v="5309.16"/>
        <n v="4018.7999999999997"/>
        <n v="612.0"/>
        <n v="5202.0"/>
        <n v="6656.0"/>
        <n v="3934.9500000000003"/>
        <n v="3076.0"/>
      </sharedItems>
    </cacheField>
    <cacheField name="Unrealised P/L">
      <sharedItems containsMixedTypes="1" containsNumber="1">
        <n v="1631.6250000000002"/>
        <n v="0.0"/>
        <n v="803.25"/>
        <n v="419.7999999999996"/>
        <n v="3527.4"/>
        <n v="2108.7"/>
        <n v="1359.6000000000004"/>
        <n v="2082.5"/>
        <n v="3844.720000000001"/>
        <n v="4634.400000000001"/>
        <n v="608.8499999999999"/>
        <n v="3244.0800000000004"/>
        <n v="3368.35"/>
        <n v="4245.749999999999"/>
        <n v="15618.75"/>
        <e v="#N/A"/>
        <n v="2017.44"/>
        <n v="-38.4999999999998"/>
        <n v="-117.2499999999998"/>
        <n v="14224.0"/>
        <n v="590.0"/>
        <n v="3316.0"/>
        <n v="430.8499999999999"/>
        <n v="640.0999999999999"/>
        <n v="741.25"/>
        <n v="-1226.8500000000001"/>
        <n v="120.99999999999994"/>
        <n v="1551.9999999999995"/>
        <n v="575.0"/>
        <n v="-1192.4"/>
        <n v="861.0"/>
        <n v="4859.999999999999"/>
        <n v="591.4999999999999"/>
        <n v="13887.099999999999"/>
        <n v="1705.4999999999995"/>
        <n v="-3195.4999999999995"/>
        <n v="-1397.5500000000006"/>
        <n v="-7813.0"/>
        <n v="5507.000000000003"/>
        <n v="211.85000000000002"/>
        <n v="2986.0199999999986"/>
        <n v="1325.25"/>
        <n v="273.7000000000007"/>
        <n v="-674.0000000000002"/>
        <n v="-339.00000000000006"/>
        <n v="-393.0"/>
        <n v="-1875.0"/>
        <n v="-1440.0000000000005"/>
        <n v="-143.00000000000068"/>
        <n v="1.3700000000000045"/>
        <n v="-502.9999999999998"/>
        <n v="-964.6000000000001"/>
        <n v="-68.49999999999987"/>
        <n v="1649.6000000000004"/>
        <n v="-18.24000000000001"/>
        <n v="629.3999999999999"/>
        <n v="1263.2000000000007"/>
        <n v="14.759999999999991"/>
        <n v="-190.26000000000025"/>
        <n v="-523.9699999999993"/>
        <n v="688.2000000000003"/>
        <n v="74.70000000000002"/>
        <n v="634.9500000000002"/>
        <n v="5012.0"/>
        <n v="772.0499999999997"/>
        <n v="1221.9999999999995"/>
      </sharedItems>
    </cacheField>
    <cacheField name="U P/L %">
      <sharedItems containsMixedTypes="1" containsNumber="1">
        <n v="0.26259882913875315"/>
        <n v="0.0"/>
        <n v="0.344041117892708"/>
        <n v="0.1280971561088733"/>
        <n v="1.0148455031935093"/>
        <n v="0.6707701116518752"/>
        <n v="0.193306224585549"/>
        <n v="297.5"/>
        <n v="0.41824621864828654"/>
        <n v="0.38257825914674426"/>
        <n v="0.4793452844894777"/>
        <n v="0.6559910414333706"/>
        <n v="0.6984232733733066"/>
        <n v="2.7401315789473686"/>
        <e v="#N/A"/>
        <n v="0.5627259338599545"/>
        <n v="-0.012790697674418539"/>
        <n v="-0.03796033994334271"/>
        <n v="2.250632911392405"/>
        <n v="0.16954022988505746"/>
        <n v="0.7672373900971773"/>
        <n v="0.1183930313397359"/>
        <n v="0.18662351672060407"/>
        <n v="0.22268118663161848"/>
        <n v="-0.29087094135637825"/>
        <n v="0.04765655769988182"/>
        <n v="0.15335968379446635"/>
        <n v="0.16452074391988555"/>
        <n v="-0.2773023255813954"/>
        <n v="0.17306532663316582"/>
        <n v="0.8258283772302463"/>
        <n v="0.11527967257844472"/>
        <n v="0.7622275524037959"/>
        <n v="0.161819820674605"/>
        <n v="-0.319534023298835"/>
        <n v="-0.09559819413092556"/>
        <n v="-0.3714285714285714"/>
        <n v="0.2533002161814085"/>
        <n v="0.2789702396628918"/>
        <n v="0.1974763406940062"/>
        <n v="0.1787014563106796"/>
        <n v="0.04827756513149785"/>
        <n v="-0.1175034867503487"/>
        <n v="-0.11811846689895472"/>
        <n v="-0.13830723209572407"/>
        <n v="-0.08250825082508251"/>
        <n v="-0.12452438602559673"/>
        <n v="-0.012103258569614953"/>
        <n v="0.008084980820301001"/>
        <n v="-0.13698257080610016"/>
        <n v="-0.27894736842105267"/>
        <n v="-0.03234183191690268"/>
        <n v="0.3589208006962577"/>
        <n v="-0.052692396579616385"/>
        <n v="0.13728569558958248"/>
        <n v="0.2535324341682725"/>
        <n v="0.03331527627302273"/>
        <n v="-0.04742190440346261"/>
        <n v="-0.09869169510807724"/>
        <n v="0.1712451478053151"/>
        <n v="0.12205882352941179"/>
        <n v="0.7530048076923077"/>
        <n v="0.19620325544161926"/>
        <n v="0.39726918075422607"/>
      </sharedItems>
    </cacheField>
    <cacheField name="Change">
      <sharedItems containsMixedTypes="1" containsNumber="1">
        <n v="-6.4"/>
        <n v="0.0"/>
        <n v="-0.2"/>
        <n v="0.58"/>
        <n v="1.2"/>
        <n v="-0.25"/>
        <n v="6.4"/>
        <n v="4.5"/>
        <n v="1.6"/>
        <n v="-2.45"/>
        <e v="#N/A"/>
        <n v="-0.45"/>
        <n v="-9.2"/>
        <n v="-2.4"/>
        <n v="35.0"/>
        <n v="9.3"/>
        <n v="2.94"/>
        <n v="8.4"/>
        <n v="0.34"/>
        <n v="0.42"/>
        <n v="2.12"/>
        <n v="-8.7"/>
        <n v="-1.15"/>
        <n v="14.4"/>
        <n v="-2.3"/>
        <n v="-6.1"/>
        <n v="-3.05"/>
        <n v="-0.05"/>
        <n v="-0.01"/>
        <n v="3.33"/>
        <n v="-0.12"/>
        <n v="1.05"/>
        <n v="-0.34"/>
        <n v="4.15"/>
        <n v="-3.2"/>
        <n v="1.7"/>
      </sharedItems>
    </cacheField>
    <cacheField name="change2">
      <sharedItems containsMixedTypes="1" containsNumber="1">
        <n v="-32.0"/>
        <n v="0.0"/>
        <n v="-12.8"/>
        <n v="-2.0"/>
        <n v="34.8"/>
        <n v="26.099999999999998"/>
        <n v="13.2"/>
        <n v="-1.75"/>
        <n v="70.4"/>
        <n v="45.0"/>
        <n v="17.6"/>
        <n v="31.5"/>
        <n v="-4.6000000000000005"/>
        <n v="43.2"/>
        <n v="-183.75"/>
        <e v="#N/A"/>
        <n v="27.839999999999996"/>
        <n v="-15.75"/>
        <n v="-73.6"/>
        <n v="-2.4"/>
        <n v="35.0"/>
        <n v="27.900000000000002"/>
        <n v="58.8"/>
        <n v="57.99999999999999"/>
        <n v="33.6"/>
        <n v="28.999999999999996"/>
        <n v="170.0"/>
        <n v="21.0"/>
        <n v="402.8"/>
        <n v="-87.0"/>
        <n v="-11.5"/>
        <n v="475.2"/>
        <n v="-46.0"/>
        <n v="-122.0"/>
        <n v="-3.05"/>
        <n v="169.60000000000002"/>
        <n v="-27.45"/>
        <n v="-31.5"/>
        <n v="-10.0"/>
        <n v="-5.0"/>
        <n v="-0.5"/>
        <n v="499.5"/>
        <n v="-20.0"/>
        <n v="1.6"/>
        <n v="-12.0"/>
        <n v="14.700000000000001"/>
        <n v="-17.0"/>
        <n v="33.2"/>
        <n v="-2.72"/>
        <n v="-19.200000000000003"/>
        <n v="1.68"/>
        <n v="-7.550000000000001"/>
        <n v="-18.12"/>
        <n v="2.52"/>
        <n v="21.419999999999998"/>
        <n v="68.0"/>
      </sharedItems>
    </cacheField>
    <cacheField name="Realised P/L" numFmtId="164">
      <sharedItems containsSemiMixedTypes="0" containsString="0" containsNumber="1">
        <n v="0.0"/>
        <n v="2387.0000000000005"/>
        <n v="2126.8"/>
        <n v="249.5999999999998"/>
        <n v="2184.7999999999997"/>
        <n v="5381.1"/>
        <n v="10128.5"/>
        <n v="434.7"/>
        <n v="9823.0"/>
        <n v="300.0"/>
        <n v="4823.58"/>
        <n v="3309.5000000000005"/>
        <n v="1834.25"/>
        <n v="892.3499999999999"/>
        <n v="3154.32"/>
        <n v="2227.5000000000005"/>
        <n v="2111.4"/>
        <n v="5425.0"/>
        <n v="5121.250000000001"/>
        <n v="-3947.4"/>
        <n v="3327.9999999999995"/>
        <n v="35850.0"/>
        <n v="8054.000000000001"/>
        <n v="11035.0"/>
        <n v="2727.6500000000005"/>
        <n v="3975.0"/>
        <n v="8201.2"/>
        <n v="6152.5"/>
        <n v="4767.9"/>
        <n v="1040.0"/>
        <n v="21491.999999999996"/>
        <n v="-189.99999999999986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101" sheet="Long Term Holiding"/>
  </cacheSource>
  <cacheFields>
    <cacheField name="SYMBOL" numFmtId="164">
      <sharedItems>
        <s v="RELIANCE"/>
        <s v="GRASIM"/>
        <s v="BPCL"/>
        <s v="DIVOPPBEES"/>
        <s v="ICICIB22"/>
        <s v="ICICIBANKN"/>
        <s v="TATASTEEL"/>
        <s v="HDFCLIFE"/>
        <s v="JIOFIN"/>
        <s v="COALINDIA"/>
        <s v="ADANIGREEN"/>
        <s v="SBIN"/>
        <s v="ICICIBank"/>
        <s v="ADANIPORTS"/>
        <s v="MAFANG"/>
        <s v="AXISBANK"/>
        <s v="IRCTC"/>
        <s v="TATACONSUM"/>
        <s v="HCLTECH"/>
        <s v="EXIDEIND"/>
        <s v="TATAPOWER"/>
        <s v="ETERNAL"/>
        <s v="TATAMOTORS"/>
        <s v="WIPRO"/>
        <s v="IREDA"/>
        <s v="TATATECH"/>
        <s v="IDFCFIRSTB"/>
        <s v="HAPPYFORGE"/>
        <s v="AZAD"/>
        <s v="DOMS"/>
        <s v="LT"/>
        <s v="POLYCAB"/>
        <s v="HDFCBANK"/>
        <s v="SAIL"/>
        <s v="TATACHEM"/>
        <s v="NAUKRI"/>
        <s v="INDGN"/>
        <s v="GOLDCASE"/>
        <s v="MOVALUE"/>
        <s v="ZOMATO"/>
        <s v="ALPHAETF"/>
        <s v="ALPHA"/>
        <s v="HDFCMOMENT"/>
        <s v="ASHOKLEY"/>
        <s v="ITETF"/>
        <s v="UPL"/>
        <s v="SBICARD"/>
        <s v="SETFGOLD"/>
      </sharedItems>
    </cacheField>
    <cacheField name="Holder" numFmtId="0">
      <sharedItems>
        <s v="ESPRESSO"/>
        <s v="Savitri"/>
        <s v="Ramkishor"/>
        <s v="DHAN"/>
        <s v="Paytm"/>
        <s v="Kamal"/>
      </sharedItems>
    </cacheField>
    <cacheField name="Buy Date" numFmtId="165">
      <sharedItems containsDate="1" containsString="0" containsBlank="1">
        <d v="2023-01-18T00:00:00Z"/>
        <d v="2023-01-30T00:00:00Z"/>
        <d v="2023-02-03T00:00:00Z"/>
        <d v="2023-02-15T00:00:00Z"/>
        <d v="2023-06-14T00:00:00Z"/>
        <d v="2023-08-07T00:00:00Z"/>
        <d v="2023-08-30T00:00:00Z"/>
        <m/>
        <d v="2017-08-03T00:00:00Z"/>
        <d v="2020-01-28T00:00:00Z"/>
        <d v="2020-02-12T00:00:00Z"/>
        <d v="2021-02-26T00:00:00Z"/>
        <d v="2021-03-22T00:00:00Z"/>
        <d v="2021-05-07T00:00:00Z"/>
        <d v="2021-07-29T00:00:00Z"/>
        <d v="2021-11-08T00:00:00Z"/>
        <d v="2021-12-22T00:00:00Z"/>
        <d v="2022-11-09T00:00:00Z"/>
        <d v="2022-07-28T00:00:00Z"/>
        <d v="2022-10-24T00:00:00Z"/>
        <d v="2023-01-02T00:00:00Z"/>
        <d v="2023-01-28T00:00:00Z"/>
        <d v="2021-03-04T00:00:00Z"/>
        <d v="2023-10-05T00:00:00Z"/>
        <d v="2023-11-29T00:00:00Z"/>
        <d v="2023-11-30T00:00:00Z"/>
        <d v="2023-12-01T00:00:00Z"/>
        <d v="2023-12-29T00:00:00Z"/>
        <d v="2023-12-27T00:00:00Z"/>
        <d v="2023-12-28T00:00:00Z"/>
        <d v="2023-12-19T00:00:00Z"/>
        <d v="2024-01-02T00:00:00Z"/>
        <d v="2024-01-16T00:00:00Z"/>
        <d v="2024-01-20T00:00:00Z"/>
        <d v="2024-01-31T00:00:00Z"/>
        <d v="2024-02-13T00:00:00Z"/>
        <d v="2024-02-09T00:00:00Z"/>
        <d v="2024-02-12T00:00:00Z"/>
        <d v="2024-02-23T00:00:00Z"/>
        <d v="2024-02-27T00:00:00Z"/>
        <d v="2024-03-06T00:00:00Z"/>
        <d v="2024-03-26T00:00:00Z"/>
        <d v="2024-03-28T00:00:00Z"/>
        <d v="2024-05-13T00:00:00Z"/>
        <d v="2024-05-16T00:00:00Z"/>
        <d v="2024-05-22T00:00:00Z"/>
        <d v="2024-04-22T00:00:00Z"/>
        <d v="2024-02-26T00:00:00Z"/>
        <d v="2024-06-06T00:00:00Z"/>
        <d v="2024-07-04T00:00:00Z"/>
        <d v="2024-07-09T00:00:00Z"/>
        <d v="2024-07-15T00:00:00Z"/>
        <d v="2024-07-16T00:00:00Z"/>
        <d v="2024-07-26T00:00:00Z"/>
        <d v="2024-08-20T00:00:00Z"/>
        <d v="2024-08-21T00:00:00Z"/>
        <d v="2024-08-29T00:00:00Z"/>
        <d v="2024-09-04T00:00:00Z"/>
        <d v="2024-10-01T00:00:00Z"/>
        <d v="2024-10-28T00:00:00Z"/>
        <d v="2024-11-01T00:00:00Z"/>
        <d v="2024-11-21T00:00:00Z"/>
        <d v="2024-12-04T00:00:00Z"/>
        <d v="2025-06-04T00:00:00Z"/>
      </sharedItems>
    </cacheField>
    <cacheField name="Buy" numFmtId="164">
      <sharedItems containsSemiMixedTypes="0" containsString="0" containsNumber="1">
        <n v="1242.675"/>
        <n v="1685.0"/>
        <n v="1167.375"/>
        <n v="327.72"/>
        <n v="49.48"/>
        <n v="57.93"/>
        <n v="41.54"/>
        <n v="113.8"/>
        <n v="69.86"/>
        <n v="639.4"/>
        <n v="1.0"/>
        <n v="263.63"/>
        <n v="187.15"/>
        <n v="324.7"/>
        <n v="595.9"/>
        <n v="722.5"/>
        <n v="48.6"/>
        <n v="723.0"/>
        <n v="833.3"/>
        <n v="145.55"/>
        <n v="35.23"/>
        <n v="98.1"/>
        <n v="101.25"/>
        <n v="835.68"/>
        <n v="1211.36"/>
        <n v="115.47"/>
        <n v="223.25"/>
        <n v="210.0"/>
        <n v="225.15"/>
        <n v="76.0"/>
        <n v="501.65"/>
        <n v="715.0"/>
        <n v="74.69"/>
        <n v="32.0"/>
        <n v="500.0"/>
        <n v="86.0"/>
        <n v="88.25"/>
        <n v="850.0"/>
        <n v="524.0"/>
        <n v="790.0"/>
        <n v="3480.0"/>
        <n v="4322.0"/>
        <n v="3639.15"/>
        <n v="3429.9"/>
        <n v="3328.75"/>
        <n v="1405.95"/>
        <n v="126.95"/>
        <n v="101.2"/>
        <n v="3495.0"/>
        <n v="1075.0"/>
        <n v="99.5"/>
        <n v="5600.0"/>
        <n v="452.0"/>
        <n v="11.77"/>
        <n v="102.62"/>
        <n v="95.89"/>
        <n v="1053.95"/>
        <n v="1000.05"/>
        <n v="443.0"/>
        <n v="151.5"/>
        <n v="1051.75"/>
        <n v="1087.05"/>
        <n v="759.4"/>
        <n v="142.65"/>
        <n v="824.0"/>
        <n v="80.99"/>
        <n v="207.45"/>
        <n v="28.68"/>
        <n v="28.7"/>
        <n v="56.83"/>
        <n v="28.91"/>
        <n v="118.15"/>
        <n v="169.45"/>
        <n v="36.72"/>
        <n v="247.0"/>
        <n v="42.36"/>
        <n v="42.26"/>
        <n v="574.5"/>
        <n v="43.27"/>
        <n v="764.1"/>
        <n v="622.8"/>
        <n v="110.76"/>
        <n v="26.57"/>
        <n v="35.16"/>
        <n v="1339.6"/>
        <n v="102.0"/>
        <n v="66.56"/>
        <n v="1311.65"/>
        <n v="15.38"/>
      </sharedItems>
    </cacheField>
    <cacheField name="Sell Date" numFmtId="0">
      <sharedItems containsDate="1" containsString="0" containsBlank="1">
        <m/>
        <d v="2023-09-14T00:00:00Z"/>
        <d v="2025-01-03T00:00:00Z"/>
        <d v="2023-10-05T00:00:00Z"/>
        <d v="2024-07-10T00:00:00Z"/>
        <d v="2024-02-26T00:00:00Z"/>
        <d v="2021-06-16T00:00:00Z"/>
        <d v="2024-02-23T00:00:00Z"/>
        <d v="2024-04-22T00:00:00Z"/>
        <d v="2021-05-28T00:00:00Z"/>
        <d v="2024-11-18T00:00:00Z"/>
        <d v="2025-06-05T00:00:00Z"/>
        <d v="2023-11-29T00:00:00Z"/>
        <d v="2023-11-30T00:00:00Z"/>
        <d v="2023-12-27T00:00:00Z"/>
        <d v="2023-12-28T00:00:00Z"/>
        <d v="2025-07-14T00:00:00Z"/>
        <d v="2023-12-20T00:00:00Z"/>
        <d v="2024-10-07T00:00:00Z"/>
        <d v="2024-07-03T00:00:00Z"/>
        <d v="2024-07-12T00:00:00Z"/>
      </sharedItems>
    </cacheField>
    <cacheField name="Sell" numFmtId="164">
      <sharedItems containsSemiMixedTypes="0" containsString="0" containsNumber="1">
        <n v="0.0"/>
        <n v="1923.7"/>
        <n v="82.2"/>
        <n v="44.66"/>
        <n v="168.42"/>
        <n v="443.0"/>
        <n v="1200.0"/>
        <n v="759.4"/>
        <n v="1087.05"/>
        <n v="782.5"/>
        <n v="95.89"/>
        <n v="1053.95"/>
        <n v="1000.05"/>
        <n v="142.65"/>
        <n v="427.0"/>
        <n v="414.85"/>
        <n v="495.7"/>
        <n v="52.8"/>
        <n v="151.5"/>
        <n v="1305.4"/>
        <n v="1051.75"/>
        <n v="1010.45"/>
        <n v="722.75"/>
        <n v="1549.15"/>
        <n v="1405.25"/>
        <n v="7983.95"/>
        <n v="556.0"/>
        <n v="294.78"/>
        <n v="38.46"/>
      </sharedItems>
    </cacheField>
    <cacheField name="LTP">
      <sharedItems containsMixedTypes="1" containsNumber="1">
        <n v="1569.0"/>
        <n v="2823.1"/>
        <n v="369.7"/>
        <n v="83.27"/>
        <n v="116.72"/>
        <n v="48.75"/>
        <n v="170.82"/>
        <n v="763.0"/>
        <n v="298.5"/>
        <n v="400.65"/>
        <n v="1017.0"/>
        <n v="971.25"/>
        <n v="1362.4"/>
        <n v="1492.8"/>
        <n v="168.98"/>
        <n v="1224.5"/>
        <n v="680.5"/>
        <n v="1185.2"/>
        <n v="1674.8"/>
        <n v="370.5"/>
        <n v="382.4"/>
        <n v="284.25"/>
        <e v="#N/A"/>
        <n v="271.3"/>
        <n v="139.0"/>
        <n v="661.1"/>
        <n v="84.9"/>
        <n v="1096.0"/>
        <n v="1658.0"/>
        <n v="2568.0"/>
        <n v="4070.0"/>
        <n v="7638.0"/>
        <n v="997.0"/>
        <n v="133.0"/>
        <n v="776.9"/>
        <n v="1365.9"/>
        <n v="532.0"/>
        <n v="21.49"/>
        <n v="114.45"/>
        <n v="25.31"/>
        <n v="48.97"/>
        <n v="31.69"/>
        <n v="178.1"/>
        <n v="40.99"/>
        <n v="780.7"/>
        <n v="869.0"/>
        <n v="116.68"/>
      </sharedItems>
    </cacheField>
    <cacheField name="QTY" numFmtId="0">
      <sharedItems containsSemiMixedTypes="0" containsString="0" containsNumber="1" containsInteger="1">
        <n v="5.0"/>
        <n v="10.0"/>
        <n v="2.0"/>
        <n v="65.0"/>
        <n v="60.0"/>
        <n v="80.0"/>
        <n v="40.0"/>
        <n v="45.0"/>
        <n v="11.0"/>
        <n v="7.0"/>
        <n v="30.0"/>
        <n v="1.0"/>
        <n v="20.0"/>
        <n v="102.0"/>
        <n v="3.0"/>
        <n v="52.0"/>
        <n v="50.0"/>
        <n v="51.0"/>
        <n v="23.0"/>
        <n v="25.0"/>
        <n v="27.0"/>
        <n v="75.0"/>
        <n v="4.0"/>
        <n v="18.0"/>
        <n v="48.0"/>
        <n v="160.0"/>
        <n v="300.0"/>
        <n v="35.0"/>
        <n v="17.0"/>
        <n v="8.0"/>
        <n v="100.0"/>
        <n v="500.0"/>
        <n v="190.0"/>
        <n v="33.0"/>
        <n v="150.0"/>
        <n v="106.0"/>
        <n v="9.0"/>
        <n v="70.0"/>
        <n v="200.0"/>
        <n v="400.0"/>
        <n v="14.0"/>
        <n v="6.0"/>
        <n v="151.0"/>
      </sharedItems>
    </cacheField>
    <cacheField name="Invested" numFmtId="164">
      <sharedItems containsSemiMixedTypes="0" containsString="0" containsNumber="1">
        <n v="6213.375"/>
        <n v="16850.0"/>
        <n v="2334.75"/>
        <n v="3277.2000000000003"/>
        <n v="3216.2"/>
        <n v="3475.8"/>
        <n v="3323.2"/>
        <n v="4552.0"/>
        <n v="3143.7"/>
        <n v="7033.4"/>
        <n v="7.0"/>
        <n v="7908.9"/>
        <n v="1871.5"/>
        <n v="324.7"/>
        <n v="11918.0"/>
        <n v="3612.5"/>
        <n v="4957.2"/>
        <n v="7230.0"/>
        <n v="9166.3"/>
        <n v="436.65000000000003"/>
        <n v="1831.9599999999998"/>
        <n v="4905.0"/>
        <n v="5163.75"/>
        <n v="9192.48"/>
        <n v="12113.599999999999"/>
        <n v="1270.17"/>
        <n v="8479.519999999999"/>
        <n v="5134.75"/>
        <n v="5250.0"/>
        <n v="6079.05"/>
        <n v="5700.0"/>
        <n v="2006.6"/>
        <n v="12870.0"/>
        <n v="3585.12"/>
        <n v="5120.0"/>
        <n v="9600.0"/>
        <n v="5000.0"/>
        <n v="10000.0"/>
        <n v="3010.0"/>
        <n v="3088.75"/>
        <n v="14450.0"/>
        <n v="10480.0"/>
        <n v="4192.0"/>
        <n v="7900.0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11200.0"/>
        <n v="4520.0"/>
        <n v="5885.0"/>
        <n v="5131.0"/>
        <n v="18219.1"/>
        <n v="10539.5"/>
        <n v="10000.5"/>
        <n v="14619.0"/>
        <n v="22725.0"/>
        <n v="21035.0"/>
        <n v="21741.0"/>
        <n v="759.4"/>
        <n v="15120.900000000001"/>
        <n v="7416.0"/>
        <n v="5669.299999999999"/>
        <n v="5601.15"/>
        <n v="5736.0"/>
        <n v="2870.0"/>
        <n v="2841.5"/>
        <n v="11564.0"/>
        <n v="11815.0"/>
        <n v="169.45"/>
        <n v="3672.0"/>
        <n v="3458.0"/>
        <n v="2118.0"/>
        <n v="2113.0"/>
        <n v="4596.0"/>
        <n v="346.16"/>
        <n v="4584.6"/>
        <n v="4982.4"/>
        <n v="443.04"/>
        <n v="4012.07"/>
        <n v="5309.16"/>
        <n v="4018.7999999999997"/>
        <n v="612.0"/>
        <n v="5202.0"/>
        <n v="6656.0"/>
        <n v="3934.9500000000003"/>
        <n v="3076.0"/>
      </sharedItems>
    </cacheField>
    <cacheField name="Turnover" numFmtId="164">
      <sharedItems containsSemiMixedTypes="0" containsString="0" containsNumber="1">
        <n v="6213.375"/>
        <n v="36087.0"/>
        <n v="2334.75"/>
        <n v="3277.2000000000003"/>
        <n v="8559.2"/>
        <n v="3475.8"/>
        <n v="6895.999999999999"/>
        <n v="11288.8"/>
        <n v="3143.7"/>
        <n v="7033.4"/>
        <n v="7.0"/>
        <n v="21198.9"/>
        <n v="13871.5"/>
        <n v="1084.1"/>
        <n v="33659.0"/>
        <n v="7525.0"/>
        <n v="14737.980000000001"/>
        <n v="17769.5"/>
        <n v="20166.85"/>
        <n v="1765.6499999999999"/>
        <n v="6818.24"/>
        <n v="12037.5"/>
        <n v="12438.9"/>
        <n v="9192.48"/>
        <n v="12113.599999999999"/>
        <n v="1270.17"/>
        <n v="8479.519999999999"/>
        <n v="5134.75"/>
        <n v="15925.0"/>
        <n v="15621.25"/>
        <n v="6079.05"/>
        <n v="5700.0"/>
        <n v="2006.6"/>
        <n v="21792.600000000002"/>
        <n v="3585.12"/>
        <n v="13568.0"/>
        <n v="55050.0"/>
        <n v="18054.0"/>
        <n v="31035.0"/>
        <n v="3010.0"/>
        <n v="3088.75"/>
        <n v="31627.65"/>
        <n v="24935.0"/>
        <n v="16585.2"/>
        <n v="21952.5"/>
        <n v="6320.0"/>
        <n v="3480.0"/>
        <n v="4322.0"/>
        <n v="3639.15"/>
        <n v="3429.9"/>
        <n v="3328.75"/>
        <n v="4217.85"/>
        <n v="2539.0"/>
        <n v="10120.0"/>
        <n v="3495.0"/>
        <n v="4300.0"/>
        <n v="4975.0"/>
        <n v="27167.9"/>
        <n v="10080.0"/>
        <n v="5885.0"/>
        <n v="5131.0"/>
        <n v="18219.1"/>
        <n v="10539.5"/>
        <n v="10000.5"/>
        <n v="14619.0"/>
        <n v="66942.0"/>
        <n v="21035.0"/>
        <n v="21741.0"/>
        <n v="759.4"/>
        <n v="15120.900000000001"/>
        <n v="7416.0"/>
        <n v="5669.299999999999"/>
        <n v="5601.15"/>
        <n v="5736.0"/>
        <n v="2870.0"/>
        <n v="2841.5"/>
        <n v="22725.0"/>
        <n v="11564.0"/>
        <n v="11815.0"/>
        <n v="169.45"/>
        <n v="3672.0"/>
        <n v="3458.0"/>
        <n v="2118.0"/>
        <n v="4036.0"/>
        <n v="4596.0"/>
        <n v="346.16"/>
        <n v="4584.6"/>
        <n v="4982.4"/>
        <n v="443.04"/>
        <n v="4012.07"/>
        <n v="5309.16"/>
        <n v="4018.7999999999997"/>
        <n v="612.0"/>
        <n v="5202.0"/>
        <n v="6656.0"/>
        <n v="3934.9500000000003"/>
        <n v="3076.0"/>
      </sharedItems>
    </cacheField>
    <cacheField name="Unrealised P/L">
      <sharedItems containsMixedTypes="1" containsNumber="1">
        <n v="1631.6250000000002"/>
        <n v="0.0"/>
        <n v="803.25"/>
        <n v="419.7999999999996"/>
        <n v="3527.4"/>
        <n v="2108.7"/>
        <n v="1359.6000000000004"/>
        <n v="2082.5"/>
        <n v="3844.720000000001"/>
        <n v="4634.400000000001"/>
        <n v="608.8499999999999"/>
        <n v="3244.0800000000004"/>
        <n v="3368.35"/>
        <n v="4245.749999999999"/>
        <n v="15618.75"/>
        <e v="#N/A"/>
        <n v="2017.44"/>
        <n v="-38.4999999999998"/>
        <n v="-117.2499999999998"/>
        <n v="14224.0"/>
        <n v="590.0"/>
        <n v="3316.0"/>
        <n v="430.8499999999999"/>
        <n v="640.0999999999999"/>
        <n v="741.25"/>
        <n v="-1226.8500000000001"/>
        <n v="120.99999999999994"/>
        <n v="1551.9999999999995"/>
        <n v="575.0"/>
        <n v="-1192.4"/>
        <n v="861.0"/>
        <n v="4859.999999999999"/>
        <n v="591.4999999999999"/>
        <n v="13887.099999999999"/>
        <n v="1705.4999999999995"/>
        <n v="-3195.4999999999995"/>
        <n v="-1397.5500000000006"/>
        <n v="-7813.0"/>
        <n v="5507.000000000003"/>
        <n v="211.85000000000002"/>
        <n v="2986.0199999999986"/>
        <n v="1325.25"/>
        <n v="273.7000000000007"/>
        <n v="-674.0000000000002"/>
        <n v="-339.00000000000006"/>
        <n v="-393.0"/>
        <n v="-1875.0"/>
        <n v="-1440.0000000000005"/>
        <n v="-143.00000000000068"/>
        <n v="1.3700000000000045"/>
        <n v="-502.9999999999998"/>
        <n v="-964.6000000000001"/>
        <n v="-68.49999999999987"/>
        <n v="1649.6000000000004"/>
        <n v="-18.24000000000001"/>
        <n v="629.3999999999999"/>
        <n v="1263.2000000000007"/>
        <n v="14.759999999999991"/>
        <n v="-190.26000000000025"/>
        <n v="-523.9699999999993"/>
        <n v="688.2000000000003"/>
        <n v="74.70000000000002"/>
        <n v="634.9500000000002"/>
        <n v="5012.0"/>
        <n v="772.0499999999997"/>
        <n v="1221.9999999999995"/>
      </sharedItems>
    </cacheField>
    <cacheField name="U P/L %">
      <sharedItems containsMixedTypes="1" containsNumber="1">
        <n v="0.26259882913875315"/>
        <n v="0.0"/>
        <n v="0.344041117892708"/>
        <n v="0.1280971561088733"/>
        <n v="1.0148455031935093"/>
        <n v="0.6707701116518752"/>
        <n v="0.193306224585549"/>
        <n v="297.5"/>
        <n v="0.41824621864828654"/>
        <n v="0.38257825914674426"/>
        <n v="0.4793452844894777"/>
        <n v="0.6559910414333706"/>
        <n v="0.6984232733733066"/>
        <n v="2.7401315789473686"/>
        <e v="#N/A"/>
        <n v="0.5627259338599545"/>
        <n v="-0.012790697674418539"/>
        <n v="-0.03796033994334271"/>
        <n v="2.250632911392405"/>
        <n v="0.16954022988505746"/>
        <n v="0.7672373900971773"/>
        <n v="0.1183930313397359"/>
        <n v="0.18662351672060407"/>
        <n v="0.22268118663161848"/>
        <n v="-0.29087094135637825"/>
        <n v="0.04765655769988182"/>
        <n v="0.15335968379446635"/>
        <n v="0.16452074391988555"/>
        <n v="-0.2773023255813954"/>
        <n v="0.17306532663316582"/>
        <n v="0.8258283772302463"/>
        <n v="0.11527967257844472"/>
        <n v="0.7622275524037959"/>
        <n v="0.161819820674605"/>
        <n v="-0.319534023298835"/>
        <n v="-0.09559819413092556"/>
        <n v="-0.3714285714285714"/>
        <n v="0.2533002161814085"/>
        <n v="0.2789702396628918"/>
        <n v="0.1974763406940062"/>
        <n v="0.1787014563106796"/>
        <n v="0.04827756513149785"/>
        <n v="-0.1175034867503487"/>
        <n v="-0.11811846689895472"/>
        <n v="-0.13830723209572407"/>
        <n v="-0.08250825082508251"/>
        <n v="-0.12452438602559673"/>
        <n v="-0.012103258569614953"/>
        <n v="0.008084980820301001"/>
        <n v="-0.13698257080610016"/>
        <n v="-0.27894736842105267"/>
        <n v="-0.03234183191690268"/>
        <n v="0.3589208006962577"/>
        <n v="-0.052692396579616385"/>
        <n v="0.13728569558958248"/>
        <n v="0.2535324341682725"/>
        <n v="0.03331527627302273"/>
        <n v="-0.04742190440346261"/>
        <n v="-0.09869169510807724"/>
        <n v="0.1712451478053151"/>
        <n v="0.12205882352941179"/>
        <n v="0.7530048076923077"/>
        <n v="0.19620325544161926"/>
        <n v="0.39726918075422607"/>
      </sharedItems>
    </cacheField>
    <cacheField name="Change">
      <sharedItems containsMixedTypes="1" containsNumber="1">
        <n v="-6.4"/>
        <n v="0.0"/>
        <n v="-0.2"/>
        <n v="0.58"/>
        <n v="1.2"/>
        <n v="-0.25"/>
        <n v="6.4"/>
        <n v="4.5"/>
        <n v="1.6"/>
        <n v="-2.45"/>
        <e v="#N/A"/>
        <n v="-0.45"/>
        <n v="-9.2"/>
        <n v="-2.4"/>
        <n v="35.0"/>
        <n v="9.3"/>
        <n v="2.94"/>
        <n v="8.4"/>
        <n v="0.34"/>
        <n v="0.42"/>
        <n v="2.12"/>
        <n v="-8.7"/>
        <n v="-1.15"/>
        <n v="14.4"/>
        <n v="-2.3"/>
        <n v="-6.1"/>
        <n v="-3.05"/>
        <n v="-0.05"/>
        <n v="-0.01"/>
        <n v="3.33"/>
        <n v="-0.12"/>
        <n v="1.05"/>
        <n v="-0.34"/>
        <n v="4.15"/>
        <n v="-3.2"/>
        <n v="1.7"/>
      </sharedItems>
    </cacheField>
    <cacheField name="change2">
      <sharedItems containsMixedTypes="1" containsNumber="1">
        <n v="-32.0"/>
        <n v="0.0"/>
        <n v="-12.8"/>
        <n v="-2.0"/>
        <n v="34.8"/>
        <n v="26.099999999999998"/>
        <n v="13.2"/>
        <n v="-1.75"/>
        <n v="70.4"/>
        <n v="45.0"/>
        <n v="17.6"/>
        <n v="31.5"/>
        <n v="-4.6000000000000005"/>
        <n v="43.2"/>
        <n v="-183.75"/>
        <e v="#N/A"/>
        <n v="27.839999999999996"/>
        <n v="-15.75"/>
        <n v="-73.6"/>
        <n v="-2.4"/>
        <n v="35.0"/>
        <n v="27.900000000000002"/>
        <n v="58.8"/>
        <n v="57.99999999999999"/>
        <n v="33.6"/>
        <n v="28.999999999999996"/>
        <n v="170.0"/>
        <n v="21.0"/>
        <n v="402.8"/>
        <n v="-87.0"/>
        <n v="-11.5"/>
        <n v="475.2"/>
        <n v="-46.0"/>
        <n v="-122.0"/>
        <n v="-3.05"/>
        <n v="169.60000000000002"/>
        <n v="-27.45"/>
        <n v="-31.5"/>
        <n v="-10.0"/>
        <n v="-5.0"/>
        <n v="-0.5"/>
        <n v="499.5"/>
        <n v="-20.0"/>
        <n v="1.6"/>
        <n v="-12.0"/>
        <n v="14.700000000000001"/>
        <n v="-17.0"/>
        <n v="33.2"/>
        <n v="-2.72"/>
        <n v="-19.200000000000003"/>
        <n v="1.68"/>
        <n v="-7.550000000000001"/>
        <n v="-18.12"/>
        <n v="2.52"/>
        <n v="21.419999999999998"/>
        <n v="68.0"/>
      </sharedItems>
    </cacheField>
    <cacheField name="Realised P/L" numFmtId="164">
      <sharedItems containsSemiMixedTypes="0" containsString="0" containsNumber="1">
        <n v="0.0"/>
        <n v="2387.0000000000005"/>
        <n v="2126.8"/>
        <n v="249.5999999999998"/>
        <n v="2184.7999999999997"/>
        <n v="5381.1"/>
        <n v="10128.5"/>
        <n v="434.7"/>
        <n v="9823.0"/>
        <n v="300.0"/>
        <n v="4823.58"/>
        <n v="3309.5000000000005"/>
        <n v="1834.25"/>
        <n v="892.3499999999999"/>
        <n v="3154.32"/>
        <n v="2227.5000000000005"/>
        <n v="2111.4"/>
        <n v="5425.0"/>
        <n v="5121.250000000001"/>
        <n v="-3947.4"/>
        <n v="3327.9999999999995"/>
        <n v="35850.0"/>
        <n v="8054.000000000001"/>
        <n v="11035.0"/>
        <n v="2727.6500000000005"/>
        <n v="3975.0"/>
        <n v="8201.2"/>
        <n v="6152.5"/>
        <n v="4767.9"/>
        <n v="1040.0"/>
        <n v="21491.999999999996"/>
        <n v="-189.99999999999986"/>
      </sharedItems>
    </cacheField>
    <cacheField name="R P/L %" numFmtId="10">
      <sharedItems containsSemiMixedTypes="0" containsString="0" containsNumber="1">
        <n v="0.0"/>
        <n v="0.14166172106824929"/>
        <n v="0.6612772837510107"/>
        <n v="0.07510832932113619"/>
        <n v="0.4799648506151142"/>
        <n v="0.6803853886128286"/>
        <n v="5.411969008816457"/>
        <n v="1.3387742531567601"/>
        <n v="0.8242154723946971"/>
        <n v="0.08304498269896193"/>
        <n v="0.9730452674897119"/>
        <n v="0.45774550484094056"/>
        <n v="0.2001080043201728"/>
        <n v="2.043627619374785"/>
        <n v="1.7218279875106446"/>
        <n v="0.45412844036697264"/>
        <n v="0.40888888888888897"/>
        <n v="1.0333333333333334"/>
        <n v="0.9754761904761906"/>
        <n v="-0.30671328671328674"/>
        <n v="0.6499999999999999"/>
        <n v="3.734375"/>
        <n v="1.6108000000000002"/>
        <n v="1.1035"/>
        <n v="0.188764705882353"/>
        <n v="0.37929389312977096"/>
        <n v="1.9563931297709924"/>
        <n v="0.7787974683544304"/>
        <n v="0.4257053571428571"/>
        <n v="0.23008849557522124"/>
        <n v="0.9457425742574256"/>
        <n v="-0.08991954566966393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87" sheet="Dividend"/>
  </cacheSource>
  <cacheFields>
    <cacheField name="Date" numFmtId="165">
      <sharedItems containsDate="1" containsString="0" containsBlank="1">
        <d v="2022-03-11T00:00:00Z"/>
        <d v="2022-06-29T00:00:00Z"/>
        <d v="2022-07-08T00:00:00Z"/>
        <d v="2022-08-02T00:00:00Z"/>
        <d v="2022-08-26T00:00:00Z"/>
        <d v="2022-11-02T00:00:00Z"/>
        <d v="2022-11-28T00:00:00Z"/>
        <d v="2023-02-01T00:00:00Z"/>
        <d v="2023-02-24T00:00:00Z"/>
        <d v="2023-05-09T00:00:00Z"/>
        <d v="2023-06-08T00:00:00Z"/>
        <d v="2023-06-21T00:00:00Z"/>
        <d v="2023-06-22T00:00:00Z"/>
        <d v="2023-06-30T00:00:00Z"/>
        <d v="2023-08-01T00:00:00Z"/>
        <d v="2023-07-21T00:00:00Z"/>
        <d v="2023-08-11T00:00:00Z"/>
        <d v="2023-08-14T00:00:00Z"/>
        <d v="2023-08-25T00:00:00Z"/>
        <d v="2023-08-28T00:00:00Z"/>
        <d v="2023-08-29T00:00:00Z"/>
        <d v="2023-09-01T00:00:00Z"/>
        <d v="2023-09-05T00:00:00Z"/>
        <d v="2023-09-18T00:00:00Z"/>
        <d v="2023-09-25T00:00:00Z"/>
        <d v="2023-10-31T00:00:00Z"/>
        <d v="2023-10-19T00:00:00Z"/>
        <d v="2023-11-23T00:00:00Z"/>
        <d v="2023-12-01T00:00:00Z"/>
        <d v="2023-12-22T00:00:00Z"/>
        <d v="2024-01-31T00:00:00Z"/>
        <d v="2024-02-06T00:00:00Z"/>
        <d v="2024-02-20T00:00:00Z"/>
        <d v="2024-05-10T00:00:00Z"/>
        <d v="2024-05-15T00:00:00Z"/>
        <d v="2024-06-12T00:00:00Z"/>
        <d v="2024-06-18T00:00:00Z"/>
        <d v="2023-06-14T00:00:00Z"/>
        <d v="2023-07-10T00:00:00Z"/>
        <d v="2023-08-02T00:00:00Z"/>
        <d v="2023-12-07T00:00:00Z"/>
        <d v="2024-03-06T00:00:00Z"/>
        <d v="2024-06-05T00:00:00Z"/>
        <d v="2024-06-25T00:00:00Z"/>
        <d v="2024-06-26T00:00:00Z"/>
        <d v="2024-07-09T00:00:00Z"/>
        <d v="2024-07-16T00:00:00Z"/>
        <d v="2024-06-21T00:00:00Z"/>
        <m/>
        <d v="2024-07-19T00:00:00Z"/>
        <d v="2024-07-18T00:00:00Z"/>
        <d v="2024-08-01T00:00:00Z"/>
        <d v="2024-08-30T00:00:00Z"/>
        <d v="2024-07-29T00:00:00Z"/>
        <d v="2024-08-07T00:00:00Z"/>
        <d v="2024-08-09T00:00:00Z"/>
        <d v="2024-09-19T00:00:00Z"/>
        <d v="2024-11-06T00:00:00Z"/>
        <d v="2024-10-25T00:00:00Z"/>
      </sharedItems>
    </cacheField>
    <cacheField name="Payment_Date" numFmtId="0">
      <sharedItems containsDate="1" containsString="0" containsBlank="1">
        <m/>
        <d v="2023-07-19T00:00:00Z"/>
        <d v="2023-08-11T00:00:00Z"/>
        <d v="2023-11-07T00:00:00Z"/>
        <d v="2024-03-11T00:00:00Z"/>
        <d v="2024-07-18T00:00:00Z"/>
        <d v="2024-07-19T00:00:00Z"/>
        <d v="2024-11-28T00:00:00Z"/>
        <d v="2024-11-21T00:00:00Z"/>
        <d v="2024-08-01T00:00:00Z"/>
        <d v="2024-07-31T00:00:00Z"/>
        <d v="2024-08-12T00:00:00Z"/>
        <d v="2024-08-29T00:00:00Z"/>
        <d v="2024-08-30T00:00:00Z"/>
        <d v="2024-09-02T00:00:00Z"/>
        <d v="2024-09-10T00:00:00Z"/>
        <d v="2024-09-23T00:00:00Z"/>
      </sharedItems>
    </cacheField>
    <cacheField name="Holder" numFmtId="0">
      <sharedItems>
        <s v="DASHRATHLAL"/>
        <s v="RASHMI"/>
        <s v="ESPRESSO"/>
        <s v="DHAN"/>
        <s v="KAMAL"/>
      </sharedItems>
    </cacheField>
    <cacheField name="Symbol" numFmtId="0">
      <sharedItems>
        <s v="HCLTECH"/>
        <s v="TATACONSUM"/>
        <s v="CAMS"/>
        <s v="TATAPOWER"/>
        <s v="TATASTEEL"/>
        <s v="TATACHEM"/>
        <s v="BOB"/>
        <s v="CIPLA"/>
        <s v="TATAMOTORS"/>
        <s v="EXIDE"/>
        <s v="HDFCBANK"/>
        <s v="GRASIM"/>
        <s v="RELIANCE"/>
        <s v="ICICIBANK"/>
        <s v="BPCL"/>
        <s v="IRCTC"/>
        <s v="RAILTEL"/>
        <s v="TCS"/>
        <s v="WIPRO"/>
        <s v="SAIL"/>
        <s v="SBI"/>
        <s v="AXISBANK"/>
        <s v="COALINDIA"/>
        <s v="SBIN"/>
        <s v="TATATECH"/>
        <s v="LT"/>
        <s v="POLYCAB"/>
        <s v="HDFCLIFE"/>
        <s v="CHOLAMANDALAM INV"/>
        <s v="INFO EDGE"/>
        <s v="EICHER MOTORS"/>
        <s v="HINDALCO"/>
        <s v="LAURUS LABS"/>
        <s v="DALBHARAT"/>
        <s v="JSWSTEEL"/>
      </sharedItems>
    </cacheField>
    <cacheField name="Amount" numFmtId="164">
      <sharedItems containsSemiMixedTypes="0" containsString="0" containsNumber="1">
        <n v="306.0"/>
        <n v="72.6"/>
        <n v="36.0"/>
        <n v="170.0"/>
        <n v="20.25"/>
        <n v="25.5"/>
        <n v="31.5"/>
        <n v="198.0"/>
        <n v="101.4"/>
        <n v="54.0"/>
        <n v="144.0"/>
        <n v="262.5"/>
        <n v="137.5"/>
        <n v="110.0"/>
        <n v="34.0"/>
        <n v="8.0"/>
        <n v="100.0"/>
        <n v="171.0"/>
        <n v="24.0"/>
        <n v="63.0"/>
        <n v="176.0"/>
        <n v="240.0"/>
        <n v="132.0"/>
        <n v="44.0"/>
        <n v="78.75"/>
        <n v="204.0"/>
        <n v="99.0"/>
        <n v="48.0"/>
        <n v="55.0"/>
        <n v="1260.0"/>
        <n v="693.0"/>
        <n v="18.0"/>
        <n v="20.0"/>
        <n v="97.5"/>
        <n v="60.0"/>
        <n v="93.0"/>
        <n v="11.3"/>
        <n v="363.6"/>
        <n v="10.0"/>
        <n v="160.0"/>
        <n v="22.0"/>
        <n v="27.5"/>
        <n v="503.0"/>
        <n v="173.0"/>
        <n v="13.7"/>
        <n v="114.0"/>
        <n v="201.0"/>
        <n v="140.0"/>
        <n v="30.0"/>
        <n v="381.6"/>
        <n v="7.0"/>
        <n v="32.4"/>
        <n v="51.0"/>
        <n v="35.0"/>
        <n v="6.0"/>
        <n v="146.0"/>
        <n v="40.0"/>
        <n v="520.0"/>
        <n v="98.0"/>
        <n v="70.0"/>
        <n v="200.0"/>
        <n v="165.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65" sheet="Dividend"/>
  </cacheSource>
  <cacheFields>
    <cacheField name="Date" numFmtId="165">
      <sharedItems containsDate="1" containsString="0" containsBlank="1">
        <d v="2022-03-11T00:00:00Z"/>
        <d v="2022-06-29T00:00:00Z"/>
        <d v="2022-07-08T00:00:00Z"/>
        <d v="2022-08-02T00:00:00Z"/>
        <d v="2022-08-26T00:00:00Z"/>
        <d v="2022-11-02T00:00:00Z"/>
        <d v="2022-11-28T00:00:00Z"/>
        <d v="2023-02-01T00:00:00Z"/>
        <d v="2023-02-24T00:00:00Z"/>
        <d v="2023-05-09T00:00:00Z"/>
        <d v="2023-06-08T00:00:00Z"/>
        <d v="2023-06-21T00:00:00Z"/>
        <d v="2023-06-22T00:00:00Z"/>
        <d v="2023-06-30T00:00:00Z"/>
        <d v="2023-08-01T00:00:00Z"/>
        <d v="2023-07-21T00:00:00Z"/>
        <d v="2023-08-11T00:00:00Z"/>
        <d v="2023-08-14T00:00:00Z"/>
        <d v="2023-08-25T00:00:00Z"/>
        <d v="2023-08-28T00:00:00Z"/>
        <d v="2023-08-29T00:00:00Z"/>
        <d v="2023-09-01T00:00:00Z"/>
        <d v="2023-09-05T00:00:00Z"/>
        <d v="2023-09-18T00:00:00Z"/>
        <d v="2023-09-25T00:00:00Z"/>
        <d v="2023-10-31T00:00:00Z"/>
        <d v="2023-10-19T00:00:00Z"/>
        <d v="2023-11-23T00:00:00Z"/>
        <d v="2023-12-01T00:00:00Z"/>
        <d v="2023-12-22T00:00:00Z"/>
        <d v="2024-01-31T00:00:00Z"/>
        <d v="2024-02-06T00:00:00Z"/>
        <d v="2024-02-20T00:00:00Z"/>
        <d v="2024-05-10T00:00:00Z"/>
        <d v="2024-05-15T00:00:00Z"/>
        <d v="2024-06-12T00:00:00Z"/>
        <d v="2024-06-18T00:00:00Z"/>
        <d v="2023-06-14T00:00:00Z"/>
        <d v="2023-07-10T00:00:00Z"/>
        <d v="2023-08-02T00:00:00Z"/>
        <d v="2023-12-07T00:00:00Z"/>
        <d v="2024-03-06T00:00:00Z"/>
        <d v="2024-06-05T00:00:00Z"/>
        <d v="2024-06-25T00:00:00Z"/>
        <d v="2024-06-26T00:00:00Z"/>
        <d v="2024-07-09T00:00:00Z"/>
        <d v="2024-07-16T00:00:00Z"/>
        <d v="2024-06-21T00:00:00Z"/>
        <m/>
      </sharedItems>
    </cacheField>
    <cacheField name="Payment_Date" numFmtId="0">
      <sharedItems containsDate="1" containsString="0" containsBlank="1">
        <m/>
        <d v="2023-07-19T00:00:00Z"/>
        <d v="2023-08-11T00:00:00Z"/>
        <d v="2023-11-07T00:00:00Z"/>
        <d v="2024-03-11T00:00:00Z"/>
        <d v="2024-07-18T00:00:00Z"/>
        <d v="2024-07-19T00:00:00Z"/>
      </sharedItems>
    </cacheField>
    <cacheField name="Holder" numFmtId="0">
      <sharedItems>
        <s v="DASHRATHLAL"/>
        <s v="RASHMI"/>
        <s v="ESPRESSO"/>
        <s v="DHAN"/>
        <s v="KAMAL"/>
      </sharedItems>
    </cacheField>
    <cacheField name="Symbol" numFmtId="0">
      <sharedItems>
        <s v="HCLTECH"/>
        <s v="TATACONSUM"/>
        <s v="CAMS"/>
        <s v="TATAPOWER"/>
        <s v="TATASTEEL"/>
        <s v="TATACHEM"/>
        <s v="BOB"/>
        <s v="CIPLA"/>
        <s v="TATAMOTORS"/>
        <s v="EXIDE"/>
        <s v="HDFCBANK"/>
        <s v="GRASIM"/>
        <s v="RELIANCE"/>
        <s v="ICICIBANK"/>
        <s v="BPCL"/>
        <s v="IRCTC"/>
        <s v="RAILTEL"/>
        <s v="TCS"/>
        <s v="WIPRO"/>
        <s v="SAIL"/>
        <s v="SBI"/>
        <s v="AXISBANK"/>
        <s v="COALINDIA"/>
        <s v="SBIN"/>
        <s v="TATATECH"/>
        <s v="LT"/>
        <s v="POLYCAB"/>
        <s v="HDFCLIFE"/>
      </sharedItems>
    </cacheField>
    <cacheField name="Amount" numFmtId="164">
      <sharedItems containsSemiMixedTypes="0" containsString="0" containsNumber="1">
        <n v="306.0"/>
        <n v="72.6"/>
        <n v="36.0"/>
        <n v="170.0"/>
        <n v="20.25"/>
        <n v="25.5"/>
        <n v="31.5"/>
        <n v="198.0"/>
        <n v="101.4"/>
        <n v="54.0"/>
        <n v="144.0"/>
        <n v="262.5"/>
        <n v="137.5"/>
        <n v="110.0"/>
        <n v="34.0"/>
        <n v="8.0"/>
        <n v="100.0"/>
        <n v="171.0"/>
        <n v="24.0"/>
        <n v="63.0"/>
        <n v="176.0"/>
        <n v="240.0"/>
        <n v="132.0"/>
        <n v="44.0"/>
        <n v="78.75"/>
        <n v="204.0"/>
        <n v="99.0"/>
        <n v="48.0"/>
        <n v="55.0"/>
        <n v="1260.0"/>
        <n v="693.0"/>
        <n v="18.0"/>
        <n v="20.0"/>
        <n v="97.5"/>
        <n v="60.0"/>
        <n v="93.0"/>
        <n v="11.3"/>
        <n v="363.6"/>
        <n v="10.0"/>
        <n v="160.0"/>
        <n v="22.0"/>
        <n v="27.5"/>
        <n v="503.0"/>
        <n v="173.0"/>
        <n v="13.7"/>
        <n v="114.0"/>
        <n v="201.0"/>
        <n v="140.0"/>
        <n v="30.0"/>
        <n v="381.6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53" sheet="Equity_Trade-2024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TATACHEM"/>
        <s v="CHAMBLFERT"/>
        <s v="HDFCLIFE"/>
        <s v="SAIL"/>
        <s v="INDGN"/>
        <s v="JSWSTEEL"/>
        <s v="HINDALCO"/>
        <s v="OIL"/>
        <s v="CHOLAFIN"/>
        <s v="GLENMARK"/>
        <s v="LICHSGFIN"/>
        <s v="ITC"/>
        <s v="LAURUSLABS"/>
        <s v="AARTIIND"/>
        <s v="ZYDUSLIFE"/>
        <s v="NORTHARC"/>
        <s v="DALBHARAT"/>
        <s v="INDIGOPNTS"/>
        <s v="HDFCBANK"/>
        <s v="VMM"/>
        <s v="IGIL"/>
        <s v="ANGELONE"/>
        <s v="JIOFIN"/>
        <s v="TATAMOTORS"/>
        <s v="HINDZINC"/>
        <s v="IREDA"/>
        <s v="GODREJPROP"/>
        <m/>
      </sharedItems>
    </cacheField>
    <cacheField name="Holder" numFmtId="0">
      <sharedItems containsBlank="1">
        <s v="DHAN"/>
        <s v="RAM"/>
        <s v="KAMAL"/>
        <s v="ESPRESSO"/>
        <s v="FYERS"/>
        <s v="Paytm"/>
        <s v="ANGELONE"/>
        <m/>
      </sharedItems>
    </cacheField>
    <cacheField name="Buy Date" numFmtId="165">
      <sharedItems containsDate="1" containsString="0" containsBlank="1">
        <d v="2024-03-06T00:00:00Z"/>
        <d v="2024-03-11T00:00:00Z"/>
        <d v="2024-03-26T00:00:00Z"/>
        <d v="2024-05-13T00:00:00Z"/>
        <d v="2024-04-29T00:00:00Z"/>
        <d v="2024-05-23T00:00:00Z"/>
        <d v="2024-05-27T00:00:00Z"/>
        <d v="2024-06-10T00:00:00Z"/>
        <d v="2024-06-21T00:00:00Z"/>
        <d v="2024-07-03T00:00:00Z"/>
        <d v="2024-07-09T00:00:00Z"/>
        <d v="2024-07-10T00:00:00Z"/>
        <d v="2024-12-04T00:00:00Z"/>
        <d v="2024-07-26T00:00:00Z"/>
        <d v="2024-09-24T00:00:00Z"/>
        <d v="2024-10-01T00:00:00Z"/>
        <d v="2024-10-21T00:00:00Z"/>
        <d v="2024-04-02T00:00:00Z"/>
        <d v="2024-12-18T00:00:00Z"/>
        <d v="2024-12-20T00:00:00Z"/>
        <d v="2025-01-01T00:00:00Z"/>
        <d v="2025-05-14T00:00:00Z"/>
        <d v="2025-05-20T00:00:00Z"/>
        <d v="2025-06-05T00:00:00Z"/>
        <d v="2025-06-03T00:00:00Z"/>
        <m/>
      </sharedItems>
    </cacheField>
    <cacheField name="Buy" numFmtId="164">
      <sharedItems containsString="0" containsBlank="1" containsNumber="1">
        <n v="1075.0"/>
        <n v="376.0"/>
        <n v="632.0"/>
        <n v="131.2"/>
        <n v="452.0"/>
        <n v="897.0"/>
        <n v="675.0"/>
        <n v="445.33"/>
        <n v="1358.9"/>
        <n v="937.85"/>
        <n v="1255.9"/>
        <n v="800.25"/>
        <n v="452.3"/>
        <n v="481.05"/>
        <n v="564.1"/>
        <n v="1210.15"/>
        <n v="263.0"/>
        <n v="1951.0"/>
        <n v="1646.15"/>
        <n v="1489.55"/>
        <n v="78.0"/>
        <n v="417.0"/>
        <n v="3006.15"/>
        <n v="267.0"/>
        <n v="733.0"/>
        <n v="475.0"/>
        <n v="176.2"/>
        <n v="2294.8"/>
        <m/>
      </sharedItems>
    </cacheField>
    <cacheField name="Sell Date" numFmtId="165">
      <sharedItems containsDate="1" containsString="0" containsBlank="1">
        <d v="2024-03-07T00:00:00Z"/>
        <d v="2024-07-19T00:00:00Z"/>
        <d v="2024-03-13T00:00:00Z"/>
        <d v="2024-06-20T00:00:00Z"/>
        <d v="2024-10-01T00:00:00Z"/>
        <d v="2024-04-26T00:00:00Z"/>
        <d v="2024-05-13T00:00:00Z"/>
        <d v="2024-11-04T00:00:00Z"/>
        <m/>
        <d v="2024-08-20T00:00:00Z"/>
        <d v="2025-05-30T00:00:00Z"/>
        <d v="2024-07-25T00:00:00Z"/>
        <d v="2025-06-19T00:00:00Z"/>
        <d v="2025-01-13T00:00:00Z"/>
        <d v="2024-09-24T00:00:00Z"/>
        <d v="2024-12-18T00:00:00Z"/>
        <d v="2024-12-20T00:00:00Z"/>
      </sharedItems>
    </cacheField>
    <cacheField name="Sell" numFmtId="164">
      <sharedItems containsString="0" containsBlank="1" containsNumber="1">
        <n v="1344.5"/>
        <n v="497.15"/>
        <n v="355.1"/>
        <n v="495.6"/>
        <n v="709.3"/>
        <n v="164.4"/>
        <n v="606.4"/>
        <n v="586.0"/>
        <n v="607.0"/>
        <n v="945.0"/>
        <m/>
        <n v="673.4"/>
        <n v="1597.48"/>
        <n v="1414.75"/>
        <n v="584.6"/>
        <n v="579.0"/>
        <n v="684.3"/>
        <n v="333.9"/>
        <n v="0.0"/>
        <n v="1714.85"/>
        <n v="106.04"/>
        <n v="510.14"/>
        <n v="446.0"/>
      </sharedItems>
    </cacheField>
    <cacheField name="LTP">
      <sharedItems containsMixedTypes="1" containsNumber="1">
        <n v="776.9"/>
        <n v="468.95"/>
        <n v="763.0"/>
        <n v="133.0"/>
        <n v="532.0"/>
        <n v="1095.9"/>
        <n v="863.85"/>
        <n v="411.7"/>
        <n v="1678.4"/>
        <n v="2046.5"/>
        <n v="534.25"/>
        <n v="408.85"/>
        <n v="1072.1"/>
        <n v="380.6"/>
        <n v="929.45"/>
        <n v="253.65"/>
        <n v="2059.0"/>
        <n v="1170.2"/>
        <n v="997.0"/>
        <n v="136.78"/>
        <n v="325.1"/>
        <n v="2543.2"/>
        <n v="298.5"/>
        <s v=""/>
        <n v="610.2"/>
        <n v="139.0"/>
        <n v="2019.0"/>
      </sharedItems>
    </cacheField>
    <cacheField name="QTY" numFmtId="0">
      <sharedItems containsString="0" containsBlank="1" containsNumber="1" containsInteger="1">
        <n v="10.0"/>
        <n v="33.0"/>
        <n v="32.0"/>
        <n v="30.0"/>
        <n v="100.0"/>
        <n v="23.0"/>
        <n v="12.0"/>
        <n v="13.0"/>
        <n v="6.0"/>
        <n v="20.0"/>
        <n v="15.0"/>
        <n v="8.0"/>
        <n v="9.0"/>
        <n v="57.0"/>
        <n v="5.0"/>
        <n v="190.0"/>
        <n v="35.0"/>
        <n v="3.0"/>
        <n v="18.0"/>
        <n v="50.0"/>
        <m/>
      </sharedItems>
    </cacheField>
    <cacheField name="Invested" numFmtId="164">
      <sharedItems containsSemiMixedTypes="0" containsString="0" containsNumber="1">
        <n v="10750.0"/>
        <n v="3760.0"/>
        <n v="12408.0"/>
        <n v="12032.0"/>
        <n v="18960.0"/>
        <n v="13119.999999999998"/>
        <n v="14916.0"/>
        <n v="10396.0"/>
        <n v="8970.0"/>
        <n v="6750.0"/>
        <n v="5343.96"/>
        <n v="13589.0"/>
        <n v="9378.5"/>
        <n v="16326.7"/>
        <n v="8002.5"/>
        <n v="2671.98"/>
        <n v="9046.0"/>
        <n v="7215.75"/>
        <n v="4512.8"/>
        <n v="10891.35"/>
        <n v="14991.0"/>
        <n v="9755.0"/>
        <n v="8230.75"/>
        <n v="7447.75"/>
        <n v="14820.0"/>
        <n v="14595.0"/>
        <n v="9018.45"/>
        <n v="4806.0"/>
        <n v="4398.0"/>
        <n v="14250.0"/>
        <n v="8810.0"/>
        <n v="11474.0"/>
        <n v="0.0"/>
      </sharedItems>
    </cacheField>
    <cacheField name="Turnover" numFmtId="164">
      <sharedItems containsSemiMixedTypes="0" containsString="0" containsNumber="1">
        <n v="24195.0"/>
        <n v="8731.5"/>
        <n v="24126.3"/>
        <n v="27891.2"/>
        <n v="40239.0"/>
        <n v="29560.000000000004"/>
        <n v="34927.200000000004"/>
        <n v="34254.0"/>
        <n v="24357.0"/>
        <n v="18420.0"/>
        <n v="6750.0"/>
        <n v="13424.76"/>
        <n v="29563.800000000003"/>
        <n v="18828.5"/>
        <n v="34718.450000000004"/>
        <n v="13848.5"/>
        <n v="6712.38"/>
        <n v="9046.0"/>
        <n v="15900.75"/>
        <n v="9987.2"/>
        <n v="10891.35"/>
        <n v="34023.299999999996"/>
        <n v="14991.0"/>
        <n v="9755.0"/>
        <n v="8230.75"/>
        <n v="16021.999999999998"/>
        <n v="34967.600000000006"/>
        <n v="32449.899999999998"/>
        <n v="9018.45"/>
        <n v="4806.0"/>
        <n v="4398.0"/>
        <n v="27630.0"/>
        <n v="8810.0"/>
        <n v="11474.0"/>
        <n v="0.0"/>
      </sharedItems>
    </cacheField>
    <cacheField name="Unrealised P/L" numFmtId="164">
      <sharedItems containsSemiMixedTypes="0" containsString="0" containsNumber="1">
        <n v="0.0"/>
        <n v="1888.5000000000002"/>
        <n v="-868.9999999999998"/>
        <n v="-2526.3"/>
        <n v="-532.9499999999997"/>
        <n v="540.0"/>
        <n v="-2379.75"/>
        <n v="-1388.8500000000008"/>
        <n v="567.0"/>
        <n v="-4398.0"/>
        <n v="-1859.9999999999995"/>
        <n v="-1379.000000000001"/>
      </sharedItems>
    </cacheField>
    <cacheField name="U P/L %" numFmtId="10">
      <sharedItems containsSemiMixedTypes="0" containsString="0" containsNumber="1">
        <n v="0.0"/>
        <n v="0.2797777777777778"/>
        <n v="-0.09606455892107006"/>
        <n v="-0.23195471635747636"/>
        <n v="-0.03555133079847907"/>
        <n v="0.055356227575602254"/>
        <n v="-0.289129180208365"/>
        <n v="-0.1540009646890542"/>
        <n v="0.11797752808988764"/>
        <n v="-1.0"/>
        <n v="-0.21112372304199767"/>
        <n v="-0.12018476555691135"/>
      </sharedItems>
    </cacheField>
    <cacheField name="Day_Change" numFmtId="164">
      <sharedItems containsSemiMixedTypes="0" containsString="0" containsNumber="1">
        <n v="0.0"/>
        <n v="-0.7"/>
        <n v="6.15"/>
        <n v="11.25"/>
        <n v="1.35"/>
        <n v="44.8"/>
        <n v="-10.0"/>
        <n v="-38.4"/>
        <n v="-0.25"/>
        <n v="3.33"/>
        <n v="-11.4"/>
      </sharedItems>
    </cacheField>
    <cacheField name="Change" numFmtId="164">
      <sharedItems containsSemiMixedTypes="0" containsString="0" containsNumber="1">
        <n v="0.0"/>
        <n v="-7.0"/>
        <n v="123.0"/>
        <n v="101.25"/>
        <n v="76.95"/>
        <n v="224.0"/>
        <n v="-50.0"/>
        <n v="-115.19999999999999"/>
        <n v="-4.5"/>
        <n v="166.5"/>
        <n v="-57.0"/>
      </sharedItems>
    </cacheField>
    <cacheField name="Realised P/L" numFmtId="164">
      <sharedItems containsSemiMixedTypes="0" containsString="0" containsNumber="1">
        <n v="2695.0"/>
        <n v="1211.4999999999998"/>
        <n v="-689.6999999999992"/>
        <n v="3827.2000000000007"/>
        <n v="2318.9999999999986"/>
        <n v="3320.000000000002"/>
        <n v="5095.199999999999"/>
        <n v="4422.0"/>
        <n v="3565.0"/>
        <n v="480.0"/>
        <n v="0.0"/>
        <n v="2736.84"/>
        <n v="2385.7999999999993"/>
        <n v="71.49999999999977"/>
        <n v="2065.049999999999"/>
        <n v="-2156.5"/>
        <n v="1368.42"/>
        <n v="1469.2499999999998"/>
        <n v="961.5999999999995"/>
        <n v="4041.299999999999"/>
        <n v="1126.4999999999998"/>
        <n v="5327.600000000001"/>
        <n v="3259.8999999999996"/>
        <n v="-870.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53" sheet="Equity_Trade-2024"/>
  </cacheSource>
  <cacheFields>
    <cacheField name="SYMBOL" numFmtId="164">
      <sharedItems containsBlank="1">
        <s v="TATACHEM"/>
        <s v="CHAMBLFERT"/>
        <s v="HDFCLIFE"/>
        <s v="SAIL"/>
        <s v="INDGN"/>
        <s v="JSWSTEEL"/>
        <s v="HINDALCO"/>
        <s v="OIL"/>
        <s v="CHOLAFIN"/>
        <s v="GLENMARK"/>
        <s v="LICHSGFIN"/>
        <s v="ITC"/>
        <s v="LAURUSLABS"/>
        <s v="AARTIIND"/>
        <s v="ZYDUSLIFE"/>
        <s v="NORTHARC"/>
        <s v="DALBHARAT"/>
        <s v="INDIGOPNTS"/>
        <s v="HDFCBANK"/>
        <s v="VMM"/>
        <s v="IGIL"/>
        <s v="ANGELONE"/>
        <s v="JIOFIN"/>
        <s v="TATAMOTORS"/>
        <s v="HINDZINC"/>
        <s v="IREDA"/>
        <s v="GODREJPROP"/>
        <m/>
      </sharedItems>
    </cacheField>
    <cacheField name="Holder" numFmtId="0">
      <sharedItems containsBlank="1">
        <s v="DHAN"/>
        <s v="RAM"/>
        <s v="KAMAL"/>
        <s v="ESPRESSO"/>
        <s v="FYERS"/>
        <s v="Paytm"/>
        <s v="ANGELONE"/>
        <m/>
      </sharedItems>
    </cacheField>
    <cacheField name="Buy Date" numFmtId="165">
      <sharedItems containsDate="1" containsString="0" containsBlank="1">
        <d v="2024-03-06T00:00:00Z"/>
        <d v="2024-03-11T00:00:00Z"/>
        <d v="2024-03-26T00:00:00Z"/>
        <d v="2024-05-13T00:00:00Z"/>
        <d v="2024-04-29T00:00:00Z"/>
        <d v="2024-05-23T00:00:00Z"/>
        <d v="2024-05-27T00:00:00Z"/>
        <d v="2024-06-10T00:00:00Z"/>
        <d v="2024-06-21T00:00:00Z"/>
        <d v="2024-07-03T00:00:00Z"/>
        <d v="2024-07-09T00:00:00Z"/>
        <d v="2024-07-10T00:00:00Z"/>
        <d v="2024-12-04T00:00:00Z"/>
        <d v="2024-07-26T00:00:00Z"/>
        <d v="2024-09-24T00:00:00Z"/>
        <d v="2024-10-01T00:00:00Z"/>
        <d v="2024-10-21T00:00:00Z"/>
        <d v="2024-04-02T00:00:00Z"/>
        <d v="2024-12-18T00:00:00Z"/>
        <d v="2024-12-20T00:00:00Z"/>
        <d v="2025-01-01T00:00:00Z"/>
        <d v="2025-05-14T00:00:00Z"/>
        <d v="2025-05-20T00:00:00Z"/>
        <d v="2025-06-05T00:00:00Z"/>
        <d v="2025-06-03T00:00:00Z"/>
        <m/>
      </sharedItems>
    </cacheField>
    <cacheField name="Buy" numFmtId="164">
      <sharedItems containsString="0" containsBlank="1" containsNumber="1">
        <n v="1075.0"/>
        <n v="376.0"/>
        <n v="632.0"/>
        <n v="131.2"/>
        <n v="452.0"/>
        <n v="897.0"/>
        <n v="675.0"/>
        <n v="445.33"/>
        <n v="1358.9"/>
        <n v="937.85"/>
        <n v="1255.9"/>
        <n v="800.25"/>
        <n v="452.3"/>
        <n v="481.05"/>
        <n v="564.1"/>
        <n v="1210.15"/>
        <n v="263.0"/>
        <n v="1951.0"/>
        <n v="1646.15"/>
        <n v="1489.55"/>
        <n v="78.0"/>
        <n v="417.0"/>
        <n v="3006.15"/>
        <n v="267.0"/>
        <n v="733.0"/>
        <n v="475.0"/>
        <n v="176.2"/>
        <n v="2294.8"/>
        <m/>
      </sharedItems>
    </cacheField>
    <cacheField name="Sell Date" numFmtId="165">
      <sharedItems containsDate="1" containsString="0" containsBlank="1">
        <d v="2024-03-07T00:00:00Z"/>
        <d v="2024-07-19T00:00:00Z"/>
        <d v="2024-03-13T00:00:00Z"/>
        <d v="2024-06-20T00:00:00Z"/>
        <d v="2024-10-01T00:00:00Z"/>
        <d v="2024-04-26T00:00:00Z"/>
        <d v="2024-05-13T00:00:00Z"/>
        <d v="2024-11-04T00:00:00Z"/>
        <m/>
        <d v="2024-08-20T00:00:00Z"/>
        <d v="2025-05-30T00:00:00Z"/>
        <d v="2024-07-25T00:00:00Z"/>
        <d v="2025-06-19T00:00:00Z"/>
        <d v="2025-01-13T00:00:00Z"/>
        <d v="2024-09-24T00:00:00Z"/>
        <d v="2024-12-18T00:00:00Z"/>
        <d v="2024-12-20T00:00:00Z"/>
      </sharedItems>
    </cacheField>
    <cacheField name="Sell" numFmtId="164">
      <sharedItems containsString="0" containsBlank="1" containsNumber="1">
        <n v="1344.5"/>
        <n v="497.15"/>
        <n v="355.1"/>
        <n v="495.6"/>
        <n v="709.3"/>
        <n v="164.4"/>
        <n v="606.4"/>
        <n v="586.0"/>
        <n v="607.0"/>
        <n v="945.0"/>
        <m/>
        <n v="673.4"/>
        <n v="1597.48"/>
        <n v="1414.75"/>
        <n v="584.6"/>
        <n v="579.0"/>
        <n v="684.3"/>
        <n v="333.9"/>
        <n v="0.0"/>
        <n v="1714.85"/>
        <n v="106.04"/>
        <n v="510.14"/>
        <n v="446.0"/>
      </sharedItems>
    </cacheField>
    <cacheField name="LTP">
      <sharedItems containsMixedTypes="1" containsNumber="1">
        <n v="776.9"/>
        <n v="468.95"/>
        <n v="763.0"/>
        <n v="133.0"/>
        <n v="532.0"/>
        <n v="1095.9"/>
        <n v="863.85"/>
        <n v="411.7"/>
        <n v="1678.4"/>
        <n v="2046.5"/>
        <n v="534.25"/>
        <n v="408.85"/>
        <n v="1072.1"/>
        <n v="380.6"/>
        <n v="929.45"/>
        <n v="253.65"/>
        <n v="2059.0"/>
        <n v="1170.2"/>
        <n v="997.0"/>
        <n v="136.78"/>
        <n v="325.1"/>
        <n v="2543.2"/>
        <n v="298.5"/>
        <s v=""/>
        <n v="610.2"/>
        <n v="139.0"/>
        <n v="2019.0"/>
      </sharedItems>
    </cacheField>
    <cacheField name="QTY" numFmtId="0">
      <sharedItems containsString="0" containsBlank="1" containsNumber="1" containsInteger="1">
        <n v="10.0"/>
        <n v="33.0"/>
        <n v="32.0"/>
        <n v="30.0"/>
        <n v="100.0"/>
        <n v="23.0"/>
        <n v="12.0"/>
        <n v="13.0"/>
        <n v="6.0"/>
        <n v="20.0"/>
        <n v="15.0"/>
        <n v="8.0"/>
        <n v="9.0"/>
        <n v="57.0"/>
        <n v="5.0"/>
        <n v="190.0"/>
        <n v="35.0"/>
        <n v="3.0"/>
        <n v="18.0"/>
        <n v="50.0"/>
        <m/>
      </sharedItems>
    </cacheField>
    <cacheField name="Invested" numFmtId="164">
      <sharedItems containsSemiMixedTypes="0" containsString="0" containsNumber="1">
        <n v="10750.0"/>
        <n v="3760.0"/>
        <n v="12408.0"/>
        <n v="12032.0"/>
        <n v="18960.0"/>
        <n v="13119.999999999998"/>
        <n v="14916.0"/>
        <n v="10396.0"/>
        <n v="8970.0"/>
        <n v="6750.0"/>
        <n v="5343.96"/>
        <n v="13589.0"/>
        <n v="9378.5"/>
        <n v="16326.7"/>
        <n v="8002.5"/>
        <n v="2671.98"/>
        <n v="9046.0"/>
        <n v="7215.75"/>
        <n v="4512.8"/>
        <n v="10891.35"/>
        <n v="14991.0"/>
        <n v="9755.0"/>
        <n v="8230.75"/>
        <n v="7447.75"/>
        <n v="14820.0"/>
        <n v="14595.0"/>
        <n v="9018.45"/>
        <n v="4806.0"/>
        <n v="4398.0"/>
        <n v="14250.0"/>
        <n v="8810.0"/>
        <n v="11474.0"/>
        <n v="0.0"/>
      </sharedItems>
    </cacheField>
    <cacheField name="Turnover" numFmtId="164">
      <sharedItems containsSemiMixedTypes="0" containsString="0" containsNumber="1">
        <n v="24195.0"/>
        <n v="8731.5"/>
        <n v="24126.3"/>
        <n v="27891.2"/>
        <n v="40239.0"/>
        <n v="29560.000000000004"/>
        <n v="34927.200000000004"/>
        <n v="34254.0"/>
        <n v="24357.0"/>
        <n v="18420.0"/>
        <n v="6750.0"/>
        <n v="13424.76"/>
        <n v="29563.800000000003"/>
        <n v="18828.5"/>
        <n v="34718.450000000004"/>
        <n v="13848.5"/>
        <n v="6712.38"/>
        <n v="9046.0"/>
        <n v="15900.75"/>
        <n v="9987.2"/>
        <n v="10891.35"/>
        <n v="34023.299999999996"/>
        <n v="14991.0"/>
        <n v="9755.0"/>
        <n v="8230.75"/>
        <n v="16021.999999999998"/>
        <n v="34967.600000000006"/>
        <n v="32449.899999999998"/>
        <n v="9018.45"/>
        <n v="4806.0"/>
        <n v="4398.0"/>
        <n v="27630.0"/>
        <n v="8810.0"/>
        <n v="11474.0"/>
        <n v="0.0"/>
      </sharedItems>
    </cacheField>
    <cacheField name="Unrealised P/L" numFmtId="164">
      <sharedItems containsSemiMixedTypes="0" containsString="0" containsNumber="1">
        <n v="0.0"/>
        <n v="1888.5000000000002"/>
        <n v="-868.9999999999998"/>
        <n v="-2526.3"/>
        <n v="-532.9499999999997"/>
        <n v="540.0"/>
        <n v="-2379.75"/>
        <n v="-1388.8500000000008"/>
        <n v="567.0"/>
        <n v="-4398.0"/>
        <n v="-1859.9999999999995"/>
        <n v="-1379.000000000001"/>
      </sharedItems>
    </cacheField>
    <cacheField name="U P/L %" numFmtId="10">
      <sharedItems containsSemiMixedTypes="0" containsString="0" containsNumber="1">
        <n v="0.0"/>
        <n v="0.2797777777777778"/>
        <n v="-0.09606455892107006"/>
        <n v="-0.23195471635747636"/>
        <n v="-0.03555133079847907"/>
        <n v="0.055356227575602254"/>
        <n v="-0.289129180208365"/>
        <n v="-0.1540009646890542"/>
        <n v="0.11797752808988764"/>
        <n v="-1.0"/>
        <n v="-0.21112372304199767"/>
        <n v="-0.12018476555691135"/>
      </sharedItems>
    </cacheField>
    <cacheField name="Day_Change" numFmtId="164">
      <sharedItems containsSemiMixedTypes="0" containsString="0" containsNumber="1">
        <n v="0.0"/>
        <n v="-0.7"/>
        <n v="6.15"/>
        <n v="11.25"/>
        <n v="1.35"/>
        <n v="44.8"/>
        <n v="-10.0"/>
        <n v="-38.4"/>
        <n v="-0.25"/>
        <n v="3.33"/>
        <n v="-11.4"/>
      </sharedItems>
    </cacheField>
    <cacheField name="Change" numFmtId="164">
      <sharedItems containsSemiMixedTypes="0" containsString="0" containsNumber="1">
        <n v="0.0"/>
        <n v="-7.0"/>
        <n v="123.0"/>
        <n v="101.25"/>
        <n v="76.95"/>
        <n v="224.0"/>
        <n v="-50.0"/>
        <n v="-115.19999999999999"/>
        <n v="-4.5"/>
        <n v="166.5"/>
        <n v="-57.0"/>
      </sharedItems>
    </cacheField>
    <cacheField name="Realised P/L" numFmtId="164">
      <sharedItems containsSemiMixedTypes="0" containsString="0" containsNumber="1">
        <n v="2695.0"/>
        <n v="1211.4999999999998"/>
        <n v="-689.6999999999992"/>
        <n v="3827.2000000000007"/>
        <n v="2318.9999999999986"/>
        <n v="3320.000000000002"/>
        <n v="5095.199999999999"/>
        <n v="4422.0"/>
        <n v="3565.0"/>
        <n v="480.0"/>
        <n v="0.0"/>
        <n v="2736.84"/>
        <n v="2385.7999999999993"/>
        <n v="71.49999999999977"/>
        <n v="2065.049999999999"/>
        <n v="-2156.5"/>
        <n v="1368.42"/>
        <n v="1469.2499999999998"/>
        <n v="961.5999999999995"/>
        <n v="4041.299999999999"/>
        <n v="1126.4999999999998"/>
        <n v="5327.600000000001"/>
        <n v="3259.8999999999996"/>
        <n v="-870.0"/>
      </sharedItems>
    </cacheField>
    <cacheField name="R P/L %" numFmtId="10">
      <sharedItems containsSemiMixedTypes="0" containsString="0" containsNumber="1">
        <n v="0.25069767441860463"/>
        <n v="0.3222074468085106"/>
        <n v="-0.055585106382978665"/>
        <n v="0.31808510638297877"/>
        <n v="0.12231012658227841"/>
        <n v="0.25304878048780505"/>
        <n v="0.34159292035398225"/>
        <n v="0.29646017699115046"/>
        <n v="0.34292035398230086"/>
        <n v="0.05351170568561873"/>
        <n v="0.0"/>
        <n v="0.5121370668942132"/>
        <n v="0.17556847450143492"/>
        <n v="0.0076238204403689044"/>
        <n v="0.12648300023887243"/>
        <n v="-0.269478288034989"/>
        <n v="0.20361708762082942"/>
        <n v="0.2130827867399396"/>
        <n v="0.26958174904942955"/>
        <n v="0.1512537343493001"/>
        <n v="0.35948717948717956"/>
        <n v="0.223357314148681"/>
        <n v="-0.061052631578947365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3" sheet="Equity_Trade-2024"/>
  </cacheSource>
  <cacheFields>
    <cacheField name="Column 1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</sharedItems>
    </cacheField>
    <cacheField name="SYMBOL" numFmtId="164">
      <sharedItems containsBlank="1">
        <s v="TATACHEM"/>
        <s v="CHAMBLFERT"/>
        <s v="HDFCLIFE"/>
        <s v="SAIL"/>
        <s v="INDGN"/>
        <s v="JSWSTEEL"/>
        <s v="HINDALCO"/>
        <s v="OIL"/>
        <s v="CHOLAFIN"/>
        <s v="GLENMARK"/>
        <s v="LICHSGFIN"/>
        <s v="ITC"/>
        <s v="LAURUSLABS"/>
        <s v="AARTIIND"/>
        <s v="ZYDUSLIFE"/>
        <s v="NORTHARC"/>
        <s v="DALBHARAT"/>
        <s v="INDIGOPNTS"/>
        <s v="HDFCBANK"/>
        <s v="VMM"/>
        <s v="IGIL"/>
        <s v="ANGELONE"/>
        <s v="JIOFIN"/>
        <s v="TATAMOTORS"/>
        <s v="HINDZINC"/>
        <s v="IREDA"/>
        <s v="GODREJPROP"/>
        <m/>
      </sharedItems>
    </cacheField>
    <cacheField name="Holder" numFmtId="0">
      <sharedItems containsBlank="1">
        <s v="DHAN"/>
        <s v="RAM"/>
        <s v="KAMAL"/>
        <s v="ESPRESSO"/>
        <s v="FYERS"/>
        <s v="Paytm"/>
        <s v="ANGELONE"/>
        <m/>
      </sharedItems>
    </cacheField>
    <cacheField name="Buy Date" numFmtId="165">
      <sharedItems containsDate="1" containsString="0" containsBlank="1">
        <d v="2024-03-06T00:00:00Z"/>
        <d v="2024-03-11T00:00:00Z"/>
        <d v="2024-03-26T00:00:00Z"/>
        <d v="2024-05-13T00:00:00Z"/>
        <d v="2024-04-29T00:00:00Z"/>
        <d v="2024-05-23T00:00:00Z"/>
        <d v="2024-05-27T00:00:00Z"/>
        <d v="2024-06-10T00:00:00Z"/>
        <d v="2024-06-21T00:00:00Z"/>
        <d v="2024-07-03T00:00:00Z"/>
        <d v="2024-07-09T00:00:00Z"/>
        <d v="2024-07-10T00:00:00Z"/>
        <d v="2024-12-04T00:00:00Z"/>
        <d v="2024-07-26T00:00:00Z"/>
        <d v="2024-09-24T00:00:00Z"/>
        <d v="2024-10-01T00:00:00Z"/>
        <d v="2024-10-21T00:00:00Z"/>
        <d v="2024-04-02T00:00:00Z"/>
        <d v="2024-12-18T00:00:00Z"/>
        <d v="2024-12-20T00:00:00Z"/>
        <d v="2025-01-01T00:00:00Z"/>
        <d v="2025-05-14T00:00:00Z"/>
        <d v="2025-05-20T00:00:00Z"/>
        <d v="2025-06-05T00:00:00Z"/>
        <d v="2025-06-03T00:00:00Z"/>
        <m/>
      </sharedItems>
    </cacheField>
    <cacheField name="Buy" numFmtId="164">
      <sharedItems containsString="0" containsBlank="1" containsNumber="1">
        <n v="1075.0"/>
        <n v="376.0"/>
        <n v="632.0"/>
        <n v="131.2"/>
        <n v="452.0"/>
        <n v="897.0"/>
        <n v="675.0"/>
        <n v="445.33"/>
        <n v="1358.9"/>
        <n v="937.85"/>
        <n v="1255.9"/>
        <n v="800.25"/>
        <n v="452.3"/>
        <n v="481.05"/>
        <n v="564.1"/>
        <n v="1210.15"/>
        <n v="263.0"/>
        <n v="1951.0"/>
        <n v="1646.15"/>
        <n v="1489.55"/>
        <n v="78.0"/>
        <n v="417.0"/>
        <n v="3006.15"/>
        <n v="267.0"/>
        <n v="733.0"/>
        <n v="475.0"/>
        <n v="176.2"/>
        <n v="2294.8"/>
        <m/>
      </sharedItems>
    </cacheField>
    <cacheField name="Sell Date" numFmtId="165">
      <sharedItems containsDate="1" containsString="0" containsBlank="1">
        <d v="2024-03-07T00:00:00Z"/>
        <d v="2024-07-19T00:00:00Z"/>
        <d v="2024-03-13T00:00:00Z"/>
        <d v="2024-06-20T00:00:00Z"/>
        <d v="2024-10-01T00:00:00Z"/>
        <d v="2024-04-26T00:00:00Z"/>
        <d v="2024-05-13T00:00:00Z"/>
        <d v="2024-11-04T00:00:00Z"/>
        <m/>
        <d v="2024-08-20T00:00:00Z"/>
        <d v="2025-05-30T00:00:00Z"/>
        <d v="2024-07-25T00:00:00Z"/>
        <d v="2025-06-19T00:00:00Z"/>
        <d v="2025-01-13T00:00:00Z"/>
        <d v="2024-09-24T00:00:00Z"/>
        <d v="2024-12-18T00:00:00Z"/>
        <d v="2024-12-20T00:00:00Z"/>
      </sharedItems>
    </cacheField>
    <cacheField name="Sell" numFmtId="164">
      <sharedItems containsString="0" containsBlank="1" containsNumber="1">
        <n v="1344.5"/>
        <n v="497.15"/>
        <n v="355.1"/>
        <n v="495.6"/>
        <n v="709.3"/>
        <n v="164.4"/>
        <n v="606.4"/>
        <n v="586.0"/>
        <n v="607.0"/>
        <n v="945.0"/>
        <m/>
        <n v="673.4"/>
        <n v="1597.48"/>
        <n v="1414.75"/>
        <n v="584.6"/>
        <n v="579.0"/>
        <n v="684.3"/>
        <n v="333.9"/>
        <n v="0.0"/>
        <n v="1714.85"/>
        <n v="106.04"/>
        <n v="510.14"/>
        <n v="446.0"/>
      </sharedItems>
    </cacheField>
    <cacheField name="LTP">
      <sharedItems containsMixedTypes="1" containsNumber="1">
        <n v="776.9"/>
        <n v="468.95"/>
        <n v="763.0"/>
        <n v="133.0"/>
        <n v="532.0"/>
        <n v="1095.9"/>
        <n v="863.85"/>
        <n v="411.7"/>
        <n v="1678.4"/>
        <n v="2046.5"/>
        <n v="534.25"/>
        <n v="408.85"/>
        <n v="1072.1"/>
        <n v="380.6"/>
        <n v="929.45"/>
        <n v="253.65"/>
        <n v="2059.0"/>
        <n v="1170.2"/>
        <n v="997.0"/>
        <n v="136.78"/>
        <n v="325.1"/>
        <n v="2543.2"/>
        <n v="298.5"/>
        <s v=""/>
        <n v="610.2"/>
        <n v="139.0"/>
        <n v="2019.0"/>
      </sharedItems>
    </cacheField>
    <cacheField name="QTY" numFmtId="0">
      <sharedItems containsString="0" containsBlank="1" containsNumber="1" containsInteger="1">
        <n v="10.0"/>
        <n v="33.0"/>
        <n v="32.0"/>
        <n v="30.0"/>
        <n v="100.0"/>
        <n v="23.0"/>
        <n v="12.0"/>
        <n v="13.0"/>
        <n v="6.0"/>
        <n v="20.0"/>
        <n v="15.0"/>
        <n v="8.0"/>
        <n v="9.0"/>
        <n v="57.0"/>
        <n v="5.0"/>
        <n v="190.0"/>
        <n v="35.0"/>
        <n v="3.0"/>
        <n v="18.0"/>
        <n v="50.0"/>
        <m/>
      </sharedItems>
    </cacheField>
    <cacheField name="Invested" numFmtId="164">
      <sharedItems containsSemiMixedTypes="0" containsString="0" containsNumber="1">
        <n v="10750.0"/>
        <n v="3760.0"/>
        <n v="12408.0"/>
        <n v="12032.0"/>
        <n v="18960.0"/>
        <n v="13119.999999999998"/>
        <n v="14916.0"/>
        <n v="10396.0"/>
        <n v="8970.0"/>
        <n v="6750.0"/>
        <n v="5343.96"/>
        <n v="13589.0"/>
        <n v="9378.5"/>
        <n v="16326.7"/>
        <n v="8002.5"/>
        <n v="2671.98"/>
        <n v="9046.0"/>
        <n v="7215.75"/>
        <n v="4512.8"/>
        <n v="10891.35"/>
        <n v="14991.0"/>
        <n v="9755.0"/>
        <n v="8230.75"/>
        <n v="7447.75"/>
        <n v="14820.0"/>
        <n v="14595.0"/>
        <n v="9018.45"/>
        <n v="4806.0"/>
        <n v="4398.0"/>
        <n v="14250.0"/>
        <n v="8810.0"/>
        <n v="11474.0"/>
        <n v="0.0"/>
      </sharedItems>
    </cacheField>
    <cacheField name="Turnover" numFmtId="164">
      <sharedItems containsSemiMixedTypes="0" containsString="0" containsNumber="1">
        <n v="24195.0"/>
        <n v="8731.5"/>
        <n v="24126.3"/>
        <n v="27891.2"/>
        <n v="40239.0"/>
        <n v="29560.000000000004"/>
        <n v="34927.200000000004"/>
        <n v="34254.0"/>
        <n v="24357.0"/>
        <n v="18420.0"/>
        <n v="6750.0"/>
        <n v="13424.76"/>
        <n v="29563.800000000003"/>
        <n v="18828.5"/>
        <n v="34718.450000000004"/>
        <n v="13848.5"/>
        <n v="6712.38"/>
        <n v="9046.0"/>
        <n v="15900.75"/>
        <n v="9987.2"/>
        <n v="10891.35"/>
        <n v="34023.299999999996"/>
        <n v="14991.0"/>
        <n v="9755.0"/>
        <n v="8230.75"/>
        <n v="16021.999999999998"/>
        <n v="34967.600000000006"/>
        <n v="32449.899999999998"/>
        <n v="9018.45"/>
        <n v="4806.0"/>
        <n v="4398.0"/>
        <n v="27630.0"/>
        <n v="8810.0"/>
        <n v="11474.0"/>
        <n v="0.0"/>
      </sharedItems>
    </cacheField>
    <cacheField name="Unrealised P/L" numFmtId="164">
      <sharedItems containsSemiMixedTypes="0" containsString="0" containsNumber="1">
        <n v="0.0"/>
        <n v="1888.5000000000002"/>
        <n v="-868.9999999999998"/>
        <n v="-2526.3"/>
        <n v="-532.9499999999997"/>
        <n v="540.0"/>
        <n v="-2379.75"/>
        <n v="-1388.8500000000008"/>
        <n v="567.0"/>
        <n v="-4398.0"/>
        <n v="-1859.9999999999995"/>
        <n v="-1379.000000000001"/>
      </sharedItems>
    </cacheField>
    <cacheField name="U P/L %" numFmtId="10">
      <sharedItems containsSemiMixedTypes="0" containsString="0" containsNumber="1">
        <n v="0.0"/>
        <n v="0.2797777777777778"/>
        <n v="-0.09606455892107006"/>
        <n v="-0.23195471635747636"/>
        <n v="-0.03555133079847907"/>
        <n v="0.055356227575602254"/>
        <n v="-0.289129180208365"/>
        <n v="-0.1540009646890542"/>
        <n v="0.11797752808988764"/>
        <n v="-1.0"/>
        <n v="-0.21112372304199767"/>
        <n v="-0.12018476555691135"/>
      </sharedItems>
    </cacheField>
    <cacheField name="Day_Change" numFmtId="164">
      <sharedItems containsSemiMixedTypes="0" containsString="0" containsNumber="1">
        <n v="0.0"/>
        <n v="-0.7"/>
        <n v="6.15"/>
        <n v="11.25"/>
        <n v="1.35"/>
        <n v="44.8"/>
        <n v="-10.0"/>
        <n v="-38.4"/>
        <n v="-0.25"/>
        <n v="3.33"/>
        <n v="-11.4"/>
      </sharedItems>
    </cacheField>
    <cacheField name="Change" numFmtId="164">
      <sharedItems containsSemiMixedTypes="0" containsString="0" containsNumber="1">
        <n v="0.0"/>
        <n v="-7.0"/>
        <n v="123.0"/>
        <n v="101.25"/>
        <n v="76.95"/>
        <n v="224.0"/>
        <n v="-50.0"/>
        <n v="-115.19999999999999"/>
        <n v="-4.5"/>
        <n v="166.5"/>
        <n v="-57.0"/>
      </sharedItems>
    </cacheField>
    <cacheField name="Realised P/L" numFmtId="164">
      <sharedItems containsSemiMixedTypes="0" containsString="0" containsNumber="1">
        <n v="2695.0"/>
        <n v="1211.4999999999998"/>
        <n v="-689.6999999999992"/>
        <n v="3827.2000000000007"/>
        <n v="2318.9999999999986"/>
        <n v="3320.000000000002"/>
        <n v="5095.199999999999"/>
        <n v="4422.0"/>
        <n v="3565.0"/>
        <n v="480.0"/>
        <n v="0.0"/>
        <n v="2736.84"/>
        <n v="2385.7999999999993"/>
        <n v="71.49999999999977"/>
        <n v="2065.049999999999"/>
        <n v="-2156.5"/>
        <n v="1368.42"/>
        <n v="1469.2499999999998"/>
        <n v="961.5999999999995"/>
        <n v="4041.299999999999"/>
        <n v="1126.4999999999998"/>
        <n v="5327.600000000001"/>
        <n v="3259.8999999999996"/>
        <n v="-870.0"/>
      </sharedItems>
    </cacheField>
    <cacheField name="R P/L %" numFmtId="10">
      <sharedItems containsSemiMixedTypes="0" containsString="0" containsNumber="1">
        <n v="0.25069767441860463"/>
        <n v="0.3222074468085106"/>
        <n v="-0.055585106382978665"/>
        <n v="0.31808510638297877"/>
        <n v="0.12231012658227841"/>
        <n v="0.25304878048780505"/>
        <n v="0.34159292035398225"/>
        <n v="0.29646017699115046"/>
        <n v="0.34292035398230086"/>
        <n v="0.05351170568561873"/>
        <n v="0.0"/>
        <n v="0.5121370668942132"/>
        <n v="0.17556847450143492"/>
        <n v="0.0076238204403689044"/>
        <n v="0.12648300023887243"/>
        <n v="-0.269478288034989"/>
        <n v="0.20361708762082942"/>
        <n v="0.2130827867399396"/>
        <n v="0.26958174904942955"/>
        <n v="0.1512537343493001"/>
        <n v="0.35948717948717956"/>
        <n v="0.223357314148681"/>
        <n v="-0.061052631578947365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40" sheet="Equity_Trade-2023"/>
  </cacheSource>
  <cacheFields>
    <cacheField name=" 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</sharedItems>
    </cacheField>
    <cacheField name="SYMBOL" numFmtId="164">
      <sharedItems containsBlank="1">
        <s v="RELIANCE"/>
        <s v="GRASIM"/>
        <s v="CONCOR"/>
        <s v="BPCL"/>
        <s v="AXISBANK"/>
        <s v="JINDALSTEL"/>
        <s v="AJMERA"/>
        <s v="INDIACEM"/>
        <s v="BAJAJFINSV"/>
        <s v="BANKBARODA"/>
        <s v="DIVISLAB"/>
        <s v="RAILTEL"/>
        <s v="TATASTEEL"/>
        <s v="CIPLA"/>
        <s v="TATAPOWER"/>
        <s v="WIPRO"/>
        <s v="TITAN"/>
        <s v="HDFCLIFE"/>
        <s v="JIOFIN"/>
        <s v="RBLBANK"/>
        <s v="IRCTC"/>
        <s v="TCS"/>
        <s v="TATACONSUM"/>
        <s v="DIXON"/>
        <s v="LT"/>
        <m/>
      </sharedItems>
    </cacheField>
    <cacheField name="Holder" numFmtId="0">
      <sharedItems containsBlank="1">
        <s v="ESPRESSO"/>
        <s v="DHAN"/>
        <s v="Ramkishor"/>
        <s v="FYERA"/>
        <s v="Paytm"/>
        <m/>
      </sharedItems>
    </cacheField>
    <cacheField name="Buy Date" numFmtId="165">
      <sharedItems containsDate="1" containsString="0" containsBlank="1">
        <d v="2023-01-18T00:00:00Z"/>
        <d v="2023-01-30T00:00:00Z"/>
        <d v="2023-02-01T00:00:00Z"/>
        <d v="2023-02-03T00:00:00Z"/>
        <d v="2023-04-24T00:00:00Z"/>
        <d v="2023-05-02T00:00:00Z"/>
        <d v="2023-05-16T00:00:00Z"/>
        <d v="2023-05-23T00:00:00Z"/>
        <d v="2023-05-29T00:00:00Z"/>
        <d v="2023-06-01T00:00:00Z"/>
        <d v="2023-06-07T00:00:00Z"/>
        <d v="2023-06-14T00:00:00Z"/>
        <d v="2023-06-26T00:00:00Z"/>
        <d v="2023-07-23T00:00:00Z"/>
        <d v="2023-08-07T00:00:00Z"/>
        <d v="2023-08-21T00:00:00Z"/>
        <d v="2023-08-30T00:00:00Z"/>
        <m/>
        <d v="2023-10-03T00:00:00Z"/>
        <d v="2023-10-06T00:00:00Z"/>
        <d v="2023-10-13T00:00:00Z"/>
        <d v="2023-11-06T00:00:00Z"/>
      </sharedItems>
    </cacheField>
    <cacheField name="Buy" numFmtId="164">
      <sharedItems containsString="0" containsBlank="1" containsNumber="1">
        <n v="2485.35"/>
        <n v="1685.0"/>
        <n v="2334.75"/>
        <n v="638.25"/>
        <n v="327.72"/>
        <n v="878.5"/>
        <n v="590.75"/>
        <n v="315.0"/>
        <n v="195.65"/>
        <n v="1456.9"/>
        <n v="184.65"/>
        <n v="3554.35"/>
        <n v="133.5"/>
        <n v="113.8"/>
        <n v="1021.5"/>
        <n v="221.8"/>
        <n v="411.0"/>
        <n v="697.7"/>
        <n v="3079.2"/>
        <n v="639.4"/>
        <n v="1.0"/>
        <n v="252.7"/>
        <n v="704.4"/>
        <n v="3602.4"/>
        <n v="915.55"/>
        <n v="5325.9"/>
        <n v="2955.0"/>
        <m/>
      </sharedItems>
    </cacheField>
    <cacheField name="Sell Date" numFmtId="0">
      <sharedItems containsDate="1" containsString="0" containsBlank="1">
        <m/>
        <d v="2023-09-14T00:00:00Z"/>
        <d v="2023-08-14T00:00:00Z"/>
        <d v="2023-04-28T00:00:00Z"/>
        <d v="2023-05-12T00:00:00Z"/>
        <d v="2023-05-19T00:00:00Z"/>
        <d v="2023-05-24T00:00:00Z"/>
        <d v="2023-07-04T00:00:00Z"/>
        <d v="2023-08-01T00:00:00Z"/>
        <d v="2023-07-25T00:00:00Z"/>
        <d v="2023-07-10T00:00:00Z"/>
        <d v="2023-07-27T00:00:00Z"/>
        <d v="2023-10-26T00:00:00Z"/>
        <d v="2023-09-04T00:00:00Z"/>
        <d v="2023-10-19T00:00:00Z"/>
        <d v="2023-12-29T00:00:00Z"/>
        <d v="2023-12-01T00:00:00Z"/>
        <d v="2023-12-28T00:00:00Z"/>
      </sharedItems>
    </cacheField>
    <cacheField name="Sell" numFmtId="164">
      <sharedItems containsString="0" containsBlank="1" containsNumber="1">
        <n v="0.0"/>
        <n v="1923.7"/>
        <n v="647.7"/>
        <n v="855.55"/>
        <n v="577.0"/>
        <n v="342.65"/>
        <n v="189.65"/>
        <n v="1601.5"/>
        <n v="202.2"/>
        <n v="3669.0"/>
        <n v="160.45"/>
        <n v="168.42"/>
        <n v="1149.85"/>
        <n v="242.0"/>
        <n v="377.05"/>
        <n v="3088.05"/>
        <n v="217.5"/>
        <n v="643.67"/>
        <n v="3464.5"/>
        <n v="1072.45"/>
        <n v="6007.19"/>
        <n v="3555.95"/>
        <m/>
      </sharedItems>
    </cacheField>
    <cacheField name="LTP" numFmtId="164">
      <sharedItems containsString="0" containsBlank="1" containsNumber="1">
        <n v="1569.0"/>
        <n v="2823.1"/>
        <n v="512.3"/>
        <n v="369.7"/>
        <n v="1224.5"/>
        <n v="1014.0"/>
        <n v="948.0"/>
        <n v="441.05"/>
        <n v="2042.0"/>
        <n v="292.9"/>
        <n v="6480.0"/>
        <n v="360.0"/>
        <n v="170.82"/>
        <n v="1501.5"/>
        <n v="382.4"/>
        <n v="271.3"/>
        <n v="3916.6"/>
        <n v="763.0"/>
        <n v="298.5"/>
        <n v="302.9"/>
        <n v="680.5"/>
        <n v="3305.1"/>
        <n v="1185.2"/>
        <n v="12855.0"/>
        <n v="4070.0"/>
        <m/>
      </sharedItems>
    </cacheField>
    <cacheField name="QTY" numFmtId="0">
      <sharedItems containsString="0" containsBlank="1" containsNumber="1" containsInteger="1">
        <n v="5.0"/>
        <n v="10.0"/>
        <n v="2.0"/>
        <n v="4.0"/>
        <n v="8.0"/>
        <n v="15.0"/>
        <n v="25.0"/>
        <n v="3.0"/>
        <n v="1.0"/>
        <n v="12.0"/>
        <n v="40.0"/>
        <n v="20.0"/>
        <n v="50.0"/>
        <n v="21.0"/>
        <n v="11.0"/>
        <n v="7.0"/>
        <n v="43.0"/>
        <n v="28.0"/>
        <n v="23.0"/>
        <m/>
      </sharedItems>
    </cacheField>
    <cacheField name="Invested" numFmtId="164">
      <sharedItems containsString="0" containsBlank="1" containsNumber="1">
        <n v="12426.75"/>
        <n v="16850.0"/>
        <n v="4669.5"/>
        <n v="2553.0"/>
        <n v="3277.2000000000003"/>
        <n v="4392.5"/>
        <n v="4726.0"/>
        <n v="4725.0"/>
        <n v="4891.25"/>
        <n v="4370.700000000001"/>
        <n v="4616.25"/>
        <n v="3554.35"/>
        <n v="1602.0"/>
        <n v="4552.0"/>
        <n v="4086.0"/>
        <n v="4436.0"/>
        <n v="20550.0"/>
        <n v="14651.7"/>
        <n v="15396.0"/>
        <n v="7033.4"/>
        <n v="7.0"/>
        <n v="10866.1"/>
        <n v="19723.2"/>
        <n v="39626.4"/>
        <n v="21057.649999999998"/>
        <n v="21303.6"/>
        <n v="14775.0"/>
        <m/>
      </sharedItems>
    </cacheField>
    <cacheField name="Turnover" numFmtId="164">
      <sharedItems containsString="0" containsBlank="1" containsNumber="1">
        <n v="12426.75"/>
        <n v="36087.0"/>
        <n v="4669.5"/>
        <n v="5143.8"/>
        <n v="3277.2000000000003"/>
        <n v="8670.25"/>
        <n v="9342.0"/>
        <n v="9864.75"/>
        <n v="9632.5"/>
        <n v="9175.2"/>
        <n v="9671.25"/>
        <n v="7223.35"/>
        <n v="3527.3999999999996"/>
        <n v="11288.8"/>
        <n v="8685.4"/>
        <n v="9276.0"/>
        <n v="39402.5"/>
        <n v="28253.4"/>
        <n v="30836.25"/>
        <n v="7033.4"/>
        <n v="7.0"/>
        <n v="20218.6"/>
        <n v="37745.96"/>
        <n v="77735.9"/>
        <n v="45724.0"/>
        <n v="45332.36"/>
        <n v="32554.75"/>
        <m/>
      </sharedItems>
    </cacheField>
    <cacheField name="Unrealised P/L" numFmtId="164">
      <sharedItems containsString="0" containsBlank="1" containsNumber="1">
        <n v="-4581.75"/>
        <n v="0.0"/>
        <n v="-1531.5"/>
        <n v="419.7999999999996"/>
        <n v="1359.6000000000004"/>
        <n v="2082.5"/>
        <m/>
      </sharedItems>
    </cacheField>
    <cacheField name="U P/L %" numFmtId="10">
      <sharedItems containsString="0" containsBlank="1" containsNumber="1">
        <n v="-0.36870058543062345"/>
        <n v="0.0"/>
        <n v="-0.327979441053646"/>
        <n v="0.1280971561088733"/>
        <n v="0.193306224585549"/>
        <n v="297.5"/>
        <m/>
      </sharedItems>
    </cacheField>
    <cacheField name="Change" numFmtId="164">
      <sharedItems containsString="0" containsBlank="1" containsNumber="1">
        <n v="-6.4"/>
        <n v="0.0"/>
        <n v="-0.2"/>
        <n v="1.2"/>
        <n v="-0.25"/>
        <m/>
      </sharedItems>
    </cacheField>
    <cacheField name="change2" numFmtId="164">
      <sharedItems containsString="0" containsBlank="1" containsNumber="1">
        <n v="-32.0"/>
        <n v="0.0"/>
        <n v="-12.8"/>
        <n v="-2.0"/>
        <n v="13.2"/>
        <n v="-1.75"/>
        <m/>
      </sharedItems>
    </cacheField>
    <cacheField name="Realised P/L" numFmtId="164">
      <sharedItems containsString="0" containsBlank="1" containsNumber="1">
        <n v="0.0"/>
        <n v="2387.0000000000005"/>
        <n v="37.80000000000018"/>
        <n v="-114.75000000000023"/>
        <n v="-110.0"/>
        <n v="414.74999999999966"/>
        <n v="-150.0"/>
        <n v="433.7999999999997"/>
        <n v="438.74999999999955"/>
        <n v="114.65000000000009"/>
        <n v="323.39999999999986"/>
        <n v="2184.7999999999997"/>
        <n v="513.3999999999996"/>
        <n v="403.9999999999998"/>
        <n v="-1697.4999999999995"/>
        <n v="-1050.0"/>
        <n v="44.25000000000182"/>
        <n v="-1513.5999999999995"/>
        <n v="-1700.4400000000005"/>
        <n v="-1516.900000000001"/>
        <n v="3608.700000000002"/>
        <n v="2725.16"/>
        <n v="3004.749999999999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Q40" sheet="Equity_Trade-2023"/>
  </cacheSource>
  <cacheFields>
    <cacheField name="SYMBOL" numFmtId="164">
      <sharedItems containsBlank="1">
        <s v="RELIANCE"/>
        <s v="GRASIM"/>
        <s v="CONCOR"/>
        <s v="BPCL"/>
        <s v="AXISBANK"/>
        <s v="JINDALSTEL"/>
        <s v="AJMERA"/>
        <s v="INDIACEM"/>
        <s v="BAJAJFINSV"/>
        <s v="BANKBARODA"/>
        <s v="DIVISLAB"/>
        <s v="RAILTEL"/>
        <s v="TATASTEEL"/>
        <s v="CIPLA"/>
        <s v="TATAPOWER"/>
        <s v="WIPRO"/>
        <s v="TITAN"/>
        <s v="HDFCLIFE"/>
        <s v="JIOFIN"/>
        <s v="RBLBANK"/>
        <s v="IRCTC"/>
        <s v="TCS"/>
        <s v="TATACONSUM"/>
        <s v="DIXON"/>
        <s v="LT"/>
        <m/>
      </sharedItems>
    </cacheField>
    <cacheField name="Holder" numFmtId="0">
      <sharedItems containsBlank="1">
        <s v="ESPRESSO"/>
        <s v="DHAN"/>
        <s v="Ramkishor"/>
        <s v="FYERA"/>
        <s v="Paytm"/>
        <m/>
      </sharedItems>
    </cacheField>
    <cacheField name="Buy Date" numFmtId="165">
      <sharedItems containsDate="1" containsString="0" containsBlank="1">
        <d v="2023-01-18T00:00:00Z"/>
        <d v="2023-01-30T00:00:00Z"/>
        <d v="2023-02-01T00:00:00Z"/>
        <d v="2023-02-03T00:00:00Z"/>
        <d v="2023-04-24T00:00:00Z"/>
        <d v="2023-05-02T00:00:00Z"/>
        <d v="2023-05-16T00:00:00Z"/>
        <d v="2023-05-23T00:00:00Z"/>
        <d v="2023-05-29T00:00:00Z"/>
        <d v="2023-06-01T00:00:00Z"/>
        <d v="2023-06-07T00:00:00Z"/>
        <d v="2023-06-14T00:00:00Z"/>
        <d v="2023-06-26T00:00:00Z"/>
        <d v="2023-07-23T00:00:00Z"/>
        <d v="2023-08-07T00:00:00Z"/>
        <d v="2023-08-21T00:00:00Z"/>
        <d v="2023-08-30T00:00:00Z"/>
        <m/>
        <d v="2023-10-03T00:00:00Z"/>
        <d v="2023-10-06T00:00:00Z"/>
        <d v="2023-10-13T00:00:00Z"/>
        <d v="2023-11-06T00:00:00Z"/>
      </sharedItems>
    </cacheField>
    <cacheField name="Buy" numFmtId="164">
      <sharedItems containsString="0" containsBlank="1" containsNumber="1">
        <n v="2485.35"/>
        <n v="1685.0"/>
        <n v="2334.75"/>
        <n v="638.25"/>
        <n v="327.72"/>
        <n v="878.5"/>
        <n v="590.75"/>
        <n v="315.0"/>
        <n v="195.65"/>
        <n v="1456.9"/>
        <n v="184.65"/>
        <n v="3554.35"/>
        <n v="133.5"/>
        <n v="113.8"/>
        <n v="1021.5"/>
        <n v="221.8"/>
        <n v="411.0"/>
        <n v="697.7"/>
        <n v="3079.2"/>
        <n v="639.4"/>
        <n v="1.0"/>
        <n v="252.7"/>
        <n v="704.4"/>
        <n v="3602.4"/>
        <n v="915.55"/>
        <n v="5325.9"/>
        <n v="2955.0"/>
        <m/>
      </sharedItems>
    </cacheField>
    <cacheField name="Sell Date" numFmtId="0">
      <sharedItems containsDate="1" containsString="0" containsBlank="1">
        <m/>
        <d v="2023-09-14T00:00:00Z"/>
        <d v="2023-08-14T00:00:00Z"/>
        <d v="2023-04-28T00:00:00Z"/>
        <d v="2023-05-12T00:00:00Z"/>
        <d v="2023-05-19T00:00:00Z"/>
        <d v="2023-05-24T00:00:00Z"/>
        <d v="2023-07-04T00:00:00Z"/>
        <d v="2023-08-01T00:00:00Z"/>
        <d v="2023-07-25T00:00:00Z"/>
        <d v="2023-07-10T00:00:00Z"/>
        <d v="2023-07-27T00:00:00Z"/>
        <d v="2023-10-26T00:00:00Z"/>
        <d v="2023-09-04T00:00:00Z"/>
        <d v="2023-10-19T00:00:00Z"/>
        <d v="2023-12-29T00:00:00Z"/>
        <d v="2023-12-01T00:00:00Z"/>
        <d v="2023-12-28T00:00:00Z"/>
      </sharedItems>
    </cacheField>
    <cacheField name="Sell" numFmtId="164">
      <sharedItems containsString="0" containsBlank="1" containsNumber="1">
        <n v="0.0"/>
        <n v="1923.7"/>
        <n v="647.7"/>
        <n v="855.55"/>
        <n v="577.0"/>
        <n v="342.65"/>
        <n v="189.65"/>
        <n v="1601.5"/>
        <n v="202.2"/>
        <n v="3669.0"/>
        <n v="160.45"/>
        <n v="168.42"/>
        <n v="1149.85"/>
        <n v="242.0"/>
        <n v="377.05"/>
        <n v="3088.05"/>
        <n v="217.5"/>
        <n v="643.67"/>
        <n v="3464.5"/>
        <n v="1072.45"/>
        <n v="6007.19"/>
        <n v="3555.95"/>
        <m/>
      </sharedItems>
    </cacheField>
    <cacheField name="LTP" numFmtId="164">
      <sharedItems containsString="0" containsBlank="1" containsNumber="1">
        <n v="1569.0"/>
        <n v="2823.1"/>
        <n v="512.3"/>
        <n v="369.7"/>
        <n v="1224.5"/>
        <n v="1014.0"/>
        <n v="948.0"/>
        <n v="441.05"/>
        <n v="2042.0"/>
        <n v="292.9"/>
        <n v="6480.0"/>
        <n v="360.0"/>
        <n v="170.82"/>
        <n v="1501.5"/>
        <n v="382.4"/>
        <n v="271.3"/>
        <n v="3916.6"/>
        <n v="763.0"/>
        <n v="298.5"/>
        <n v="302.9"/>
        <n v="680.5"/>
        <n v="3305.1"/>
        <n v="1185.2"/>
        <n v="12855.0"/>
        <n v="4070.0"/>
        <m/>
      </sharedItems>
    </cacheField>
    <cacheField name="QTY" numFmtId="0">
      <sharedItems containsString="0" containsBlank="1" containsNumber="1" containsInteger="1">
        <n v="5.0"/>
        <n v="10.0"/>
        <n v="2.0"/>
        <n v="4.0"/>
        <n v="8.0"/>
        <n v="15.0"/>
        <n v="25.0"/>
        <n v="3.0"/>
        <n v="1.0"/>
        <n v="12.0"/>
        <n v="40.0"/>
        <n v="20.0"/>
        <n v="50.0"/>
        <n v="21.0"/>
        <n v="11.0"/>
        <n v="7.0"/>
        <n v="43.0"/>
        <n v="28.0"/>
        <n v="23.0"/>
        <m/>
      </sharedItems>
    </cacheField>
    <cacheField name="Invested" numFmtId="164">
      <sharedItems containsString="0" containsBlank="1" containsNumber="1">
        <n v="12426.75"/>
        <n v="16850.0"/>
        <n v="4669.5"/>
        <n v="2553.0"/>
        <n v="3277.2000000000003"/>
        <n v="4392.5"/>
        <n v="4726.0"/>
        <n v="4725.0"/>
        <n v="4891.25"/>
        <n v="4370.700000000001"/>
        <n v="4616.25"/>
        <n v="3554.35"/>
        <n v="1602.0"/>
        <n v="4552.0"/>
        <n v="4086.0"/>
        <n v="4436.0"/>
        <n v="20550.0"/>
        <n v="14651.7"/>
        <n v="15396.0"/>
        <n v="7033.4"/>
        <n v="7.0"/>
        <n v="10866.1"/>
        <n v="19723.2"/>
        <n v="39626.4"/>
        <n v="21057.649999999998"/>
        <n v="21303.6"/>
        <n v="14775.0"/>
        <m/>
      </sharedItems>
    </cacheField>
    <cacheField name="Turnover" numFmtId="164">
      <sharedItems containsString="0" containsBlank="1" containsNumber="1">
        <n v="12426.75"/>
        <n v="36087.0"/>
        <n v="4669.5"/>
        <n v="5143.8"/>
        <n v="3277.2000000000003"/>
        <n v="8670.25"/>
        <n v="9342.0"/>
        <n v="9864.75"/>
        <n v="9632.5"/>
        <n v="9175.2"/>
        <n v="9671.25"/>
        <n v="7223.35"/>
        <n v="3527.3999999999996"/>
        <n v="11288.8"/>
        <n v="8685.4"/>
        <n v="9276.0"/>
        <n v="39402.5"/>
        <n v="28253.4"/>
        <n v="30836.25"/>
        <n v="7033.4"/>
        <n v="7.0"/>
        <n v="20218.6"/>
        <n v="37745.96"/>
        <n v="77735.9"/>
        <n v="45724.0"/>
        <n v="45332.36"/>
        <n v="32554.75"/>
        <m/>
      </sharedItems>
    </cacheField>
    <cacheField name="Unrealised P/L" numFmtId="164">
      <sharedItems containsString="0" containsBlank="1" containsNumber="1">
        <n v="-4581.75"/>
        <n v="0.0"/>
        <n v="-1531.5"/>
        <n v="419.7999999999996"/>
        <n v="1359.6000000000004"/>
        <n v="2082.5"/>
        <m/>
      </sharedItems>
    </cacheField>
    <cacheField name="U P/L %" numFmtId="10">
      <sharedItems containsString="0" containsBlank="1" containsNumber="1">
        <n v="-0.36870058543062345"/>
        <n v="0.0"/>
        <n v="-0.327979441053646"/>
        <n v="0.1280971561088733"/>
        <n v="0.193306224585549"/>
        <n v="297.5"/>
        <m/>
      </sharedItems>
    </cacheField>
    <cacheField name="Change" numFmtId="164">
      <sharedItems containsString="0" containsBlank="1" containsNumber="1">
        <n v="-6.4"/>
        <n v="0.0"/>
        <n v="-0.2"/>
        <n v="1.2"/>
        <n v="-0.25"/>
        <m/>
      </sharedItems>
    </cacheField>
    <cacheField name="change2" numFmtId="164">
      <sharedItems containsString="0" containsBlank="1" containsNumber="1">
        <n v="-32.0"/>
        <n v="0.0"/>
        <n v="-12.8"/>
        <n v="-2.0"/>
        <n v="13.2"/>
        <n v="-1.75"/>
        <m/>
      </sharedItems>
    </cacheField>
    <cacheField name="Realised P/L" numFmtId="164">
      <sharedItems containsString="0" containsBlank="1" containsNumber="1">
        <n v="0.0"/>
        <n v="2387.0000000000005"/>
        <n v="37.80000000000018"/>
        <n v="-114.75000000000023"/>
        <n v="-110.0"/>
        <n v="414.74999999999966"/>
        <n v="-150.0"/>
        <n v="433.7999999999997"/>
        <n v="438.74999999999955"/>
        <n v="114.65000000000009"/>
        <n v="323.39999999999986"/>
        <n v="2184.7999999999997"/>
        <n v="513.3999999999996"/>
        <n v="403.9999999999998"/>
        <n v="-1697.4999999999995"/>
        <n v="-1050.0"/>
        <n v="44.25000000000182"/>
        <n v="-1513.5999999999995"/>
        <n v="-1700.4400000000005"/>
        <n v="-1516.900000000001"/>
        <n v="3608.700000000002"/>
        <n v="2725.16"/>
        <n v="3004.749999999999"/>
        <m/>
      </sharedItems>
    </cacheField>
    <cacheField name="R P/L %" numFmtId="10">
      <sharedItems containsString="0" containsBlank="1" containsNumber="1">
        <n v="0.0"/>
        <n v="0.14166172106824929"/>
        <n v="0.014806110458284442"/>
        <n v="-0.026124075128059244"/>
        <n v="-0.023275497249259414"/>
        <n v="0.0877777777777777"/>
        <n v="-0.030667007411193457"/>
        <n v="0.09925183609032871"/>
        <n v="0.0950446791226644"/>
        <n v="0.03225624938455698"/>
        <n v="0.20187265917602987"/>
        <n v="0.4799648506151142"/>
        <n v="0.12564855604503172"/>
        <n v="0.09107303877366991"/>
        <n v="-0.08260340632603404"/>
        <n v="-0.0716640389852372"/>
        <n v="0.0028741231488699547"/>
        <n v="-0.13929560743965172"/>
        <n v="-0.08621521862578084"/>
        <n v="-0.038280035531867665"/>
        <n v="0.1713723991043636"/>
        <n v="0.12792016372819617"/>
        <n v="0.2033671742808798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40" sheet="Equity_Trade-2023"/>
  </cacheSource>
  <cacheFields>
    <cacheField name=" 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</sharedItems>
    </cacheField>
    <cacheField name="SYMBOL" numFmtId="164">
      <sharedItems containsBlank="1">
        <s v="RELIANCE"/>
        <s v="GRASIM"/>
        <s v="CONCOR"/>
        <s v="BPCL"/>
        <s v="AXISBANK"/>
        <s v="JINDALSTEL"/>
        <s v="AJMERA"/>
        <s v="INDIACEM"/>
        <s v="BAJAJFINSV"/>
        <s v="BANKBARODA"/>
        <s v="DIVISLAB"/>
        <s v="RAILTEL"/>
        <s v="TATASTEEL"/>
        <s v="CIPLA"/>
        <s v="TATAPOWER"/>
        <s v="WIPRO"/>
        <s v="TITAN"/>
        <s v="HDFCLIFE"/>
        <s v="JIOFIN"/>
        <s v="RBLBANK"/>
        <s v="IRCTC"/>
        <s v="TCS"/>
        <s v="TATACONSUM"/>
        <s v="DIXON"/>
        <s v="LT"/>
        <m/>
      </sharedItems>
    </cacheField>
    <cacheField name="Holder" numFmtId="0">
      <sharedItems containsBlank="1">
        <s v="ESPRESSO"/>
        <s v="DHAN"/>
        <s v="Ramkishor"/>
        <s v="FYERA"/>
        <s v="Paytm"/>
        <m/>
      </sharedItems>
    </cacheField>
    <cacheField name="Buy Date" numFmtId="165">
      <sharedItems containsDate="1" containsString="0" containsBlank="1">
        <d v="2023-01-18T00:00:00Z"/>
        <d v="2023-01-30T00:00:00Z"/>
        <d v="2023-02-01T00:00:00Z"/>
        <d v="2023-02-03T00:00:00Z"/>
        <d v="2023-04-24T00:00:00Z"/>
        <d v="2023-05-02T00:00:00Z"/>
        <d v="2023-05-16T00:00:00Z"/>
        <d v="2023-05-23T00:00:00Z"/>
        <d v="2023-05-29T00:00:00Z"/>
        <d v="2023-06-01T00:00:00Z"/>
        <d v="2023-06-07T00:00:00Z"/>
        <d v="2023-06-14T00:00:00Z"/>
        <d v="2023-06-26T00:00:00Z"/>
        <d v="2023-07-23T00:00:00Z"/>
        <d v="2023-08-07T00:00:00Z"/>
        <d v="2023-08-21T00:00:00Z"/>
        <d v="2023-08-30T00:00:00Z"/>
        <m/>
        <d v="2023-10-03T00:00:00Z"/>
        <d v="2023-10-06T00:00:00Z"/>
        <d v="2023-10-13T00:00:00Z"/>
        <d v="2023-11-06T00:00:00Z"/>
      </sharedItems>
    </cacheField>
    <cacheField name="Buy" numFmtId="164">
      <sharedItems containsString="0" containsBlank="1" containsNumber="1">
        <n v="2485.35"/>
        <n v="1685.0"/>
        <n v="2334.75"/>
        <n v="638.25"/>
        <n v="327.72"/>
        <n v="878.5"/>
        <n v="590.75"/>
        <n v="315.0"/>
        <n v="195.65"/>
        <n v="1456.9"/>
        <n v="184.65"/>
        <n v="3554.35"/>
        <n v="133.5"/>
        <n v="113.8"/>
        <n v="1021.5"/>
        <n v="221.8"/>
        <n v="411.0"/>
        <n v="697.7"/>
        <n v="3079.2"/>
        <n v="639.4"/>
        <n v="1.0"/>
        <n v="252.7"/>
        <n v="704.4"/>
        <n v="3602.4"/>
        <n v="915.55"/>
        <n v="5325.9"/>
        <n v="2955.0"/>
        <m/>
      </sharedItems>
    </cacheField>
    <cacheField name="Sell Date" numFmtId="0">
      <sharedItems containsDate="1" containsString="0" containsBlank="1">
        <m/>
        <d v="2023-09-14T00:00:00Z"/>
        <d v="2023-08-14T00:00:00Z"/>
        <d v="2023-04-28T00:00:00Z"/>
        <d v="2023-05-12T00:00:00Z"/>
        <d v="2023-05-19T00:00:00Z"/>
        <d v="2023-05-24T00:00:00Z"/>
        <d v="2023-07-04T00:00:00Z"/>
        <d v="2023-08-01T00:00:00Z"/>
        <d v="2023-07-25T00:00:00Z"/>
        <d v="2023-07-10T00:00:00Z"/>
        <d v="2023-07-27T00:00:00Z"/>
        <d v="2023-10-26T00:00:00Z"/>
        <d v="2023-09-04T00:00:00Z"/>
        <d v="2023-10-19T00:00:00Z"/>
        <d v="2023-12-29T00:00:00Z"/>
        <d v="2023-12-01T00:00:00Z"/>
        <d v="2023-12-28T00:00:00Z"/>
      </sharedItems>
    </cacheField>
    <cacheField name="Sell" numFmtId="164">
      <sharedItems containsString="0" containsBlank="1" containsNumber="1">
        <n v="0.0"/>
        <n v="1923.7"/>
        <n v="647.7"/>
        <n v="855.55"/>
        <n v="577.0"/>
        <n v="342.65"/>
        <n v="189.65"/>
        <n v="1601.5"/>
        <n v="202.2"/>
        <n v="3669.0"/>
        <n v="160.45"/>
        <n v="168.42"/>
        <n v="1149.85"/>
        <n v="242.0"/>
        <n v="377.05"/>
        <n v="3088.05"/>
        <n v="217.5"/>
        <n v="643.67"/>
        <n v="3464.5"/>
        <n v="1072.45"/>
        <n v="6007.19"/>
        <n v="3555.95"/>
        <m/>
      </sharedItems>
    </cacheField>
    <cacheField name="LTP" numFmtId="164">
      <sharedItems containsString="0" containsBlank="1" containsNumber="1">
        <n v="1569.0"/>
        <n v="2823.1"/>
        <n v="512.3"/>
        <n v="369.7"/>
        <n v="1224.5"/>
        <n v="1014.0"/>
        <n v="948.0"/>
        <n v="441.05"/>
        <n v="2042.0"/>
        <n v="292.9"/>
        <n v="6480.0"/>
        <n v="360.0"/>
        <n v="170.82"/>
        <n v="1501.5"/>
        <n v="382.4"/>
        <n v="271.3"/>
        <n v="3916.6"/>
        <n v="763.0"/>
        <n v="298.5"/>
        <n v="302.9"/>
        <n v="680.5"/>
        <n v="3305.1"/>
        <n v="1185.2"/>
        <n v="12855.0"/>
        <n v="4070.0"/>
        <m/>
      </sharedItems>
    </cacheField>
    <cacheField name="QTY" numFmtId="0">
      <sharedItems containsString="0" containsBlank="1" containsNumber="1" containsInteger="1">
        <n v="5.0"/>
        <n v="10.0"/>
        <n v="2.0"/>
        <n v="4.0"/>
        <n v="8.0"/>
        <n v="15.0"/>
        <n v="25.0"/>
        <n v="3.0"/>
        <n v="1.0"/>
        <n v="12.0"/>
        <n v="40.0"/>
        <n v="20.0"/>
        <n v="50.0"/>
        <n v="21.0"/>
        <n v="11.0"/>
        <n v="7.0"/>
        <n v="43.0"/>
        <n v="28.0"/>
        <n v="23.0"/>
        <m/>
      </sharedItems>
    </cacheField>
    <cacheField name="Invested" numFmtId="164">
      <sharedItems containsString="0" containsBlank="1" containsNumber="1">
        <n v="12426.75"/>
        <n v="16850.0"/>
        <n v="4669.5"/>
        <n v="2553.0"/>
        <n v="3277.2000000000003"/>
        <n v="4392.5"/>
        <n v="4726.0"/>
        <n v="4725.0"/>
        <n v="4891.25"/>
        <n v="4370.700000000001"/>
        <n v="4616.25"/>
        <n v="3554.35"/>
        <n v="1602.0"/>
        <n v="4552.0"/>
        <n v="4086.0"/>
        <n v="4436.0"/>
        <n v="20550.0"/>
        <n v="14651.7"/>
        <n v="15396.0"/>
        <n v="7033.4"/>
        <n v="7.0"/>
        <n v="10866.1"/>
        <n v="19723.2"/>
        <n v="39626.4"/>
        <n v="21057.649999999998"/>
        <n v="21303.6"/>
        <n v="14775.0"/>
        <m/>
      </sharedItems>
    </cacheField>
    <cacheField name="Turnover" numFmtId="164">
      <sharedItems containsString="0" containsBlank="1" containsNumber="1">
        <n v="12426.75"/>
        <n v="36087.0"/>
        <n v="4669.5"/>
        <n v="5143.8"/>
        <n v="3277.2000000000003"/>
        <n v="8670.25"/>
        <n v="9342.0"/>
        <n v="9864.75"/>
        <n v="9632.5"/>
        <n v="9175.2"/>
        <n v="9671.25"/>
        <n v="7223.35"/>
        <n v="3527.3999999999996"/>
        <n v="11288.8"/>
        <n v="8685.4"/>
        <n v="9276.0"/>
        <n v="39402.5"/>
        <n v="28253.4"/>
        <n v="30836.25"/>
        <n v="7033.4"/>
        <n v="7.0"/>
        <n v="20218.6"/>
        <n v="37745.96"/>
        <n v="77735.9"/>
        <n v="45724.0"/>
        <n v="45332.36"/>
        <n v="32554.75"/>
        <m/>
      </sharedItems>
    </cacheField>
    <cacheField name="Unrealised P/L" numFmtId="164">
      <sharedItems containsString="0" containsBlank="1" containsNumber="1">
        <n v="-4581.75"/>
        <n v="0.0"/>
        <n v="-1531.5"/>
        <n v="419.7999999999996"/>
        <n v="1359.6000000000004"/>
        <n v="2082.5"/>
        <m/>
      </sharedItems>
    </cacheField>
    <cacheField name="U P/L %" numFmtId="10">
      <sharedItems containsString="0" containsBlank="1" containsNumber="1">
        <n v="-0.36870058543062345"/>
        <n v="0.0"/>
        <n v="-0.327979441053646"/>
        <n v="0.1280971561088733"/>
        <n v="0.193306224585549"/>
        <n v="297.5"/>
        <m/>
      </sharedItems>
    </cacheField>
    <cacheField name="Change" numFmtId="164">
      <sharedItems containsString="0" containsBlank="1" containsNumber="1">
        <n v="-6.4"/>
        <n v="0.0"/>
        <n v="-0.2"/>
        <n v="1.2"/>
        <n v="-0.25"/>
        <m/>
      </sharedItems>
    </cacheField>
    <cacheField name="change2" numFmtId="164">
      <sharedItems containsString="0" containsBlank="1" containsNumber="1">
        <n v="-32.0"/>
        <n v="0.0"/>
        <n v="-12.8"/>
        <n v="-2.0"/>
        <n v="13.2"/>
        <n v="-1.75"/>
        <m/>
      </sharedItems>
    </cacheField>
    <cacheField name="Realised P/L" numFmtId="164">
      <sharedItems containsString="0" containsBlank="1" containsNumber="1">
        <n v="0.0"/>
        <n v="2387.0000000000005"/>
        <n v="37.80000000000018"/>
        <n v="-114.75000000000023"/>
        <n v="-110.0"/>
        <n v="414.74999999999966"/>
        <n v="-150.0"/>
        <n v="433.7999999999997"/>
        <n v="438.74999999999955"/>
        <n v="114.65000000000009"/>
        <n v="323.39999999999986"/>
        <n v="2184.7999999999997"/>
        <n v="513.3999999999996"/>
        <n v="403.9999999999998"/>
        <n v="-1697.4999999999995"/>
        <n v="-1050.0"/>
        <n v="44.25000000000182"/>
        <n v="-1513.5999999999995"/>
        <n v="-1700.4400000000005"/>
        <n v="-1516.900000000001"/>
        <n v="3608.700000000002"/>
        <n v="2725.16"/>
        <n v="3004.749999999999"/>
        <m/>
      </sharedItems>
    </cacheField>
    <cacheField name="R P/L %" numFmtId="10">
      <sharedItems containsString="0" containsBlank="1" containsNumber="1">
        <n v="0.0"/>
        <n v="0.14166172106824929"/>
        <n v="0.014806110458284442"/>
        <n v="-0.026124075128059244"/>
        <n v="-0.023275497249259414"/>
        <n v="0.0877777777777777"/>
        <n v="-0.030667007411193457"/>
        <n v="0.09925183609032871"/>
        <n v="0.0950446791226644"/>
        <n v="0.03225624938455698"/>
        <n v="0.20187265917602987"/>
        <n v="0.4799648506151142"/>
        <n v="0.12564855604503172"/>
        <n v="0.09107303877366991"/>
        <n v="-0.08260340632603404"/>
        <n v="-0.0716640389852372"/>
        <n v="0.0028741231488699547"/>
        <n v="-0.13929560743965172"/>
        <n v="-0.08621521862578084"/>
        <n v="-0.038280035531867665"/>
        <n v="0.1713723991043636"/>
        <n v="0.12792016372819617"/>
        <n v="0.2033671742808798"/>
        <m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27" sheet="Equity_Trade-2022"/>
  </cacheSource>
  <cacheFields>
    <cacheField name=" 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4.0"/>
        <n v="25.0"/>
        <n v="26.0"/>
        <n v="27.0"/>
      </sharedItems>
    </cacheField>
    <cacheField name="SYMBOL" numFmtId="164">
      <sharedItems>
        <s v="WIPRO"/>
        <s v="GRASIM"/>
        <s v="HDFC"/>
        <s v="TATAPOWER"/>
        <s v="HDFCBANK"/>
        <s v="LT"/>
        <s v="HCLTECH"/>
        <s v="MINDTREE"/>
        <s v="AWL"/>
        <s v="HINDUNILVR"/>
        <s v="DEEPAKNTR"/>
        <s v="SBILIFE"/>
        <s v="MGL"/>
        <s v="RELIANCE"/>
        <s v="TCS"/>
        <s v="TATAMOTORS"/>
        <s v="CONCOR"/>
        <s v="JSWSTEEL"/>
      </sharedItems>
    </cacheField>
    <cacheField name="Holder" numFmtId="0">
      <sharedItems>
        <s v="Sudhadevi"/>
        <s v="Ramkishor"/>
        <s v="Dashrathlal"/>
      </sharedItems>
    </cacheField>
    <cacheField name="Buy Date" numFmtId="165">
      <sharedItems containsSemiMixedTypes="0" containsDate="1" containsString="0">
        <d v="2022-01-04T00:00:00Z"/>
        <d v="2022-01-07T00:00:00Z"/>
        <d v="2022-01-28T00:00:00Z"/>
        <d v="2022-02-08T00:00:00Z"/>
        <d v="2022-03-09T00:00:00Z"/>
        <d v="2022-03-14T00:00:00Z"/>
        <d v="2022-03-22T00:00:00Z"/>
        <d v="2022-03-23T00:00:00Z"/>
        <d v="2022-03-24T00:00:00Z"/>
        <d v="2022-03-29T00:00:00Z"/>
        <d v="2022-04-11T00:00:00Z"/>
        <d v="2022-04-27T00:00:00Z"/>
        <d v="2022-05-13T00:00:00Z"/>
        <d v="2022-12-08T00:00:00Z"/>
        <d v="2022-12-14T00:00:00Z"/>
      </sharedItems>
    </cacheField>
    <cacheField name="Buy" numFmtId="164">
      <sharedItems containsSemiMixedTypes="0" containsString="0" containsNumber="1">
        <n v="714.25"/>
        <n v="1669.0"/>
        <n v="2645.75"/>
        <n v="225.15"/>
        <n v="1520.0"/>
        <n v="1938.0"/>
        <n v="1293.3"/>
        <n v="1090.7"/>
        <n v="3741.85"/>
        <n v="230.0"/>
        <n v="1990.0"/>
        <n v="2056.8"/>
        <n v="1070.4"/>
        <n v="777.0"/>
        <n v="2522.9"/>
        <n v="3718.0"/>
        <n v="1439.0"/>
        <n v="437.6"/>
        <n v="1505.2"/>
        <n v="3549.5"/>
        <n v="1305.9"/>
        <n v="784.0"/>
        <n v="749.35"/>
      </sharedItems>
    </cacheField>
    <cacheField name="Sell Date" numFmtId="0">
      <sharedItems containsDate="1" containsString="0" containsBlank="1">
        <m/>
        <d v="2022-01-11T00:00:00Z"/>
        <d v="2022-12-08T00:00:00Z"/>
        <d v="2022-04-06T00:00:00Z"/>
        <d v="2022-01-13T00:00:00Z"/>
        <d v="2022-03-10T00:00:00Z"/>
        <d v="2022-02-08T00:00:00Z"/>
        <d v="2022-03-11T00:00:00Z"/>
        <d v="2022-03-14T00:00:00Z"/>
        <d v="2022-03-17T00:00:00Z"/>
        <d v="2022-04-01T00:00:00Z"/>
        <d v="2022-03-24T00:00:00Z"/>
        <d v="2022-03-28T00:00:00Z"/>
        <d v="2022-03-31T00:00:00Z"/>
        <d v="2022-04-04T00:00:00Z"/>
        <d v="2022-05-31T00:00:00Z"/>
        <d v="2022-12-09T00:00:00Z"/>
        <d v="2022-12-01T00:00:00Z"/>
        <d v="2022-12-16T00:00:00Z"/>
      </sharedItems>
    </cacheField>
    <cacheField name="Sell" numFmtId="164">
      <sharedItems containsSemiMixedTypes="0" containsString="0" containsNumber="1">
        <n v="0.0"/>
        <n v="1853.85"/>
        <n v="2652.03"/>
        <n v="293.55"/>
        <n v="1539.1"/>
        <n v="1985.3"/>
        <n v="4107.05"/>
        <n v="248.0"/>
        <n v="2093.0"/>
        <n v="2167.0"/>
        <n v="1115.6"/>
        <n v="792.7"/>
        <n v="2570.4"/>
        <n v="3670.0"/>
        <n v="1482.1"/>
        <n v="1646.75"/>
        <n v="448.0"/>
        <n v="448.75"/>
        <n v="1624.85"/>
        <n v="3400.0"/>
        <n v="1401.25"/>
        <n v="758.8"/>
        <n v="740.15"/>
      </sharedItems>
    </cacheField>
    <cacheField name="LTP">
      <sharedItems containsMixedTypes="1" containsNumber="1">
        <n v="271.3"/>
        <n v="2823.1"/>
        <e v="#N/A"/>
        <n v="382.4"/>
        <n v="997.0"/>
        <n v="4070.0"/>
        <n v="1674.8"/>
        <n v="3400.0"/>
        <n v="238.85"/>
        <n v="2298.1"/>
        <n v="1697.9"/>
        <n v="2024.0"/>
        <n v="1144.1"/>
        <n v="1569.0"/>
        <n v="3305.1"/>
        <n v="512.3"/>
        <n v="1095.9"/>
      </sharedItems>
    </cacheField>
    <cacheField name="QTY" numFmtId="0">
      <sharedItems containsSemiMixedTypes="0" containsString="0" containsNumber="1" containsInteger="1">
        <n v="18.0"/>
        <n v="7.0"/>
        <n v="4.0"/>
        <n v="22.0"/>
        <n v="30.0"/>
        <n v="10.0"/>
        <n v="15.0"/>
        <n v="3.0"/>
        <n v="65.0"/>
        <n v="8.0"/>
        <n v="5.0"/>
        <n v="1.0"/>
        <n v="2.0"/>
        <n v="13.0"/>
        <n v="14.0"/>
      </sharedItems>
    </cacheField>
    <cacheField name="Invested" numFmtId="164">
      <sharedItems containsSemiMixedTypes="0" containsString="0" containsNumber="1">
        <n v="12856.5"/>
        <n v="11683.0"/>
        <n v="10583.0"/>
        <n v="4953.3"/>
        <n v="6754.5"/>
        <n v="15200.0"/>
        <n v="29070.0"/>
        <n v="12933.0"/>
        <n v="7634.900000000001"/>
        <n v="11225.55"/>
        <n v="14950.0"/>
        <n v="15920.0"/>
        <n v="14397.600000000002"/>
        <n v="16056.000000000002"/>
        <n v="11655.0"/>
        <n v="12614.5"/>
        <n v="14872.0"/>
        <n v="7195.0"/>
        <n v="6564.0"/>
        <n v="15052.0"/>
        <n v="3549.5"/>
        <n v="2611.8"/>
        <n v="10192.0"/>
        <n v="10490.9"/>
      </sharedItems>
    </cacheField>
    <cacheField name="Turnover" numFmtId="164">
      <sharedItems containsSemiMixedTypes="0" containsString="0" containsNumber="1">
        <n v="12856.5"/>
        <n v="24659.95"/>
        <n v="21191.120000000003"/>
        <n v="4953.3"/>
        <n v="15561.000000000002"/>
        <n v="30591.0"/>
        <n v="58849.5"/>
        <n v="12933.0"/>
        <n v="7634.900000000001"/>
        <n v="23546.699999999997"/>
        <n v="31070.0"/>
        <n v="32664.0"/>
        <n v="29566.600000000002"/>
        <n v="32790.0"/>
        <n v="23545.5"/>
        <n v="25466.5"/>
        <n v="29552.0"/>
        <n v="14605.5"/>
        <n v="15428.75"/>
        <n v="13284.0"/>
        <n v="13295.25"/>
        <n v="31300.5"/>
        <n v="6949.5"/>
        <n v="5414.3"/>
        <n v="20056.399999999998"/>
        <n v="20853.0"/>
      </sharedItems>
    </cacheField>
    <cacheField name="Unrealised P/L" numFmtId="164">
      <sharedItems containsSemiMixedTypes="0" containsString="0" containsNumber="1">
        <n v="-7973.099999999999"/>
        <n v="0.0"/>
        <n v="3459.4999999999995"/>
        <n v="3815.0"/>
        <n v="4088.6999999999994"/>
      </sharedItems>
    </cacheField>
    <cacheField name="U P/L %" numFmtId="10">
      <sharedItems containsSemiMixedTypes="0" containsString="0" containsNumber="1">
        <n v="-0.6201610080504025"/>
        <n v="0.0"/>
        <n v="0.6984232733733066"/>
        <n v="0.2949818294285935"/>
        <n v="0.5355276427982029"/>
      </sharedItems>
    </cacheField>
    <cacheField name="Realised P/L" numFmtId="164">
      <sharedItems containsSemiMixedTypes="0" containsString="0" containsNumber="1">
        <n v="0.0"/>
        <n v="1293.9499999999994"/>
        <n v="25.1200000000008"/>
        <n v="2052.0"/>
        <n v="190.9999999999991"/>
        <n v="709.4999999999993"/>
        <n v="1095.6000000000008"/>
        <n v="1170.0"/>
        <n v="824.0"/>
        <n v="771.3999999999987"/>
        <n v="677.9999999999973"/>
        <n v="235.50000000000068"/>
        <n v="237.5"/>
        <n v="-192.0"/>
        <n v="215.49999999999955"/>
        <n v="1038.75"/>
        <n v="155.99999999999966"/>
        <n v="167.24999999999966"/>
        <n v="1196.4999999999986"/>
        <n v="-149.5"/>
        <n v="190.69999999999982"/>
        <n v="-327.6000000000006"/>
        <n v="-128.80000000000064"/>
      </sharedItems>
    </cacheField>
    <cacheField name="R P/L %" numFmtId="10">
      <sharedItems containsSemiMixedTypes="0" containsString="0" containsNumber="1">
        <n v="0.0"/>
        <n v="0.11075494307968838"/>
        <n v="0.0023736180667108383"/>
        <n v="0.3037974683544304"/>
        <n v="0.01256578947368415"/>
        <n v="0.024406604747162"/>
        <n v="0.0975987813514706"/>
        <n v="0.0782608695652174"/>
        <n v="0.05175879396984925"/>
        <n v="0.05357837417347326"/>
        <n v="0.04222720478325842"/>
        <n v="0.020205920205920266"/>
        <n v="0.018827539736018074"/>
        <n v="-0.012910166756320602"/>
        <n v="0.029951355107713625"/>
        <n v="0.14437109103544127"/>
        <n v="0.02376599634369282"/>
        <n v="0.02547989031078605"/>
        <n v="0.07949109752856753"/>
        <n v="-0.042118608254683755"/>
        <n v="0.07301477907956191"/>
        <n v="-0.0321428571428572"/>
        <n v="-0.01227730699939954"/>
      </sharedItems>
    </cacheField>
    <cacheField name="STT" numFmtId="164">
      <sharedItems containsSemiMixedTypes="0" containsString="0" containsNumber="1">
        <n v="12.8565"/>
        <n v="24.659950000000002"/>
        <n v="21.19112"/>
        <n v="4.9533000000000005"/>
        <n v="15.561000000000002"/>
        <n v="30.591"/>
        <n v="58.8495"/>
        <n v="12.933"/>
        <n v="7.634900000000001"/>
        <n v="23.546699999999998"/>
        <n v="31.07"/>
        <n v="32.664"/>
        <n v="29.5666"/>
        <n v="32.79"/>
        <n v="23.5455"/>
        <n v="25.4665"/>
        <n v="29.552"/>
        <n v="14.605500000000001"/>
        <n v="15.42875"/>
        <n v="13.284"/>
        <n v="13.295250000000001"/>
        <n v="31.3005"/>
        <n v="6.9495000000000005"/>
        <n v="5.4143"/>
        <n v="20.0564"/>
        <n v="20.853"/>
      </sharedItems>
    </cacheField>
    <cacheField name="Ex Txn Chg" numFmtId="164">
      <sharedItems containsSemiMixedTypes="0" containsString="0" containsNumber="1">
        <n v="0.41783624999999996"/>
        <n v="0.801448375"/>
        <n v="0.6887114"/>
        <n v="0.16098225"/>
        <n v="0.5057325"/>
        <n v="0.9942074999999999"/>
        <n v="1.9126087499999997"/>
        <n v="0.4203225"/>
        <n v="0.24813425"/>
        <n v="0.7652677499999998"/>
        <n v="1.0097749999999999"/>
        <n v="1.06158"/>
        <n v="0.9609145"/>
        <n v="1.065675"/>
        <n v="0.7652287499999999"/>
        <n v="0.8276612499999999"/>
        <n v="0.96044"/>
        <n v="0.47467875"/>
        <n v="0.501434375"/>
        <n v="0.43172999999999995"/>
        <n v="0.432095625"/>
        <n v="1.0172662499999998"/>
        <n v="0.22585874999999997"/>
        <n v="0.17596475"/>
        <n v="0.6518329999999999"/>
        <n v="0.6777224999999999"/>
      </sharedItems>
    </cacheField>
    <cacheField name="GST" numFmtId="164">
      <sharedItems containsSemiMixedTypes="0" containsString="0" containsNumber="1">
        <n v="0.07521052499999999"/>
        <n v="0.1442607075"/>
        <n v="0.123968052"/>
        <n v="0.028976804999999998"/>
        <n v="0.09103185"/>
        <n v="0.17895735"/>
        <n v="0.34426957499999994"/>
        <n v="0.07565804999999999"/>
        <n v="0.044664165"/>
        <n v="0.13774819499999996"/>
        <n v="0.18175949999999996"/>
        <n v="0.1910844"/>
        <n v="0.17296461"/>
        <n v="0.19182149999999998"/>
        <n v="0.13774117499999997"/>
        <n v="0.148979025"/>
        <n v="0.17287919999999998"/>
        <n v="0.085442175"/>
        <n v="0.09025818749999999"/>
        <n v="0.07771139999999999"/>
        <n v="0.0777772125"/>
        <n v="0.18310792499999995"/>
        <n v="0.04065457499999999"/>
        <n v="0.031673655"/>
        <n v="0.11732993999999998"/>
        <n v="0.12199004999999997"/>
      </sharedItems>
    </cacheField>
    <cacheField name="SEBI charges" numFmtId="164">
      <sharedItems containsSemiMixedTypes="0" containsString="0" containsNumber="1">
        <n v="0.00642825"/>
        <n v="0.012329975"/>
        <n v="0.01059556"/>
        <n v="0.00247665"/>
        <n v="0.007780500000000001"/>
        <n v="0.0152955"/>
        <n v="0.02942475"/>
        <n v="0.0064665"/>
        <n v="0.00381745"/>
        <n v="0.011773349999999998"/>
        <n v="0.015534999999999998"/>
        <n v="0.016332"/>
        <n v="0.014783300000000001"/>
        <n v="0.016395"/>
        <n v="0.01177275"/>
        <n v="0.01273325"/>
        <n v="0.014776"/>
        <n v="0.007302749999999999"/>
        <n v="0.007714375"/>
        <n v="0.0066419999999999995"/>
        <n v="0.006647625"/>
        <n v="0.01565025"/>
        <n v="0.00347475"/>
        <n v="0.00270715"/>
        <n v="0.0100282"/>
        <n v="0.0104265"/>
      </sharedItems>
    </cacheField>
    <cacheField name="Total tax and charges" numFmtId="164">
      <sharedItems containsSemiMixedTypes="0" containsString="0" containsNumber="1">
        <n v="13.355975025000001"/>
        <n v="25.6179890575"/>
        <n v="22.014395011999998"/>
        <n v="5.145735705000001"/>
        <n v="16.16554485"/>
        <n v="31.779460350000004"/>
        <n v="61.13580307499999"/>
        <n v="13.435447049999999"/>
        <n v="7.931515865000001"/>
        <n v="24.461489294999996"/>
        <n v="32.277069499999996"/>
        <n v="33.9329964"/>
        <n v="30.715262410000005"/>
        <n v="34.063891500000004"/>
        <n v="24.460242674999996"/>
        <n v="26.455873524999998"/>
        <n v="30.7000952"/>
        <n v="15.172923675000002"/>
        <n v="16.0281569375"/>
        <n v="13.8000834"/>
        <n v="13.8117704625"/>
        <n v="32.516524425"/>
        <n v="7.219488074999999"/>
        <n v="5.624645555"/>
        <n v="20.835591140000002"/>
        <n v="21.663139050000005"/>
      </sharedItems>
    </cacheField>
    <cacheField name="DP Charges" numFmtId="164">
      <sharedItems containsSemiMixedTypes="0" containsString="0" containsNumber="1">
        <n v="0.0"/>
        <n v="15.34"/>
        <n v="23.6"/>
        <n v="16.0"/>
        <n v="15.4"/>
      </sharedItems>
    </cacheField>
    <cacheField name="Total Charges" numFmtId="164">
      <sharedItems containsSemiMixedTypes="0" containsString="0" containsNumber="1">
        <n v="13.355975025000001"/>
        <n v="40.9579890575"/>
        <n v="37.354395012"/>
        <n v="5.145735705000001"/>
        <n v="31.50554485"/>
        <n v="55.37946035"/>
        <n v="84.73580307499999"/>
        <n v="13.435447049999999"/>
        <n v="7.931515865000001"/>
        <n v="40.46148929499999"/>
        <n v="48.277069499999996"/>
        <n v="57.5329964"/>
        <n v="54.31526241"/>
        <n v="49.4638915"/>
        <n v="39.80024267499999"/>
        <n v="41.795873525"/>
        <n v="46.040095199999996"/>
        <n v="30.512923675000003"/>
        <n v="31.3681569375"/>
        <n v="29.1400834"/>
        <n v="29.1517704625"/>
        <n v="47.856524425"/>
        <n v="22.559488074999997"/>
        <n v="20.964645555"/>
        <n v="36.17559114"/>
        <n v="37.00313905"/>
      </sharedItems>
    </cacheField>
    <cacheField name="Net P/L" numFmtId="164">
      <sharedItems containsSemiMixedTypes="0" containsString="0" containsNumber="1">
        <n v="0.0"/>
        <n v="1252.9920109424993"/>
        <n v="-12.234395011999197"/>
        <n v="2020.49445515"/>
        <n v="135.6205396499991"/>
        <n v="624.7641969249993"/>
        <n v="1055.1385107050007"/>
        <n v="1121.7229305"/>
        <n v="766.4670036"/>
        <n v="717.0847375899987"/>
        <n v="628.5361084999972"/>
        <n v="195.6997573250007"/>
        <n v="195.704126475"/>
        <n v="-238.0400952"/>
        <n v="184.98707632499955"/>
        <n v="1007.3818430625"/>
        <n v="126.85991659999965"/>
        <n v="138.09822953749966"/>
        <n v="1148.6434755749985"/>
        <n v="-172.059488075"/>
        <n v="169.7353544449998"/>
        <n v="-363.7755911400006"/>
        <n v="-165.80313905000065"/>
      </sharedItems>
    </cacheField>
    <cacheField name="Net P/L %" numFmtId="10">
      <sharedItems containsSemiMixedTypes="0" containsString="0" containsNumber="1">
        <n v="0.0"/>
        <n v="0.10724916639069582"/>
        <n v="-0.0011560422386846072"/>
        <n v="0.29913308981419795"/>
        <n v="0.008922403924342046"/>
        <n v="0.021491716440488452"/>
        <n v="0.09399437093995401"/>
        <n v="0.07503163414715719"/>
        <n v="0.04814491228643216"/>
        <n v="0.049805852196893825"/>
        <n v="0.03914649405206758"/>
        <n v="0.01679105596954103"/>
        <n v="0.015514219864045345"/>
        <n v="-0.01600592356105433"/>
        <n v="0.02571050400625428"/>
        <n v="0.14001137499131341"/>
        <n v="0.01932661739792804"/>
        <n v="0.021038730886273563"/>
        <n v="0.07631168453195579"/>
        <n v="-0.048474288794196366"/>
        <n v="0.06498788362240593"/>
        <n v="-0.03569226757653067"/>
        <n v="-0.015804472356995173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51" sheet="Equity_Trade_2021"/>
  </cacheSource>
  <cacheFields>
    <cacheField name="QUITY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</sharedItems>
    </cacheField>
    <cacheField name="SYMBOL" numFmtId="164">
      <sharedItems>
        <s v="WIPRO"/>
        <s v="GRASIM"/>
        <s v="CUPID"/>
        <s v="AUROPHARMA"/>
        <s v="ASIANPAINT"/>
        <s v="ZEEL"/>
        <s v="RELIANCE"/>
        <s v="COALINDIA"/>
        <s v="IDEA"/>
        <s v="VIPIND"/>
        <s v="IDFCFIRSTB"/>
        <s v="FEDERALBNK"/>
        <s v="L&amp;TFH"/>
        <s v="GHCL"/>
        <s v="ITC"/>
        <s v="IBULHSGFIN"/>
        <s v="ICICIBANK"/>
        <s v="RAILTEL"/>
        <s v="EXIDEIND"/>
        <s v="BANKBARODA"/>
        <s v="RECLTD"/>
        <s v="BANDHANBNK"/>
        <s v="IEX"/>
        <s v="MTARTECH"/>
        <s v="ADANIPORTS"/>
        <s v="ADANIPOWER"/>
        <s v="TATAPOWER"/>
        <s v="SBIN"/>
        <s v="AXISBANK"/>
        <s v="ONGC"/>
        <s v="HDFCLIFE"/>
        <s v="TCS"/>
        <s v="TATACONSUM"/>
        <s v="DABUR"/>
        <s v="SUNPHARMA"/>
        <s v="LUPIN"/>
        <s v="TATAMOTORS"/>
        <s v="ZOMATO"/>
        <s v="HDFC"/>
        <s v="DWARKESH"/>
        <s v="KPRMILL"/>
      </sharedItems>
    </cacheField>
    <cacheField name="Holder" numFmtId="0">
      <sharedItems>
        <s v="Sudhadevi"/>
        <s v="Ramkishor"/>
        <s v="Dashrathlal"/>
        <s v="Kamal"/>
      </sharedItems>
    </cacheField>
    <cacheField name="Buy Date" numFmtId="165">
      <sharedItems containsSemiMixedTypes="0" containsDate="1" containsString="0">
        <d v="2021-02-05T00:00:00Z"/>
        <d v="2021-01-04T00:00:00Z"/>
        <d v="2020-12-31T00:00:00Z"/>
        <d v="2021-02-03T00:00:00Z"/>
        <d v="2021-02-09T00:00:00Z"/>
        <d v="2021-02-08T00:00:00Z"/>
        <d v="2021-02-11T00:00:00Z"/>
        <d v="2021-02-15T00:00:00Z"/>
        <d v="2021-02-18T00:00:00Z"/>
        <d v="2021-02-25T00:00:00Z"/>
        <d v="2021-02-26T00:00:00Z"/>
        <d v="2021-02-24T00:00:00Z"/>
        <d v="2021-03-02T00:00:00Z"/>
        <d v="2021-03-03T00:00:00Z"/>
        <d v="2021-03-04T00:00:00Z"/>
        <d v="2021-03-05T00:00:00Z"/>
        <d v="2021-03-12T00:00:00Z"/>
        <d v="2021-03-22T00:00:00Z"/>
        <d v="2021-03-23T00:00:00Z"/>
        <d v="2021-04-05T00:00:00Z"/>
        <d v="2021-04-06T00:00:00Z"/>
        <d v="2021-04-16T00:00:00Z"/>
        <d v="2021-04-28T00:00:00Z"/>
        <d v="2021-04-29T00:00:00Z"/>
        <d v="2021-05-04T00:00:00Z"/>
        <d v="2021-05-07T00:00:00Z"/>
        <d v="2021-05-08T00:00:00Z"/>
        <d v="2021-05-18T00:00:00Z"/>
        <d v="2021-05-31T00:00:00Z"/>
        <d v="2021-06-07T00:00:00Z"/>
        <d v="2021-06-28T00:00:00Z"/>
        <d v="2021-06-29T00:00:00Z"/>
        <d v="2021-07-16T00:00:00Z"/>
        <d v="2021-07-23T00:00:00Z"/>
        <d v="2021-08-13T00:00:00Z"/>
        <d v="2021-08-26T00:00:00Z"/>
        <d v="2021-09-27T00:00:00Z"/>
        <d v="2021-10-05T00:00:00Z"/>
      </sharedItems>
    </cacheField>
    <cacheField name="Buy" numFmtId="164">
      <sharedItems containsSemiMixedTypes="0" containsString="0" containsNumber="1">
        <n v="408.0"/>
        <n v="917.78"/>
        <n v="252.0"/>
        <n v="938.12"/>
        <n v="2520.0"/>
        <n v="220.8"/>
        <n v="1951.32"/>
        <n v="142.16"/>
        <n v="12.15"/>
        <n v="357.1"/>
        <n v="53.9"/>
        <n v="84.89"/>
        <n v="99.7"/>
        <n v="214.5"/>
        <n v="871.0"/>
        <n v="210.2"/>
        <n v="226.0"/>
        <n v="595.9"/>
        <n v="94.0"/>
        <n v="210.0"/>
        <n v="86.2"/>
        <n v="146.6"/>
        <n v="360.0"/>
        <n v="10.7"/>
        <n v="331.0"/>
        <n v="575.0"/>
        <n v="722.5"/>
        <n v="745.0"/>
        <n v="213.9"/>
        <n v="572.6"/>
        <n v="97.6"/>
        <n v="714.0"/>
        <n v="109.6"/>
        <n v="677.6"/>
        <n v="3150.0"/>
        <n v="1425.0"/>
        <n v="652.9"/>
        <n v="545.85"/>
        <n v="674.25"/>
        <n v="1166.5"/>
        <n v="312.3"/>
        <n v="76.0"/>
        <n v="2700.0"/>
        <n v="74.05"/>
        <n v="834.65"/>
        <n v="434.2"/>
      </sharedItems>
    </cacheField>
    <cacheField name="Sell Date" numFmtId="165">
      <sharedItems containsDate="1" containsString="0" containsBlank="1">
        <d v="2021-02-02T00:00:00Z"/>
        <d v="2021-02-08T00:00:00Z"/>
        <d v="2021-02-04T00:00:00Z"/>
        <d v="2021-04-16T00:00:00Z"/>
        <d v="2021-03-31T00:00:00Z"/>
        <d v="2021-06-09T00:00:00Z"/>
        <d v="2021-02-11T00:00:00Z"/>
        <d v="2021-02-25T00:00:00Z"/>
        <m/>
        <d v="2021-02-15T00:00:00Z"/>
        <d v="2021-03-19T00:00:00Z"/>
        <d v="2021-03-04T00:00:00Z"/>
        <d v="2021-03-02T00:00:00Z"/>
        <d v="2021-03-17T00:00:00Z"/>
        <d v="2021-03-03T00:00:00Z"/>
        <d v="2021-02-26T00:00:00Z"/>
        <d v="2021-11-30T00:00:00Z"/>
        <d v="2021-06-07T00:00:00Z"/>
        <d v="2021-03-23T00:00:00Z"/>
        <d v="2021-03-15T00:00:00Z"/>
        <d v="2021-05-28T00:00:00Z"/>
        <d v="2021-04-06T00:00:00Z"/>
        <d v="2021-09-22T00:00:00Z"/>
        <d v="2021-04-26T00:00:00Z"/>
        <d v="2021-04-29T00:00:00Z"/>
        <d v="2021-04-30T00:00:00Z"/>
        <d v="2021-05-17T00:00:00Z"/>
        <d v="2021-05-10T00:00:00Z"/>
        <d v="2021-05-31T00:00:00Z"/>
        <d v="2021-06-03T00:00:00Z"/>
        <d v="2021-07-28T00:00:00Z"/>
        <d v="2021-09-28T00:00:00Z"/>
        <d v="2021-07-23T00:00:00Z"/>
        <d v="2021-09-27T00:00:00Z"/>
        <d v="2021-10-14T00:00:00Z"/>
        <d v="2021-11-03T00:00:00Z"/>
      </sharedItems>
    </cacheField>
    <cacheField name="Sell" numFmtId="164">
      <sharedItems containsSemiMixedTypes="0" containsString="0" containsNumber="1">
        <n v="421.0"/>
        <n v="1160.0"/>
        <n v="228.0"/>
        <n v="920.04"/>
        <n v="942.0"/>
        <n v="2564.0"/>
        <n v="223.75"/>
        <n v="2047.0"/>
        <n v="153.0"/>
        <n v="0.0"/>
        <n v="378.35"/>
        <n v="60.0"/>
        <n v="92.0"/>
        <n v="106.0"/>
        <n v="221.45"/>
        <n v="940.0"/>
        <n v="212.0"/>
        <n v="243.5"/>
        <n v="111.85"/>
        <n v="103.0"/>
        <n v="152.0"/>
        <n v="365.0"/>
        <n v="345.0"/>
        <n v="1090.0"/>
        <n v="782.5"/>
        <n v="815.0"/>
        <n v="243.0"/>
        <n v="595.0"/>
        <n v="99.2"/>
        <n v="101.0"/>
        <n v="372.35"/>
        <n v="723.4"/>
        <n v="114.0"/>
        <n v="685.75"/>
        <n v="3204.0"/>
        <n v="1486.0"/>
        <n v="679.5"/>
        <n v="556.4"/>
        <n v="678.85"/>
        <n v="1097.25"/>
        <n v="333.1"/>
        <n v="121.08"/>
        <n v="2854.0"/>
        <n v="77.05"/>
        <n v="480.0"/>
      </sharedItems>
    </cacheField>
    <cacheField name="LTP">
      <sharedItems containsMixedTypes="1" containsNumber="1">
        <n v="271.3"/>
        <n v="2823.1"/>
        <n v="468.95"/>
        <n v="1216.6"/>
        <n v="2808.0"/>
        <n v="91.8"/>
        <n v="1569.0"/>
        <n v="400.65"/>
        <n v="12.02"/>
        <n v="366.75"/>
        <n v="84.9"/>
        <n v="265.1"/>
        <e v="#N/A"/>
        <n v="570.35"/>
        <n v="408.85"/>
        <n v="1362.4"/>
        <n v="360.0"/>
        <n v="370.5"/>
        <n v="292.9"/>
        <n v="354.0"/>
        <n v="149.56"/>
        <n v="142.07"/>
        <n v="2429.6"/>
        <n v="1492.8"/>
        <n v="144.38"/>
        <n v="382.4"/>
        <n v="971.25"/>
        <n v="1224.5"/>
        <n v="235.4"/>
        <n v="763.0"/>
        <n v="3305.1"/>
        <n v="1185.2"/>
        <n v="493.45"/>
        <n v="1753.4"/>
        <n v="2108.5"/>
        <n v="37.5"/>
        <n v="951.5"/>
      </sharedItems>
    </cacheField>
    <cacheField name="QTY" numFmtId="0">
      <sharedItems containsSemiMixedTypes="0" containsString="0" containsNumber="1" containsInteger="1">
        <n v="48.0"/>
        <n v="27.0"/>
        <n v="25.0"/>
        <n v="30.0"/>
        <n v="20.0"/>
        <n v="5.0"/>
        <n v="24.0"/>
        <n v="100.0"/>
        <n v="95.0"/>
        <n v="34.0"/>
        <n v="50.0"/>
        <n v="10.0"/>
        <n v="70.0"/>
        <n v="40.0"/>
        <n v="155.0"/>
        <n v="60.0"/>
        <n v="26.0"/>
        <n v="4.0"/>
        <n v="18.0"/>
        <n v="11.0"/>
        <n v="120.0"/>
        <n v="75.0"/>
        <n v="12.0"/>
      </sharedItems>
    </cacheField>
    <cacheField name="Invested" numFmtId="164">
      <sharedItems containsSemiMixedTypes="0" containsString="0" containsNumber="1">
        <n v="19584.0"/>
        <n v="24780.059999999998"/>
        <n v="6300.0"/>
        <n v="28143.6"/>
        <n v="18762.4"/>
        <n v="12600.0"/>
        <n v="5299.200000000001"/>
        <n v="9756.6"/>
        <n v="14216.0"/>
        <n v="1154.25"/>
        <n v="12141.400000000001"/>
        <n v="5390.0"/>
        <n v="4244.5"/>
        <n v="9970.0"/>
        <n v="5362.5"/>
        <n v="8710.0"/>
        <n v="14714.0"/>
        <n v="9040.0"/>
        <n v="11918.0"/>
        <n v="14570.0"/>
        <n v="10500.0"/>
        <n v="5172.0"/>
        <n v="7330.0"/>
        <n v="9720.0"/>
        <n v="1070.0"/>
        <n v="3310.0"/>
        <n v="14950.0"/>
        <n v="3612.5"/>
        <n v="2980.0"/>
        <n v="10695.0"/>
        <n v="11452.0"/>
        <n v="9400.0"/>
        <n v="9760.0"/>
        <n v="10800.0"/>
        <n v="19278.0"/>
        <n v="5480.0"/>
        <n v="13552.0"/>
        <n v="7125.0"/>
        <n v="11752.199999999999"/>
        <n v="10917.0"/>
        <n v="13485.0"/>
        <n v="12831.5"/>
        <n v="12492.0"/>
        <n v="9120.0"/>
        <n v="5700.0"/>
        <n v="7405.0"/>
        <n v="10015.8"/>
        <n v="13026.0"/>
      </sharedItems>
    </cacheField>
    <cacheField name="Turnover" numFmtId="164">
      <sharedItems containsSemiMixedTypes="0" containsString="0" containsNumber="1">
        <n v="39792.0"/>
        <n v="56100.05999999999"/>
        <n v="12000.0"/>
        <n v="55744.799999999996"/>
        <n v="37602.399999999994"/>
        <n v="25420.0"/>
        <n v="10669.2"/>
        <n v="19991.6"/>
        <n v="29515.999999999996"/>
        <n v="1154.25"/>
        <n v="25005.300000000003"/>
        <n v="11390.0"/>
        <n v="8844.5"/>
        <n v="20570.0"/>
        <n v="10898.75"/>
        <n v="18110.0"/>
        <n v="29554.0"/>
        <n v="18780.0"/>
        <n v="11918.0"/>
        <n v="31906.75"/>
        <n v="10500.0"/>
        <n v="11352.0"/>
        <n v="14930.000000000002"/>
        <n v="19575.0"/>
        <n v="1070.0"/>
        <n v="6760.0"/>
        <n v="43290.0"/>
        <n v="7525.0"/>
        <n v="6240.0"/>
        <n v="22845.0"/>
        <n v="23352.0"/>
        <n v="19320.0"/>
        <n v="19860.0"/>
        <n v="21970.5"/>
        <n v="38809.8"/>
        <n v="11180.0"/>
        <n v="27267.0"/>
        <n v="25416.0"/>
        <n v="14555.0"/>
        <n v="23983.2"/>
        <n v="22045.0"/>
        <n v="27062.0"/>
        <n v="24901.25"/>
        <n v="25816.000000000004"/>
        <n v="23649.6"/>
        <n v="5700.0"/>
        <n v="22216.0"/>
        <n v="15110.0"/>
        <n v="10015.8"/>
        <n v="27426.0"/>
      </sharedItems>
    </cacheField>
    <cacheField name="Unrealised P/L">
      <sharedItems containsMixedTypes="1" containsNumber="1">
        <n v="0.0"/>
        <n v="-12.350000000000074"/>
        <n v="15330.000000000002"/>
        <n v="8025.0"/>
        <n v="132.00000000000003"/>
        <e v="#N/A"/>
        <n v="4206.6"/>
      </sharedItems>
    </cacheField>
    <cacheField name="U P/L %">
      <sharedItems containsMixedTypes="1" containsNumber="1">
        <n v="0.0"/>
        <n v="-0.01069958847736632"/>
        <n v="1.286289645913744"/>
        <n v="0.7642857142857142"/>
        <n v="0.12336448598130845"/>
        <e v="#N/A"/>
        <n v="0.41999640567902724"/>
      </sharedItems>
    </cacheField>
    <cacheField name="Realised P/L" numFmtId="164">
      <sharedItems containsSemiMixedTypes="0" containsString="0" containsNumber="1">
        <n v="624.0"/>
        <n v="6539.9400000000005"/>
        <n v="-600.0"/>
        <n v="-542.4000000000012"/>
        <n v="77.59999999999991"/>
        <n v="220.0"/>
        <n v="70.79999999999973"/>
        <n v="478.4000000000003"/>
        <n v="1084.0000000000005"/>
        <n v="0.0"/>
        <n v="722.5"/>
        <n v="610.0000000000001"/>
        <n v="355.5"/>
        <n v="629.9999999999998"/>
        <n v="173.74999999999972"/>
        <n v="690.0"/>
        <n v="126.0000000000008"/>
        <n v="700.0"/>
        <n v="2766.749999999999"/>
        <n v="1007.9999999999998"/>
        <n v="270.0000000000003"/>
        <n v="135.0"/>
        <n v="140.0"/>
        <n v="13390.0"/>
        <n v="300.0"/>
        <n v="280.0"/>
        <n v="1454.9999999999998"/>
        <n v="447.99999999999955"/>
        <n v="520.0000000000002"/>
        <n v="340.00000000000057"/>
        <n v="370.5000000000007"/>
        <n v="253.7999999999994"/>
        <n v="220.00000000000028"/>
        <n v="162.99999999999955"/>
        <n v="216.0"/>
        <n v="305.0"/>
        <n v="478.8000000000004"/>
        <n v="210.9999999999991"/>
        <n v="92.00000000000045"/>
        <n v="-761.75"/>
        <n v="832.0000000000005"/>
        <n v="5409.599999999999"/>
        <n v="616.0"/>
        <n v="1374.0000000000005"/>
      </sharedItems>
    </cacheField>
    <cacheField name="R P/L %" numFmtId="10">
      <sharedItems containsSemiMixedTypes="0" containsString="0" containsNumber="1">
        <n v="0.031862745098039214"/>
        <n v="0.26391945782213605"/>
        <n v="-0.09523809523809523"/>
        <n v="-0.01927258772864883"/>
        <n v="0.004135931437342766"/>
        <n v="0.01746031746031746"/>
        <n v="0.01336050724637676"/>
        <n v="0.049033474776049066"/>
        <n v="0.07625211029825552"/>
        <n v="0.0"/>
        <n v="0.059507140856902827"/>
        <n v="0.11317254174397035"/>
        <n v="0.08375544822711743"/>
        <n v="0.06318956870611832"/>
        <n v="0.03240093240093235"/>
        <n v="0.07921928817451206"/>
        <n v="0.008563273073263614"/>
        <n v="0.07743362831858407"/>
        <n v="0.18989361702127652"/>
        <n v="0.19489559164733175"/>
        <n v="0.03683492496589363"/>
        <n v="0.013888888888888888"/>
        <n v="0.04229607250755287"/>
        <n v="0.8956521739130435"/>
        <n v="0.08304498269896193"/>
        <n v="0.09395973154362416"/>
        <n v="0.1360448807854137"/>
        <n v="0.03911980440097795"/>
        <n v="0.055319148936170244"/>
        <n v="0.03483606557377055"/>
        <n v="0.03430555555555562"/>
        <n v="0.013165266106442546"/>
        <n v="0.04014598540145991"/>
        <n v="0.012027744982290403"/>
        <n v="0.017142857142857144"/>
        <n v="0.04280701754385965"/>
        <n v="0.04074130801041511"/>
        <n v="0.019327654117431446"/>
        <n v="0.006822395253985944"/>
        <n v="-0.059365623660522934"/>
        <n v="0.06660262568043551"/>
        <n v="0.5931578947368421"/>
        <n v="0.05703703703703704"/>
        <n v="0.04051316677920324"/>
        <n v="0.10548134500230312"/>
      </sharedItems>
    </cacheField>
    <cacheField name="STT" numFmtId="164">
      <sharedItems containsSemiMixedTypes="0" containsString="0" containsNumber="1">
        <n v="39.792"/>
        <n v="56.10005999999999"/>
        <n v="12.0"/>
        <n v="55.7448"/>
        <n v="37.602399999999996"/>
        <n v="25.42"/>
        <n v="10.669200000000002"/>
        <n v="19.9916"/>
        <n v="29.516"/>
        <n v="1.15425"/>
        <n v="25.005300000000002"/>
        <n v="11.39"/>
        <n v="8.8445"/>
        <n v="20.57"/>
        <n v="10.89875"/>
        <n v="18.11"/>
        <n v="29.554000000000002"/>
        <n v="18.78"/>
        <n v="11.918000000000001"/>
        <n v="31.906750000000002"/>
        <n v="10.5"/>
        <n v="11.352"/>
        <n v="14.930000000000001"/>
        <n v="19.575"/>
        <n v="1.07"/>
        <n v="6.76"/>
        <n v="43.29"/>
        <n v="7.525"/>
        <n v="6.24"/>
        <n v="22.845"/>
        <n v="23.352"/>
        <n v="19.32"/>
        <n v="19.86"/>
        <n v="21.9705"/>
        <n v="38.8098"/>
        <n v="11.18"/>
        <n v="27.267"/>
        <n v="25.416"/>
        <n v="14.555"/>
        <n v="23.9832"/>
        <n v="22.045"/>
        <n v="27.062"/>
        <n v="24.90125"/>
        <n v="25.816000000000003"/>
        <n v="23.6496"/>
        <n v="5.7"/>
        <n v="22.216"/>
        <n v="15.11"/>
        <n v="10.015799999999999"/>
        <n v="27.426000000000002"/>
      </sharedItems>
    </cacheField>
    <cacheField name="Ex Txn Chg" numFmtId="164">
      <sharedItems containsSemiMixedTypes="0" containsString="0" containsNumber="1">
        <n v="1.29324"/>
        <n v="1.8232519499999995"/>
        <n v="0.38999999999999996"/>
        <n v="1.8117059999999996"/>
        <n v="1.2220779999999998"/>
        <n v="0.8261499999999999"/>
        <n v="0.346749"/>
        <n v="0.6497269999999999"/>
        <n v="0.9592699999999998"/>
        <n v="0.037513124999999994"/>
        <n v="0.81267225"/>
        <n v="0.370175"/>
        <n v="0.28744624999999996"/>
        <n v="0.6685249999999999"/>
        <n v="0.354209375"/>
        <n v="0.588575"/>
        <n v="0.9605049999999999"/>
        <n v="0.61035"/>
        <n v="0.387335"/>
        <n v="1.036969375"/>
        <n v="0.34125"/>
        <n v="0.36894"/>
        <n v="0.485225"/>
        <n v="0.6361874999999999"/>
        <n v="0.034775"/>
        <n v="0.21969999999999998"/>
        <n v="1.406925"/>
        <n v="0.2445625"/>
        <n v="0.20279999999999998"/>
        <n v="0.7424624999999999"/>
        <n v="0.75894"/>
        <n v="0.6278999999999999"/>
        <n v="0.64545"/>
        <n v="0.71404125"/>
        <n v="1.2613185"/>
        <n v="0.36334999999999995"/>
        <n v="0.8861775"/>
        <n v="0.82602"/>
        <n v="0.47303749999999994"/>
        <n v="0.779454"/>
        <n v="0.7164624999999999"/>
        <n v="0.8795149999999999"/>
        <n v="0.8092906249999999"/>
        <n v="0.8390200000000001"/>
        <n v="0.7686119999999999"/>
        <n v="0.18524999999999997"/>
        <n v="0.7220199999999999"/>
        <n v="0.491075"/>
        <n v="0.32551349999999996"/>
        <n v="0.8913449999999999"/>
      </sharedItems>
    </cacheField>
    <cacheField name="GST" numFmtId="164">
      <sharedItems containsSemiMixedTypes="0" containsString="0" containsNumber="1">
        <n v="0.23278319999999997"/>
        <n v="0.3281853509999999"/>
        <n v="0.07019999999999998"/>
        <n v="0.32610707999999994"/>
        <n v="0.21997403999999995"/>
        <n v="0.14870699999999998"/>
        <n v="0.062414819999999996"/>
        <n v="0.11695085999999999"/>
        <n v="0.17266859999999998"/>
        <n v="0.0067523624999999985"/>
        <n v="0.146281005"/>
        <n v="0.0666315"/>
        <n v="0.05174032499999999"/>
        <n v="0.12033449999999998"/>
        <n v="0.0637576875"/>
        <n v="0.10594349999999998"/>
        <n v="0.1728909"/>
        <n v="0.10986299999999999"/>
        <n v="0.0697203"/>
        <n v="0.1866544875"/>
        <n v="0.061425"/>
        <n v="0.0664092"/>
        <n v="0.0873405"/>
        <n v="0.11451374999999998"/>
        <n v="0.0062594999999999994"/>
        <n v="0.039546"/>
        <n v="0.2532465"/>
        <n v="0.04402125"/>
        <n v="0.036503999999999995"/>
        <n v="0.13364325"/>
        <n v="0.1366092"/>
        <n v="0.11302199999999998"/>
        <n v="0.11618099999999999"/>
        <n v="0.128527425"/>
        <n v="0.22703732999999998"/>
        <n v="0.06540299999999999"/>
        <n v="0.15951194999999999"/>
        <n v="0.1486836"/>
        <n v="0.08514675"/>
        <n v="0.14030172"/>
        <n v="0.12896324999999997"/>
        <n v="0.15831269999999997"/>
        <n v="0.14567231249999998"/>
        <n v="0.1510236"/>
        <n v="0.13835015999999997"/>
        <n v="0.03334499999999999"/>
        <n v="0.12996359999999998"/>
        <n v="0.0883935"/>
        <n v="0.05859242999999999"/>
        <n v="0.16044209999999998"/>
      </sharedItems>
    </cacheField>
    <cacheField name="SEBI charges" numFmtId="164">
      <sharedItems containsSemiMixedTypes="0" containsString="0" containsNumber="1">
        <n v="0.019896"/>
        <n v="0.028050029999999993"/>
        <n v="0.006"/>
        <n v="0.027872399999999995"/>
        <n v="0.018801199999999997"/>
        <n v="0.012709999999999999"/>
        <n v="0.0053346"/>
        <n v="0.009995799999999999"/>
        <n v="0.014757999999999997"/>
        <n v="5.77125E-4"/>
        <n v="0.01250265"/>
        <n v="0.0056949999999999995"/>
        <n v="0.00442225"/>
        <n v="0.010284999999999999"/>
        <n v="0.005449374999999999"/>
        <n v="0.009054999999999999"/>
        <n v="0.014776999999999998"/>
        <n v="0.009389999999999999"/>
        <n v="0.005959"/>
        <n v="0.015953375"/>
        <n v="0.0052499999999999995"/>
        <n v="0.005676"/>
        <n v="0.007465"/>
        <n v="0.0097875"/>
        <n v="5.35E-4"/>
        <n v="0.0033799999999999998"/>
        <n v="0.021644999999999998"/>
        <n v="0.0037625"/>
        <n v="0.00312"/>
        <n v="0.011422499999999999"/>
        <n v="0.011675999999999999"/>
        <n v="0.00966"/>
        <n v="0.00993"/>
        <n v="0.01098525"/>
        <n v="0.0194049"/>
        <n v="0.0055899999999999995"/>
        <n v="0.0136335"/>
        <n v="0.012707999999999999"/>
        <n v="0.007277499999999999"/>
        <n v="0.0119916"/>
        <n v="0.0110225"/>
        <n v="0.013531"/>
        <n v="0.012450625"/>
        <n v="0.012908000000000001"/>
        <n v="0.011824799999999998"/>
        <n v="0.0028499999999999997"/>
        <n v="0.011108"/>
        <n v="0.007555"/>
        <n v="0.005007899999999999"/>
        <n v="0.013713"/>
      </sharedItems>
    </cacheField>
    <cacheField name="Total tax and charges" numFmtId="164">
      <sharedItems containsSemiMixedTypes="0" containsString="0" containsNumber="1">
        <n v="41.3379192"/>
        <n v="58.279547330999996"/>
        <n v="12.4662"/>
        <n v="57.91048548"/>
        <n v="39.063253239999995"/>
        <n v="26.407567"/>
        <n v="11.083698420000003"/>
        <n v="20.768273659999995"/>
        <n v="30.6626966"/>
        <n v="1.1990926125"/>
        <n v="25.976755904999997"/>
        <n v="11.8325015"/>
        <n v="9.188108825"/>
        <n v="21.369144499999997"/>
        <n v="11.3221664375"/>
        <n v="18.813573499999997"/>
        <n v="30.7021729"/>
        <n v="19.509603000000002"/>
        <n v="12.381014300000002"/>
        <n v="33.1463272375"/>
        <n v="10.907925"/>
        <n v="11.7930252"/>
        <n v="15.510030500000001"/>
        <n v="20.33548875"/>
        <n v="1.1115695"/>
        <n v="7.022625999999999"/>
        <n v="44.9718165"/>
        <n v="7.81734625"/>
        <n v="6.482424"/>
        <n v="23.732528249999994"/>
        <n v="24.2592252"/>
        <n v="20.070582"/>
        <n v="20.631561"/>
        <n v="22.824053925000005"/>
        <n v="40.317560730000004"/>
        <n v="11.614343"/>
        <n v="28.326322949999998"/>
        <n v="26.4034116"/>
        <n v="15.12046175"/>
        <n v="24.914947320000003"/>
        <n v="22.901448249999998"/>
        <n v="28.113358700000003"/>
        <n v="25.8686635625"/>
        <n v="26.818951600000002"/>
        <n v="24.56838696"/>
        <n v="5.921444999999999"/>
        <n v="23.0790916"/>
        <n v="15.6970235"/>
        <n v="10.404913829999998"/>
        <n v="28.491500100000003"/>
      </sharedItems>
    </cacheField>
    <cacheField name="DP Charges" numFmtId="164">
      <sharedItems containsSemiMixedTypes="0" containsString="0" containsNumber="1" containsInteger="1">
        <n v="16.0"/>
        <n v="59.0"/>
        <n v="0.0"/>
      </sharedItems>
    </cacheField>
    <cacheField name="Total Charges" numFmtId="164">
      <sharedItems containsSemiMixedTypes="0" containsString="0" containsNumber="1">
        <n v="57.3379192"/>
        <n v="74.279547331"/>
        <n v="28.4662"/>
        <n v="73.91048548"/>
        <n v="55.063253239999995"/>
        <n v="42.407567"/>
        <n v="27.083698420000005"/>
        <n v="36.76827365999999"/>
        <n v="89.6626966"/>
        <n v="1.1990926125"/>
        <n v="41.976755905"/>
        <n v="70.8325015"/>
        <n v="68.188108825"/>
        <n v="37.3691445"/>
        <n v="27.3221664375"/>
        <n v="34.8135735"/>
        <n v="89.7021729"/>
        <n v="78.509603"/>
        <n v="12.381014300000002"/>
        <n v="49.1463272375"/>
        <n v="10.907925"/>
        <n v="27.793025200000002"/>
        <n v="31.5100305"/>
        <n v="79.33548875"/>
        <n v="1.1115695"/>
        <n v="23.022626"/>
        <n v="60.9718165"/>
        <n v="23.81734625"/>
        <n v="22.482424"/>
        <n v="39.732528249999994"/>
        <n v="40.2592252"/>
        <n v="36.070582"/>
        <n v="36.631561000000005"/>
        <n v="38.824053925"/>
        <n v="20.92"/>
        <n v="27.614342999999998"/>
        <n v="44.32632295"/>
        <n v="42.4034116"/>
        <n v="31.12046175"/>
        <n v="40.91494732"/>
        <n v="38.90144825"/>
        <n v="44.113358700000006"/>
        <n v="41.868663562500004"/>
        <n v="42.818951600000005"/>
        <n v="40.56838696"/>
        <n v="5.921444999999999"/>
        <n v="39.0790916"/>
        <n v="31.6970235"/>
        <n v="10.404913829999998"/>
        <n v="44.4915001"/>
      </sharedItems>
    </cacheField>
    <cacheField name="Net P/L" numFmtId="164">
      <sharedItems containsSemiMixedTypes="0" containsString="0" containsNumber="1">
        <n v="566.6620808"/>
        <n v="6465.660452669001"/>
        <n v="-628.4662"/>
        <n v="-616.3104854800013"/>
        <n v="22.536746759999915"/>
        <n v="177.592433"/>
        <n v="43.71630157999972"/>
        <n v="441.63172634000034"/>
        <n v="994.3373034000005"/>
        <n v="0.0"/>
        <n v="680.523244095"/>
        <n v="539.1674985000001"/>
        <n v="287.311891175"/>
        <n v="592.6308554999998"/>
        <n v="146.4278335624997"/>
        <n v="655.1864265"/>
        <n v="36.2978271000008"/>
        <n v="621.490397"/>
        <n v="2717.603672762499"/>
        <n v="980.2069747999998"/>
        <n v="238.48996950000029"/>
        <n v="55.664511250000004"/>
        <n v="116.977374"/>
        <n v="13329.0281835"/>
        <n v="276.18265375"/>
        <n v="257.517576"/>
        <n v="1415.2674717499997"/>
        <n v="407.74077479999954"/>
        <n v="483.9294180000002"/>
        <n v="303.36843900000054"/>
        <n v="331.6759460750007"/>
        <n v="232.87999999999937"/>
        <n v="192.3856570000003"/>
        <n v="118.67367704999955"/>
        <n v="173.5965884"/>
        <n v="273.87953825"/>
        <n v="437.8850526800004"/>
        <n v="172.0985517499991"/>
        <n v="47.88664130000045"/>
        <n v="-803.6186635625"/>
        <n v="789.1810484000005"/>
        <n v="5369.03161304"/>
        <n v="576.9209084"/>
        <n v="268.3029765"/>
        <n v="1329.5084999000005"/>
      </sharedItems>
    </cacheField>
    <cacheField name="Net P/L %" numFmtId="10">
      <sharedItems containsSemiMixedTypes="0" containsString="0" containsNumber="1">
        <n v="0.02893495102124183"/>
        <n v="0.26092190465515425"/>
        <n v="-0.09975653968253968"/>
        <n v="-0.021898779313236447"/>
        <n v="0.0012011654564447998"/>
        <n v="0.01409463753968254"/>
        <n v="0.008249604011926275"/>
        <n v="0.0452649208064285"/>
        <n v="0.06994494255768152"/>
        <n v="0.0"/>
        <n v="0.05604981666817664"/>
        <n v="0.10003107578849724"/>
        <n v="0.06769039726116151"/>
        <n v="0.059441409779338"/>
        <n v="0.027305889708624652"/>
        <n v="0.07522232221584386"/>
        <n v="0.0024668905192334377"/>
        <n v="0.06874893772123894"/>
        <n v="0.18652049916008917"/>
        <n v="0.18952184354215"/>
        <n v="0.032536148635743556"/>
        <n v="0.005726801568930041"/>
        <n v="0.035340596374622356"/>
        <n v="0.8915737915384616"/>
        <n v="0.07645194567474048"/>
        <n v="0.08641529395973155"/>
        <n v="0.13232982438055163"/>
        <n v="0.0356043289207125"/>
        <n v="0.05148185297872343"/>
        <n v="0.031082831864754152"/>
        <n v="0.03071073574768525"/>
        <n v="0.012080091295777537"/>
        <n v="0.03510687171532852"/>
        <n v="0.008756912415141644"/>
        <n v="0.013777507015873016"/>
        <n v="0.03843923343859649"/>
        <n v="0.03725983668419534"/>
        <n v="0.015764271480260064"/>
        <n v="0.003551104286244008"/>
        <n v="-0.06262858306219071"/>
        <n v="0.06317491581812364"/>
        <n v="0.5887096066929824"/>
        <n v="0.053418602629629636"/>
        <n v="0.036232677447670496"/>
        <n v="0.10206575310148937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14" sheet="Long Term Holiding-"/>
  </cacheSource>
  <cacheFields>
    <cacheField name="Sr. #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</sharedItems>
    </cacheField>
    <cacheField name="SYMBOL" numFmtId="0">
      <sharedItems>
        <s v="COALINDIA"/>
        <s v="ADANIGREEN"/>
        <s v="SBIN"/>
        <s v="ICICIBank"/>
        <s v="ADANIPORTS"/>
        <s v="MAFANG"/>
        <s v="AXISBANK"/>
        <s v="IRCTC"/>
        <s v="MAESGETF"/>
        <s v="TATASTEEL"/>
      </sharedItems>
    </cacheField>
    <cacheField name="Buy Date" numFmtId="165">
      <sharedItems containsSemiMixedTypes="0" containsDate="1" containsString="0">
        <d v="2017-08-03T00:00:00Z"/>
        <d v="2020-01-28T00:00:00Z"/>
        <d v="2020-02-12T00:00:00Z"/>
        <d v="2021-02-26T00:00:00Z"/>
        <d v="2021-03-22T00:00:00Z"/>
        <d v="2021-05-07T00:00:00Z"/>
        <d v="2021-07-29T00:00:00Z"/>
        <d v="2021-11-08T00:00:00Z"/>
        <d v="2021-12-22T00:00:00Z"/>
        <d v="2022-11-09T00:00:00Z"/>
        <d v="2022-10-24T00:00:00Z"/>
        <d v="2022-07-28T00:00:00Z"/>
      </sharedItems>
    </cacheField>
    <cacheField name="Buy" numFmtId="164">
      <sharedItems containsSemiMixedTypes="0" containsString="0" containsNumber="1">
        <n v="263.63"/>
        <n v="187.15"/>
        <n v="324.7"/>
        <n v="595.9"/>
        <n v="722.5"/>
        <n v="48.6"/>
        <n v="723.0"/>
        <n v="833.3"/>
        <n v="145.55"/>
        <n v="35.23"/>
        <n v="29.23"/>
        <n v="98.1"/>
        <n v="101.25"/>
      </sharedItems>
    </cacheField>
    <cacheField name="Sell Date" numFmtId="0">
      <sharedItems containsDate="1" containsString="0" containsBlank="1">
        <m/>
        <d v="2021-06-16T00:00:00Z"/>
        <d v="2021-05-28T00:00:00Z"/>
      </sharedItems>
    </cacheField>
    <cacheField name="Sell" numFmtId="0">
      <sharedItems containsString="0" containsBlank="1" containsNumber="1">
        <m/>
        <n v="1200.0"/>
        <n v="782.5"/>
      </sharedItems>
    </cacheField>
    <cacheField name="LTP">
      <sharedItems containsMixedTypes="1" containsNumber="1">
        <n v="400.65"/>
        <n v="1017.0"/>
        <n v="971.25"/>
        <n v="1362.4"/>
        <n v="1492.8"/>
        <n v="168.98"/>
        <n v="1224.5"/>
        <n v="680.5"/>
        <e v="#N/A"/>
        <n v="170.82"/>
      </sharedItems>
    </cacheField>
    <cacheField name="QTY" numFmtId="0">
      <sharedItems containsSemiMixedTypes="0" containsString="0" containsNumber="1" containsInteger="1">
        <n v="30.0"/>
        <n v="10.0"/>
        <n v="1.0"/>
        <n v="20.0"/>
        <n v="5.0"/>
        <n v="102.0"/>
        <n v="11.0"/>
        <n v="3.0"/>
        <n v="52.0"/>
        <n v="101.0"/>
        <n v="50.0"/>
        <n v="51.0"/>
      </sharedItems>
    </cacheField>
    <cacheField name="Invested" numFmtId="164">
      <sharedItems containsSemiMixedTypes="0" containsString="0" containsNumber="1">
        <n v="7908.9"/>
        <n v="1871.5"/>
        <n v="324.7"/>
        <n v="11918.0"/>
        <n v="3612.5"/>
        <n v="4957.2"/>
        <n v="7230.0"/>
        <n v="9166.3"/>
        <n v="436.65000000000003"/>
        <n v="1831.9599999999998"/>
        <n v="2952.23"/>
        <n v="4905.0"/>
        <n v="5163.75"/>
      </sharedItems>
    </cacheField>
    <cacheField name="Turnover" numFmtId="164">
      <sharedItems containsSemiMixedTypes="0" containsString="0" containsNumber="1">
        <n v="7908.9"/>
        <n v="13871.5"/>
        <n v="324.7"/>
        <n v="11918.0"/>
        <n v="7525.0"/>
        <n v="4957.2"/>
        <n v="7230.0"/>
        <n v="9166.3"/>
        <n v="436.65000000000003"/>
        <n v="1831.9599999999998"/>
        <n v="2952.23"/>
        <n v="4905.0"/>
        <n v="5163.75"/>
      </sharedItems>
    </cacheField>
    <cacheField name="Unrealised P/L">
      <sharedItems containsMixedTypes="1" containsNumber="1">
        <n v="4110.599999999999"/>
        <n v="0.0"/>
        <n v="646.55"/>
        <n v="15330.000000000002"/>
        <n v="12278.76"/>
        <n v="5015.0"/>
        <n v="-1680.7999999999995"/>
        <n v="765.3"/>
        <n v="6955.0"/>
        <e v="#N/A"/>
        <n v="3636.0"/>
        <n v="3548.0699999999997"/>
      </sharedItems>
    </cacheField>
    <cacheField name="U P/L %">
      <sharedItems containsMixedTypes="1" containsNumber="1">
        <n v="0.5197435800174487"/>
        <n v="0.0"/>
        <n v="1.991222667077302"/>
        <n v="1.286289645913744"/>
        <n v="2.476954732510288"/>
        <n v="0.6936376210235131"/>
        <n v="-0.1833673346933877"/>
        <n v="1.7526623153555476"/>
        <n v="3.796480272495033"/>
        <e v="#N/A"/>
        <n v="0.7412844036697248"/>
        <n v="0.687111111111111"/>
      </sharedItems>
    </cacheField>
    <cacheField name="Realised P/L" numFmtId="164">
      <sharedItems containsSemiMixedTypes="0" containsString="0" containsNumber="1">
        <n v="0.0"/>
        <n v="10128.5"/>
        <n v="300.0"/>
      </sharedItems>
    </cacheField>
    <cacheField name="R P/L %" numFmtId="10">
      <sharedItems containsSemiMixedTypes="0" containsString="0" containsNumber="1">
        <n v="0.0"/>
        <n v="5.411969008816457"/>
        <n v="0.08304498269896193"/>
      </sharedItems>
    </cacheField>
    <cacheField name="STT" numFmtId="164">
      <sharedItems containsSemiMixedTypes="0" containsString="0" containsNumber="1">
        <n v="7.9089"/>
        <n v="13.871500000000001"/>
        <n v="0.3247"/>
        <n v="11.918000000000001"/>
        <n v="7.525"/>
        <n v="4.9572"/>
        <n v="7.23"/>
        <n v="9.1663"/>
        <n v="0.43665000000000004"/>
        <n v="1.8319599999999998"/>
        <n v="2.95223"/>
        <n v="4.905"/>
        <n v="5.16375"/>
      </sharedItems>
    </cacheField>
    <cacheField name="Ex Txn Chg" numFmtId="164">
      <sharedItems containsSemiMixedTypes="0" containsString="0" containsNumber="1">
        <n v="0.25703924999999994"/>
        <n v="0.45082374999999997"/>
        <n v="0.010552749999999998"/>
        <n v="0.387335"/>
        <n v="0.2445625"/>
        <n v="0.16110899999999997"/>
        <n v="0.234975"/>
        <n v="0.29790474999999994"/>
        <n v="0.014191125"/>
        <n v="0.059538699999999986"/>
        <n v="0.09594747499999999"/>
        <n v="0.15941249999999998"/>
        <n v="0.16782187499999998"/>
      </sharedItems>
    </cacheField>
    <cacheField name="GST" numFmtId="164">
      <sharedItems containsSemiMixedTypes="0" containsString="0" containsNumber="1">
        <n v="0.04626706499999999"/>
        <n v="0.08114827499999999"/>
        <n v="0.0018994949999999995"/>
        <n v="0.0697203"/>
        <n v="0.04402125"/>
        <n v="0.028999619999999993"/>
        <n v="0.0422955"/>
        <n v="0.05362285499999999"/>
        <n v="0.0025544025"/>
        <n v="0.010716965999999998"/>
        <n v="0.017270545499999998"/>
        <n v="0.028694249999999998"/>
        <n v="0.030207937499999997"/>
      </sharedItems>
    </cacheField>
    <cacheField name="SEBI charges" numFmtId="164">
      <sharedItems containsSemiMixedTypes="0" containsString="0" containsNumber="1">
        <n v="0.00395445"/>
        <n v="0.00693575"/>
        <n v="1.6235E-4"/>
        <n v="0.005959"/>
        <n v="0.0037625"/>
        <n v="0.0024785999999999996"/>
        <n v="0.0036149999999999997"/>
        <n v="0.004583149999999999"/>
        <n v="2.18325E-4"/>
        <n v="9.159799999999998E-4"/>
        <n v="0.0014761149999999998"/>
        <n v="0.0024525"/>
        <n v="0.002581875"/>
      </sharedItems>
    </cacheField>
    <cacheField name="Total tax and charges" numFmtId="164">
      <sharedItems containsSemiMixedTypes="0" containsString="0" containsNumber="1">
        <n v="8.216160765"/>
        <n v="14.410407775000001"/>
        <n v="0.33731459499999994"/>
        <n v="12.381014300000002"/>
        <n v="7.81734625"/>
        <n v="5.149787219999999"/>
        <n v="7.5108855000000005"/>
        <n v="9.522410755000001"/>
        <n v="0.4536138525000001"/>
        <n v="1.9031316459999998"/>
        <n v="3.0669241355000003"/>
        <n v="5.095559250000001"/>
        <n v="5.3643616875"/>
      </sharedItems>
    </cacheField>
    <cacheField name="DP Charges" numFmtId="164">
      <sharedItems containsSemiMixedTypes="0" containsString="0" containsNumber="1" containsInteger="1">
        <n v="0.0"/>
        <n v="16.0"/>
      </sharedItems>
    </cacheField>
    <cacheField name="Total Charges" numFmtId="164">
      <sharedItems containsSemiMixedTypes="0" containsString="0" containsNumber="1">
        <n v="8.216160765"/>
        <n v="30.410407775000003"/>
        <n v="0.33731459499999994"/>
        <n v="12.381014300000002"/>
        <n v="23.81734625"/>
        <n v="5.149787219999999"/>
        <n v="7.5108855000000005"/>
        <n v="9.522410755000001"/>
        <n v="0.4536138525000001"/>
        <n v="1.9031316459999998"/>
        <n v="3.0669241355000003"/>
        <n v="5.095559250000001"/>
        <n v="5.3643616875"/>
      </sharedItems>
    </cacheField>
    <cacheField name="Net P/L" numFmtId="164">
      <sharedItems containsSemiMixedTypes="0" containsString="0" containsNumber="1">
        <n v="0.0"/>
        <n v="10098.089592225"/>
        <n v="276.18265375"/>
      </sharedItems>
    </cacheField>
    <cacheField name="Net P/L %" numFmtId="10">
      <sharedItems containsSemiMixedTypes="0" containsString="0" containsNumber="1">
        <n v="0.0"/>
        <n v="5.395719792799893"/>
        <n v="0.07645194567474048"/>
      </sharedItems>
    </cacheField>
    <cacheField name="Balance" numFmtId="164">
      <sharedItems containsSemiMixedTypes="0" containsString="0" containsNumber="1">
        <n v="0.0"/>
        <n v="10098.089592225"/>
        <n v="90000.0"/>
        <n v="90276.18265375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pivotTable1.xml><?xml version="1.0" encoding="utf-8"?>
<pivotTableDefinition xmlns="http://schemas.openxmlformats.org/spreadsheetml/2006/main" name="PIVOT" cacheId="0" dataCaption="" compact="0" compactData="0">
  <location ref="A2:D17" firstHeaderRow="0" firstDataRow="2" firstDataCol="0"/>
  <pivotFields>
    <pivotField name="SYMBOL" axis="axisRow" compact="0" numFmtId="164" outline="0" multipleItemSelectionAllowed="1" showAll="0" sortType="ascending">
      <items>
        <item x="13"/>
        <item x="0"/>
        <item x="7"/>
        <item x="5"/>
        <item x="3"/>
        <item x="11"/>
        <item x="4"/>
        <item x="1"/>
        <item x="9"/>
        <item x="8"/>
        <item x="12"/>
        <item x="2"/>
        <item x="10"/>
        <item x="6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el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2.xml><?xml version="1.0" encoding="utf-8"?>
<pivotTableDefinition xmlns="http://schemas.openxmlformats.org/spreadsheetml/2006/main" name="PIVOT 2" cacheId="1" dataCaption="" compact="0" compactData="0">
  <location ref="F2:I45" firstHeaderRow="0" firstDataRow="2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SYMBOL" axis="axisRow" compact="0" numFmtId="164" outline="0" multipleItemSelectionAllowed="1" showAll="0" sortType="ascending">
      <items>
        <item x="32"/>
        <item x="0"/>
        <item x="1"/>
        <item x="2"/>
        <item x="3"/>
        <item x="4"/>
        <item x="41"/>
        <item x="5"/>
        <item x="6"/>
        <item x="34"/>
        <item x="7"/>
        <item x="8"/>
        <item x="9"/>
        <item x="36"/>
        <item x="10"/>
        <item x="30"/>
        <item x="11"/>
        <item x="12"/>
        <item x="13"/>
        <item x="14"/>
        <item x="15"/>
        <item x="16"/>
        <item x="17"/>
        <item x="18"/>
        <item x="31"/>
        <item x="37"/>
        <item x="39"/>
        <item x="33"/>
        <item x="40"/>
        <item x="19"/>
        <item x="20"/>
        <item x="21"/>
        <item x="22"/>
        <item x="23"/>
        <item x="35"/>
        <item x="24"/>
        <item x="27"/>
        <item x="28"/>
        <item x="29"/>
        <item x="26"/>
        <item x="25"/>
        <item x="38"/>
        <item t="default"/>
      </items>
    </pivotField>
    <pivotField name="Holder" compact="0" outline="0" multipleItemSelectionAllowed="1" showAll="0">
      <items>
        <item x="0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lumn 12" compact="0" outline="0" multipleItemSelectionAllowed="1" showAll="0">
      <items>
        <item x="0"/>
        <item x="1"/>
        <item x="2"/>
        <item x="3"/>
        <item t="default"/>
      </items>
    </pivotField>
    <pivotField name="Column 2" compact="0" outline="0" multipleItemSelectionAllowed="1" showAll="0">
      <items>
        <item x="0"/>
        <item x="1"/>
        <item t="default"/>
      </items>
    </pivotField>
  </pivotFields>
  <rowFields>
    <field x="1"/>
  </rowFields>
  <colFields>
    <field x="-2"/>
  </colFields>
  <dataFields>
    <dataField name="SUM of Realised P/L" fld="14" baseField="0"/>
    <dataField name="SUM of Unrealised P/L" fld="10" baseField="0"/>
    <dataField name="SUM of Change" fld="13" baseField="0"/>
  </dataFields>
</pivotTableDefinition>
</file>

<file path=xl/pivotTables/pivotTable3.xml><?xml version="1.0" encoding="utf-8"?>
<pivotTableDefinition xmlns="http://schemas.openxmlformats.org/spreadsheetml/2006/main" name="PIVOT 3" cacheId="2" dataCaption="" compact="0" compactData="0">
  <location ref="K2:N24" firstHeaderRow="0" firstDataRow="2" firstDataCol="0"/>
  <pivotFields>
    <pivotField name="SYMBOL" axis="axisRow" compact="0" numFmtId="164" outline="0" multipleItemSelectionAllowed="1" showAll="0" sortType="ascending">
      <items>
        <item x="20"/>
        <item x="15"/>
        <item x="13"/>
        <item x="0"/>
        <item x="1"/>
        <item x="11"/>
        <item x="2"/>
        <item x="3"/>
        <item x="18"/>
        <item x="4"/>
        <item x="5"/>
        <item x="14"/>
        <item x="9"/>
        <item x="6"/>
        <item x="19"/>
        <item x="8"/>
        <item x="16"/>
        <item x="7"/>
        <item x="17"/>
        <item x="10"/>
        <item x="12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0"/>
  </rowFields>
  <colFields>
    <field x="-2"/>
  </colFields>
  <dataFields>
    <dataField name="Realised P/L" fld="13" baseField="0"/>
    <dataField name="Unrealised P/L" fld="9" baseField="0"/>
    <dataField name="Change Today" fld="12" baseField="0"/>
  </dataFields>
</pivotTableDefinition>
</file>

<file path=xl/pivotTables/pivotTable4.xml><?xml version="1.0" encoding="utf-8"?>
<pivotTableDefinition xmlns="http://schemas.openxmlformats.org/spreadsheetml/2006/main" name="PIVOT 4" cacheId="3" dataCaption="" compact="0" compactData="0">
  <location ref="P2:S14" firstHeaderRow="0" firstDataRow="2" firstDataCol="0"/>
  <pivotFields>
    <pivotField name="SYMBOL" axis="axisRow" compact="0" numFmtId="164" outline="0" multipleItemSelectionAllowed="1" showAll="0" sortType="ascending">
      <items>
        <item x="0"/>
        <item x="9"/>
        <item x="7"/>
        <item x="1"/>
        <item x="2"/>
        <item x="3"/>
        <item x="4"/>
        <item x="6"/>
        <item x="8"/>
        <item x="10"/>
        <item x="5"/>
        <item t="default"/>
      </items>
    </pivotField>
    <pivotField name="Holder" compact="0" outline="0" multipleItemSelectionAllowed="1" showAll="0">
      <items>
        <item x="0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numFmtId="164" outline="0" multipleItemSelectionAllowed="1" showAll="0">
      <items>
        <item x="0"/>
        <item x="1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0"/>
  </rowFields>
  <colFields>
    <field x="-2"/>
  </colFields>
  <dataFields>
    <dataField name="Realised P/L" fld="13" baseField="0"/>
    <dataField name="Unrealised P/L" fld="9" baseField="0"/>
    <dataField name="Change Today" fld="12" baseField="0"/>
  </dataFields>
</pivotTableDefinition>
</file>

<file path=xl/pivotTables/pivotTable5.xml><?xml version="1.0" encoding="utf-8"?>
<pivotTableDefinition xmlns="http://schemas.openxmlformats.org/spreadsheetml/2006/main" name="Equity_Trade-2025" cacheId="4" dataCaption="" compact="0" compactData="0">
  <location ref="AG2:AJ17" firstHeaderRow="0" firstDataRow="3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axis="axisRow" compact="0" numFmtId="164" outline="0" multipleItemSelectionAllowed="1" showAll="0" sortType="ascending">
      <items>
        <item x="13"/>
        <item x="0"/>
        <item x="7"/>
        <item x="5"/>
        <item x="3"/>
        <item x="11"/>
        <item x="4"/>
        <item x="1"/>
        <item x="9"/>
        <item x="8"/>
        <item x="12"/>
        <item x="2"/>
        <item x="10"/>
        <item x="6"/>
        <item t="default"/>
      </items>
    </pivotField>
    <pivotField name="Holder" axis="axisRow" compact="0" outline="0" multipleItemSelectionAllowed="1" showAll="0" sortType="ascending" defaultSubtotal="0">
      <items>
        <item x="3"/>
        <item x="1"/>
        <item x="0"/>
        <item x="2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el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</dataFields>
</pivotTableDefinition>
</file>

<file path=xl/pivotTables/pivotTable6.xml><?xml version="1.0" encoding="utf-8"?>
<pivotTableDefinition xmlns="http://schemas.openxmlformats.org/spreadsheetml/2006/main" name="Equity_Trade-2025 2" cacheId="0" dataCaption="" compact="0" compactData="0">
  <location ref="AL2:AO17" firstHeaderRow="0" firstDataRow="2" firstDataCol="0"/>
  <pivotFields>
    <pivotField name="SYMBOL" axis="axisRow" compact="0" numFmtId="164" outline="0" multipleItemSelectionAllowed="1" showAll="0" sortType="ascending">
      <items>
        <item x="13"/>
        <item x="0"/>
        <item x="7"/>
        <item x="5"/>
        <item x="3"/>
        <item x="11"/>
        <item x="4"/>
        <item x="1"/>
        <item x="9"/>
        <item x="8"/>
        <item x="12"/>
        <item x="2"/>
        <item x="10"/>
        <item x="6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el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7.xml><?xml version="1.0" encoding="utf-8"?>
<pivotTableDefinition xmlns="http://schemas.openxmlformats.org/spreadsheetml/2006/main" name="Equity_Trade-2025 3" cacheId="5" dataCaption="" compact="0" compactData="0">
  <location ref="AD7:AE13" firstHeaderRow="0" firstDataRow="1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ll Date" axis="axisRow" compact="0" outline="0" multipleItemSelectionAllowed="1" showAll="0" sortType="ascending">
      <items>
        <item x="0"/>
        <item x="1"/>
        <item x="2"/>
        <item x="4"/>
        <item x="3"/>
        <item x="6"/>
        <item x="5"/>
        <item t="default"/>
      </items>
    </pivotField>
    <pivotField name="Sel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8.xml><?xml version="1.0" encoding="utf-8"?>
<pivotTableDefinition xmlns="http://schemas.openxmlformats.org/spreadsheetml/2006/main" name="Dashrathlal" cacheId="6" dataCaption="" compact="0" compactData="0">
  <location ref="AG2:AJ18" firstHeaderRow="0" firstDataRow="3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axis="axisRow" compact="0" numFmtId="164" outline="0" multipleItemSelectionAllowed="1" showAll="0" sortType="ascending">
      <items>
        <item x="1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Holder" axis="axisRow" compact="0" outline="0" multipleItemSelectionAllowed="1" showAll="0" sortType="ascending" defaultSubtotal="0">
      <items>
        <item x="1"/>
        <item x="0"/>
      </items>
    </pivotField>
    <pivotField name="Buy Date" compact="0" outline="0" multipleItemSelectionAllowed="1" showAll="0">
      <items>
        <item x="0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outline="0" multipleItemSelectionAllowed="1" showAll="0">
      <items>
        <item x="0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</dataFields>
</pivotTableDefinition>
</file>

<file path=xl/pivotTables/pivotTable9.xml><?xml version="1.0" encoding="utf-8"?>
<pivotTableDefinition xmlns="http://schemas.openxmlformats.org/spreadsheetml/2006/main" name="Dashrathlal 2" cacheId="7" dataCaption="" compact="0" compactData="0">
  <location ref="AL2:AO18" firstHeaderRow="0" firstDataRow="2" firstDataCol="0"/>
  <pivotFields>
    <pivotField name="SYMBOL" axis="axisRow" compact="0" numFmtId="164" outline="0" multipleItemSelectionAllowed="1" showAll="0" sortType="ascending">
      <items>
        <item x="1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outline="0" multipleItemSelectionAllowed="1" showAll="0">
      <items>
        <item x="0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outline="0" multipleItemSelectionAllowed="1" showAll="0">
      <items>
        <item x="0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10.xml><?xml version="1.0" encoding="utf-8"?>
<pivotTableDefinition xmlns="http://schemas.openxmlformats.org/spreadsheetml/2006/main" name="Dashrathlal 3" cacheId="8" dataCaption="" compact="0" compactData="0">
  <location ref="AD7:AE9" firstHeaderRow="0" firstDataRow="1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outline="0" multipleItemSelectionAllowed="1" showAll="0">
      <items>
        <item x="0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Sell Date" axis="axisRow" compact="0" outline="0" multipleItemSelectionAllowed="1" showAll="0" sortType="ascending">
      <items>
        <item x="0"/>
        <item t="default"/>
      </items>
    </pivotField>
    <pivotField name="Sell" compact="0" outline="0" multipleItemSelectionAllowed="1" showAll="0">
      <items>
        <item x="0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11.xml><?xml version="1.0" encoding="utf-8"?>
<pivotTableDefinition xmlns="http://schemas.openxmlformats.org/spreadsheetml/2006/main" name="Ramkishor" cacheId="9" dataCaption="" compact="0" compactData="0">
  <location ref="AG2:AJ14" firstHeaderRow="0" firstDataRow="3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axis="axisRow" compact="0" numFmtId="164" outline="0" multipleItemSelectionAllowed="1" showAll="0" sortType="ascending">
      <items>
        <item x="9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Holder" axis="axisRow" compact="0" outline="0" multipleItemSelectionAllowed="1" showAll="0" sortType="ascending" defaultSubtotal="0">
      <items>
        <item x="1"/>
        <item x="0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numFmtId="164" outline="0" multipleItemSelectionAllowed="1" showAll="0">
      <items>
        <item x="0"/>
        <item x="1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</dataFields>
</pivotTableDefinition>
</file>

<file path=xl/pivotTables/pivotTable12.xml><?xml version="1.0" encoding="utf-8"?>
<pivotTableDefinition xmlns="http://schemas.openxmlformats.org/spreadsheetml/2006/main" name="Ramkishor 2" cacheId="10" dataCaption="" compact="0" compactData="0">
  <location ref="AL2:AO13" firstHeaderRow="0" firstDataRow="2" firstDataCol="0"/>
  <pivotFields>
    <pivotField name="SYMBOL" axis="axisRow" compact="0" numFmtId="164" outline="0" multipleItemSelectionAllowed="1" showAll="0" sortType="ascending">
      <items>
        <item x="9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numFmtId="164" outline="0" multipleItemSelectionAllowed="1" showAll="0">
      <items>
        <item x="0"/>
        <item x="1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13.xml><?xml version="1.0" encoding="utf-8"?>
<pivotTableDefinition xmlns="http://schemas.openxmlformats.org/spreadsheetml/2006/main" name="Ramkishor 3" cacheId="11" dataCaption="" compact="0" compactData="0">
  <location ref="AD7:AE9" firstHeaderRow="0" firstDataRow="1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 Date" axis="axisRow" compact="0" outline="0" multipleItemSelectionAllowed="1" showAll="0" sortType="ascending">
      <items>
        <item x="0"/>
        <item t="default"/>
      </items>
    </pivotField>
    <pivotField name="Sell" compact="0" numFmtId="164" outline="0" multipleItemSelectionAllowed="1" showAll="0">
      <items>
        <item x="0"/>
        <item x="1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14.xml><?xml version="1.0" encoding="utf-8"?>
<pivotTableDefinition xmlns="http://schemas.openxmlformats.org/spreadsheetml/2006/main" name="Rashmi" cacheId="2" dataCaption="" compact="0" compactData="0">
  <location ref="R2:W24" firstHeaderRow="0" firstDataRow="2" firstDataCol="0"/>
  <pivotFields>
    <pivotField name="SYMBOL" axis="axisRow" compact="0" numFmtId="164" outline="0" multipleItemSelectionAllowed="1" showAll="0" sortType="ascending">
      <items>
        <item x="20"/>
        <item x="15"/>
        <item x="13"/>
        <item x="0"/>
        <item x="1"/>
        <item x="11"/>
        <item x="2"/>
        <item x="3"/>
        <item x="18"/>
        <item x="4"/>
        <item x="5"/>
        <item x="14"/>
        <item x="9"/>
        <item x="6"/>
        <item x="19"/>
        <item x="8"/>
        <item x="16"/>
        <item x="7"/>
        <item x="17"/>
        <item x="10"/>
        <item x="12"/>
        <item t="default"/>
      </items>
    </pivotField>
    <pivotField name="Holder" compact="0" outline="0" multipleItemSelectionAllowed="1" showAll="0">
      <items>
        <item x="0"/>
        <item x="1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QT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0"/>
  </rowFields>
  <colFields>
    <field x="-2"/>
  </colFields>
  <dataFields>
    <dataField name="QTY" fld="7" baseField="0"/>
    <dataField name="Realised P/L" fld="13" baseField="0"/>
    <dataField name="Unrealised P/L" fld="9" baseField="0"/>
    <dataField name="Change Today" fld="12" baseField="0"/>
    <dataField name="SUM of QTY" fld="7" baseField="0"/>
  </dataFields>
</pivotTableDefinition>
</file>

<file path=xl/pivotTables/pivotTable15.xml><?xml version="1.0" encoding="utf-8"?>
<pivotTableDefinition xmlns="http://schemas.openxmlformats.org/spreadsheetml/2006/main" name="Aishwarya" cacheId="12" dataCaption="" compact="0" compactData="0">
  <location ref="R2:V13" firstHeaderRow="0" firstDataRow="2" firstDataCol="0"/>
  <pivotFields>
    <pivotField name="SYMBOL" axis="axisRow" compact="0" numFmtId="164" outline="0" multipleItemSelectionAllowed="1" showAll="0" sortType="ascending">
      <items>
        <item x="0"/>
        <item x="9"/>
        <item x="7"/>
        <item x="1"/>
        <item x="2"/>
        <item x="3"/>
        <item x="4"/>
        <item x="6"/>
        <item x="8"/>
        <item x="5"/>
        <item t="default"/>
      </items>
    </pivotField>
    <pivotField name="Holder" compact="0" outline="0" multipleItemSelectionAllowed="1" showAll="0">
      <items>
        <item x="0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 Date" compact="0" outline="0" multipleItemSelectionAllowed="1" showAll="0">
      <items>
        <item x="0"/>
        <item t="default"/>
      </items>
    </pivotField>
    <pivotField name="Sell" compact="0" numFmtId="164" outline="0" multipleItemSelectionAllowed="1" showAll="0">
      <items>
        <item x="0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T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alised P/L" dataField="1" compact="0" numFmtId="164" outline="0" multipleItemSelectionAllowed="1" showAll="0">
      <items>
        <item x="0"/>
        <item t="default"/>
      </items>
    </pivotField>
    <pivotField name="R P/L %" compact="0" numFmtId="10" outline="0" multipleItemSelectionAllowed="1" showAll="0">
      <items>
        <item x="0"/>
        <item t="default"/>
      </items>
    </pivotField>
  </pivotFields>
  <rowFields>
    <field x="0"/>
  </rowFields>
  <colFields>
    <field x="-2"/>
  </colFields>
  <dataFields>
    <dataField name="QTY" fld="7" baseField="0"/>
    <dataField name="Realised P/L" fld="13" baseField="0"/>
    <dataField name="Unrealised P/L" fld="9" baseField="0"/>
    <dataField name="Change Today" fld="12" baseField="0"/>
  </dataFields>
</pivotTableDefinition>
</file>

<file path=xl/pivotTables/pivotTable16.xml><?xml version="1.0" encoding="utf-8"?>
<pivotTableDefinition xmlns="http://schemas.openxmlformats.org/spreadsheetml/2006/main" name="Sudhadevi" cacheId="1" dataCaption="" compact="0" compactData="0">
  <location ref="R2:R2" firstHeaderRow="0" firstDataRow="2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SYMBOL" axis="axisRow" compact="0" numFmtId="164" outline="0" multipleItemSelectionAllowed="1" showAll="0" sortType="ascending">
      <items>
        <item x="32"/>
        <item x="0"/>
        <item x="1"/>
        <item x="2"/>
        <item x="3"/>
        <item x="4"/>
        <item x="41"/>
        <item x="5"/>
        <item x="6"/>
        <item x="34"/>
        <item x="7"/>
        <item x="8"/>
        <item x="9"/>
        <item x="36"/>
        <item x="10"/>
        <item x="30"/>
        <item x="11"/>
        <item x="12"/>
        <item x="13"/>
        <item x="14"/>
        <item x="15"/>
        <item x="16"/>
        <item x="17"/>
        <item x="18"/>
        <item x="31"/>
        <item x="37"/>
        <item x="39"/>
        <item x="33"/>
        <item x="40"/>
        <item x="19"/>
        <item x="20"/>
        <item x="21"/>
        <item x="22"/>
        <item x="23"/>
        <item x="35"/>
        <item x="24"/>
        <item x="27"/>
        <item x="28"/>
        <item x="29"/>
        <item x="26"/>
        <item x="25"/>
        <item x="38"/>
        <item t="default"/>
      </items>
    </pivotField>
    <pivotField name="Holder" compact="0" outline="0" multipleItemSelectionAllowed="1" showAll="0">
      <items>
        <item x="0"/>
        <item t="default"/>
      </items>
    </pivotField>
    <pivotField name="Buy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lumn 12" compact="0" outline="0" multipleItemSelectionAllowed="1" showAll="0">
      <items>
        <item x="0"/>
        <item x="1"/>
        <item x="2"/>
        <item x="3"/>
        <item t="default"/>
      </items>
    </pivotField>
    <pivotField name="Column 2" compact="0" outline="0" multipleItemSelectionAllowed="1" showAll="0">
      <items>
        <item x="0"/>
        <item x="1"/>
        <item t="default"/>
      </items>
    </pivotField>
  </pivotFields>
  <rowFields>
    <field x="1"/>
  </rowFields>
  <colFields>
    <field x="-2"/>
  </colFields>
  <dataFields>
    <dataField name="SUM of Realised P/L" fld="14" baseField="0"/>
    <dataField name="SUM of Unrealised P/L" fld="10" baseField="0"/>
    <dataField name="SUM of Change" fld="13" baseField="0"/>
  </dataFields>
</pivotTableDefinition>
</file>

<file path=xl/pivotTables/pivotTable17.xml><?xml version="1.0" encoding="utf-8"?>
<pivotTableDefinition xmlns="http://schemas.openxmlformats.org/spreadsheetml/2006/main" name="Long Term Holiding" cacheId="13" dataCaption="" compact="0" compactData="0">
  <location ref="AD2:AE18" firstHeaderRow="0" firstDataRow="1" firstDataCol="0"/>
  <pivotFields>
    <pivotField name="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Sell Date" axis="axisRow" compact="0" outline="0" multipleItemSelectionAllowed="1" showAll="0" sortType="ascending">
      <items>
        <item x="0"/>
        <item x="9"/>
        <item x="6"/>
        <item x="1"/>
        <item x="3"/>
        <item x="12"/>
        <item x="13"/>
        <item x="17"/>
        <item x="14"/>
        <item x="15"/>
        <item x="7"/>
        <item x="5"/>
        <item x="8"/>
        <item x="19"/>
        <item x="4"/>
        <item x="20"/>
        <item x="18"/>
        <item x="10"/>
        <item x="2"/>
        <item x="11"/>
        <item x="16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Unrealised P/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han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hange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18.xml><?xml version="1.0" encoding="utf-8"?>
<pivotTableDefinition xmlns="http://schemas.openxmlformats.org/spreadsheetml/2006/main" name="Long Term Holiding 2" cacheId="14" dataCaption="" compact="0" compactData="0">
  <location ref="AG2:AK11" firstHeaderRow="0" firstDataRow="3" firstDataCol="0"/>
  <pivotFields>
    <pivotField name="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SYMBOL" axis="axisRow" compact="0" numFmtId="164" outline="0" multipleItemSelectionAllowed="1" showAll="0" sortType="ascending">
      <items>
        <item x="10"/>
        <item x="13"/>
        <item x="41"/>
        <item x="40"/>
        <item x="43"/>
        <item x="15"/>
        <item x="28"/>
        <item x="2"/>
        <item x="9"/>
        <item x="3"/>
        <item x="29"/>
        <item x="21"/>
        <item x="19"/>
        <item x="37"/>
        <item x="1"/>
        <item x="27"/>
        <item x="18"/>
        <item x="32"/>
        <item x="7"/>
        <item x="42"/>
        <item x="4"/>
        <item x="12"/>
        <item x="5"/>
        <item x="26"/>
        <item x="36"/>
        <item x="16"/>
        <item x="24"/>
        <item x="44"/>
        <item x="8"/>
        <item x="30"/>
        <item x="14"/>
        <item x="38"/>
        <item x="35"/>
        <item x="31"/>
        <item x="0"/>
        <item x="33"/>
        <item x="46"/>
        <item x="11"/>
        <item x="47"/>
        <item x="34"/>
        <item x="17"/>
        <item x="22"/>
        <item x="20"/>
        <item x="6"/>
        <item x="25"/>
        <item x="45"/>
        <item x="23"/>
        <item x="39"/>
        <item t="default"/>
      </items>
    </pivotField>
    <pivotField name="Holder" axis="axisRow" compact="0" outline="0" multipleItemSelectionAllowed="1" showAll="0" sortType="ascending">
      <items>
        <item sd="0" x="3"/>
        <item sd="0" x="0"/>
        <item sd="0" x="5"/>
        <item sd="0" x="4"/>
        <item sd="0" x="2"/>
        <item x="1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Unrealised P/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han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hange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  <dataField name="SUM of change2" fld="14" baseField="0"/>
  </dataFields>
</pivotTableDefinition>
</file>

<file path=xl/pivotTables/pivotTable19.xml><?xml version="1.0" encoding="utf-8"?>
<pivotTableDefinition xmlns="http://schemas.openxmlformats.org/spreadsheetml/2006/main" name="Long Term Holiding 3" cacheId="15" dataCaption="" compact="0" compactData="0">
  <location ref="AM2:AP51" firstHeaderRow="0" firstDataRow="2" firstDataCol="0"/>
  <pivotFields>
    <pivotField name="SYMBOL" axis="axisRow" compact="0" numFmtId="164" outline="0" multipleItemSelectionAllowed="1" showAll="0" sortType="ascending">
      <items>
        <item x="10"/>
        <item x="13"/>
        <item x="41"/>
        <item x="40"/>
        <item x="43"/>
        <item x="15"/>
        <item x="28"/>
        <item x="2"/>
        <item x="9"/>
        <item x="3"/>
        <item x="29"/>
        <item x="21"/>
        <item x="19"/>
        <item x="37"/>
        <item x="1"/>
        <item x="27"/>
        <item x="18"/>
        <item x="32"/>
        <item x="7"/>
        <item x="42"/>
        <item x="4"/>
        <item x="12"/>
        <item x="5"/>
        <item x="26"/>
        <item x="36"/>
        <item x="16"/>
        <item x="24"/>
        <item x="44"/>
        <item x="8"/>
        <item x="30"/>
        <item x="14"/>
        <item x="38"/>
        <item x="35"/>
        <item x="31"/>
        <item x="0"/>
        <item x="33"/>
        <item x="46"/>
        <item x="11"/>
        <item x="47"/>
        <item x="34"/>
        <item x="17"/>
        <item x="22"/>
        <item x="20"/>
        <item x="6"/>
        <item x="25"/>
        <item x="45"/>
        <item x="23"/>
        <item x="39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Unrealised P/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han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hange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20.xml><?xml version="1.0" encoding="utf-8"?>
<pivotTableDefinition xmlns="http://schemas.openxmlformats.org/spreadsheetml/2006/main" name="Long Term Holiding 4" cacheId="15" dataCaption="" compact="0" compactData="0">
  <location ref="AR2:AU9" firstHeaderRow="0" firstDataRow="2" firstDataCol="0"/>
  <pivotFields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Holder" axis="axisRow" compact="0" outline="0" multipleItemSelectionAllowed="1" showAll="0" sortType="ascending">
      <items>
        <item x="3"/>
        <item x="0"/>
        <item x="5"/>
        <item x="4"/>
        <item x="2"/>
        <item x="1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Unrealised P/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han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hange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</pivotFields>
  <rowFields>
    <field x="1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21.xml><?xml version="1.0" encoding="utf-8"?>
<pivotTableDefinition xmlns="http://schemas.openxmlformats.org/spreadsheetml/2006/main" name="Dividend" cacheId="16" dataCaption="" compact="0" compactData="0">
  <location ref="J1:P38" firstHeaderRow="0" firstDataRow="1" firstDataCol="1"/>
  <pivotFields>
    <pivotField name="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Payment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Holder" axis="axisCol" compact="0" outline="0" multipleItemSelectionAllowed="1" showAll="0" sortType="ascending">
      <items>
        <item x="0"/>
        <item x="3"/>
        <item x="2"/>
        <item x="4"/>
        <item x="1"/>
        <item t="default"/>
      </items>
    </pivotField>
    <pivotField name="Symbol" axis="axisRow" compact="0" outline="0" multipleItemSelectionAllowed="1" showAll="0" sortType="ascending">
      <items>
        <item x="21"/>
        <item x="6"/>
        <item x="14"/>
        <item x="2"/>
        <item x="28"/>
        <item x="7"/>
        <item x="22"/>
        <item x="33"/>
        <item x="30"/>
        <item x="9"/>
        <item x="11"/>
        <item x="0"/>
        <item x="10"/>
        <item x="27"/>
        <item x="31"/>
        <item x="13"/>
        <item x="29"/>
        <item x="15"/>
        <item x="34"/>
        <item x="32"/>
        <item x="25"/>
        <item x="26"/>
        <item x="16"/>
        <item x="12"/>
        <item x="19"/>
        <item x="20"/>
        <item x="23"/>
        <item x="5"/>
        <item x="1"/>
        <item x="8"/>
        <item x="3"/>
        <item x="4"/>
        <item x="24"/>
        <item x="17"/>
        <item x="18"/>
        <item t="default"/>
      </items>
    </pivotField>
    <pivotField name="Amou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3"/>
  </rowFields>
  <colFields>
    <field x="2"/>
  </colFields>
  <dataFields>
    <dataField name="SUM of Amount" fld="4" baseField="0"/>
  </dataFields>
</pivotTableDefinition>
</file>

<file path=xl/pivotTables/pivotTable22.xml><?xml version="1.0" encoding="utf-8"?>
<pivotTableDefinition xmlns="http://schemas.openxmlformats.org/spreadsheetml/2006/main" name="Dividend 2" cacheId="17" dataCaption="" compact="0" compactData="0">
  <location ref="S1:Y24" firstHeaderRow="0" firstDataRow="1" firstDataCol="1"/>
  <pivotFields>
    <pivotField name="Date" axis="axisRow" compact="0" numFmtId="165" outline="0" multipleItemSelectionAllowed="1" showAll="0" sortType="ascending">
      <items>
        <item x="48"/>
        <item x="0"/>
        <item x="1"/>
        <item x="2"/>
        <item x="3"/>
        <item x="4"/>
        <item x="5"/>
        <item x="6"/>
        <item x="7"/>
        <item x="8"/>
        <item x="9"/>
        <item x="10"/>
        <item x="37"/>
        <item x="11"/>
        <item x="12"/>
        <item x="13"/>
        <item x="38"/>
        <item x="15"/>
        <item x="14"/>
        <item x="39"/>
        <item x="16"/>
        <item x="17"/>
        <item x="18"/>
        <item x="19"/>
        <item x="20"/>
        <item x="21"/>
        <item x="22"/>
        <item x="23"/>
        <item x="24"/>
        <item x="26"/>
        <item x="25"/>
        <item x="27"/>
        <item x="28"/>
        <item x="40"/>
        <item x="29"/>
        <item x="30"/>
        <item x="31"/>
        <item x="32"/>
        <item x="41"/>
        <item x="33"/>
        <item x="34"/>
        <item x="42"/>
        <item x="35"/>
        <item x="36"/>
        <item x="47"/>
        <item x="43"/>
        <item x="44"/>
        <item x="45"/>
        <item x="46"/>
        <item t="default"/>
      </items>
    </pivotField>
    <pivotField name="Payment_D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Holder" axis="axisCol" compact="0" outline="0" multipleItemSelectionAllowed="1" showAll="0" sortType="ascending">
      <items>
        <item x="0"/>
        <item x="3"/>
        <item x="2"/>
        <item x="4"/>
        <item x="1"/>
        <item t="default"/>
      </items>
    </pivotField>
    <pivotField name="Symb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Amou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</pivotFields>
  <rowFields>
    <field x="0"/>
  </rowFields>
  <colFields>
    <field x="2"/>
  </colFields>
  <dataFields>
    <dataField name="SUM of Amount" fld="4" baseField="0"/>
  </dataFields>
</pivotTableDefinition>
</file>

<file path=xl/pivotTables/pivotTable23.xml><?xml version="1.0" encoding="utf-8"?>
<pivotTableDefinition xmlns="http://schemas.openxmlformats.org/spreadsheetml/2006/main" name="Equity_Trade-2024" cacheId="18" dataCaption="" compact="0" compactData="0">
  <location ref="AG2:AJ16" firstHeaderRow="0" firstDataRow="3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axis="axisRow" compact="0" numFmtId="164" outline="0" multipleItemSelectionAllowed="1" showAll="0" sortType="ascending">
      <items>
        <item x="27"/>
        <item x="13"/>
        <item x="21"/>
        <item x="1"/>
        <item x="8"/>
        <item x="16"/>
        <item x="9"/>
        <item x="26"/>
        <item x="18"/>
        <item x="2"/>
        <item x="6"/>
        <item x="24"/>
        <item x="20"/>
        <item x="4"/>
        <item x="17"/>
        <item x="25"/>
        <item x="11"/>
        <item x="22"/>
        <item x="5"/>
        <item x="12"/>
        <item x="10"/>
        <item x="15"/>
        <item x="7"/>
        <item x="3"/>
        <item x="0"/>
        <item x="23"/>
        <item x="19"/>
        <item x="14"/>
        <item t="default"/>
      </items>
    </pivotField>
    <pivotField name="Holder" axis="axisRow" compact="0" outline="0" multipleItemSelectionAllowed="1" showAll="0" sortType="ascending">
      <items>
        <item sd="0" x="7"/>
        <item x="6"/>
        <item sd="0" x="0"/>
        <item sd="0" x="3"/>
        <item sd="0" x="4"/>
        <item sd="0" x="2"/>
        <item sd="0" x="5"/>
        <item x="1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Sell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</dataFields>
</pivotTableDefinition>
</file>

<file path=xl/pivotTables/pivotTable24.xml><?xml version="1.0" encoding="utf-8"?>
<pivotTableDefinition xmlns="http://schemas.openxmlformats.org/spreadsheetml/2006/main" name="Equity_Trade-2024 2" cacheId="19" dataCaption="" compact="0" compactData="0">
  <location ref="AL2:AO31" firstHeaderRow="0" firstDataRow="2" firstDataCol="0"/>
  <pivotFields>
    <pivotField name="SYMBOL" axis="axisRow" compact="0" numFmtId="164" outline="0" multipleItemSelectionAllowed="1" showAll="0" sortType="ascending">
      <items>
        <item x="27"/>
        <item x="13"/>
        <item x="21"/>
        <item x="1"/>
        <item x="8"/>
        <item x="16"/>
        <item x="9"/>
        <item x="26"/>
        <item x="18"/>
        <item x="2"/>
        <item x="6"/>
        <item x="24"/>
        <item x="20"/>
        <item x="4"/>
        <item x="17"/>
        <item x="25"/>
        <item x="11"/>
        <item x="22"/>
        <item x="5"/>
        <item x="12"/>
        <item x="10"/>
        <item x="15"/>
        <item x="7"/>
        <item x="3"/>
        <item x="0"/>
        <item x="23"/>
        <item x="19"/>
        <item x="14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Sell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han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25.xml><?xml version="1.0" encoding="utf-8"?>
<pivotTableDefinition xmlns="http://schemas.openxmlformats.org/spreadsheetml/2006/main" name="Equity_Trade-2024 3" cacheId="20" dataCaption="" compact="0" compactData="0">
  <location ref="AD7:AE22" firstHeaderRow="0" firstDataRow="1" firstDataCol="0"/>
  <pivotFields>
    <pivotField name="Column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Sell Date" axis="axisRow" compact="0" numFmtId="165" outline="0" multipleItemSelectionAllowed="1" showAll="0" sortType="ascending">
      <items>
        <item x="8"/>
        <item x="0"/>
        <item x="2"/>
        <item x="5"/>
        <item x="6"/>
        <item x="3"/>
        <item x="1"/>
        <item x="11"/>
        <item x="9"/>
        <item x="14"/>
        <item x="4"/>
        <item x="7"/>
        <item x="15"/>
        <item x="16"/>
        <item x="13"/>
        <item x="10"/>
        <item x="12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_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26.xml><?xml version="1.0" encoding="utf-8"?>
<pivotTableDefinition xmlns="http://schemas.openxmlformats.org/spreadsheetml/2006/main" name="Equity_Trade-2023" cacheId="21" dataCaption="" compact="0" compactData="0">
  <location ref="AG2:AJ10" firstHeaderRow="0" firstDataRow="3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SYMBOL" axis="axisRow" compact="0" numFmtId="164" outline="0" multipleItemSelectionAllowed="1" showAll="0" sortType="ascending">
      <items>
        <item x="25"/>
        <item x="6"/>
        <item x="4"/>
        <item x="8"/>
        <item x="9"/>
        <item x="3"/>
        <item x="13"/>
        <item x="2"/>
        <item x="10"/>
        <item x="23"/>
        <item x="1"/>
        <item x="17"/>
        <item x="7"/>
        <item x="20"/>
        <item x="5"/>
        <item x="18"/>
        <item x="24"/>
        <item x="11"/>
        <item x="19"/>
        <item x="0"/>
        <item x="22"/>
        <item x="14"/>
        <item x="12"/>
        <item x="21"/>
        <item x="16"/>
        <item x="15"/>
        <item t="default"/>
      </items>
    </pivotField>
    <pivotField name="Holder" axis="axisRow" compact="0" outline="0" multipleItemSelectionAllowed="1" showAll="0" sortType="ascending">
      <items>
        <item x="5"/>
        <item sd="0" x="1"/>
        <item sd="0" x="0"/>
        <item sd="0" x="3"/>
        <item sd="0" x="4"/>
        <item sd="0" x="2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hange2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>
    <field x="2"/>
    <field x="1"/>
  </rowFields>
  <colFields>
    <field x="-2"/>
  </colFields>
  <dataFields>
    <dataField name="SUM of Unrealised P/L" fld="11" baseField="0"/>
    <dataField name="SUM of Realised P/L" fld="15" baseField="0"/>
  </dataFields>
</pivotTableDefinition>
</file>

<file path=xl/pivotTables/pivotTable27.xml><?xml version="1.0" encoding="utf-8"?>
<pivotTableDefinition xmlns="http://schemas.openxmlformats.org/spreadsheetml/2006/main" name="Equity_Trade-2023 2" cacheId="22" dataCaption="" compact="0" compactData="0">
  <location ref="AL2:AO29" firstHeaderRow="0" firstDataRow="2" firstDataCol="0"/>
  <pivotFields>
    <pivotField name="SYMBOL" axis="axisRow" compact="0" numFmtId="164" outline="0" multipleItemSelectionAllowed="1" showAll="0" sortType="ascending">
      <items>
        <item x="25"/>
        <item x="6"/>
        <item x="4"/>
        <item x="8"/>
        <item x="9"/>
        <item x="3"/>
        <item x="13"/>
        <item x="2"/>
        <item x="10"/>
        <item x="23"/>
        <item x="1"/>
        <item x="17"/>
        <item x="7"/>
        <item x="20"/>
        <item x="5"/>
        <item x="18"/>
        <item x="24"/>
        <item x="11"/>
        <item x="19"/>
        <item x="0"/>
        <item x="22"/>
        <item x="14"/>
        <item x="12"/>
        <item x="21"/>
        <item x="16"/>
        <item x="15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Se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Un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hange2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>
    <field x="0"/>
  </rowFields>
  <colFields>
    <field x="-2"/>
  </colFields>
  <dataFields>
    <dataField name="Realised P/L" fld="14" baseField="0"/>
    <dataField name="Unrealised P/L" fld="10" baseField="0"/>
    <dataField name="Change Today" fld="13" baseField="0"/>
  </dataFields>
</pivotTableDefinition>
</file>

<file path=xl/pivotTables/pivotTable28.xml><?xml version="1.0" encoding="utf-8"?>
<pivotTableDefinition xmlns="http://schemas.openxmlformats.org/spreadsheetml/2006/main" name="Equity_Trade-2023 3" cacheId="23" dataCaption="" compact="0" compactData="0">
  <location ref="AD7:AE16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Sell Date" axis="axisRow" compact="0" outline="0" multipleItemSelectionAllowed="1" showAll="0" sortType="ascending">
      <items>
        <item x="0"/>
        <item x="3"/>
        <item x="4"/>
        <item x="5"/>
        <item x="6"/>
        <item x="7"/>
        <item x="10"/>
        <item x="9"/>
        <item x="11"/>
        <item x="8"/>
        <item x="2"/>
        <item x="13"/>
        <item x="1"/>
        <item x="14"/>
        <item x="12"/>
        <item x="16"/>
        <item x="17"/>
        <item x="15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hang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hange2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>
    <field x="5"/>
  </rowFields>
  <dataFields>
    <dataField name="SUM of Realised P/L" fld="15" baseField="0"/>
  </dataFields>
</pivotTableDefinition>
</file>

<file path=xl/pivotTables/pivotTable29.xml><?xml version="1.0" encoding="utf-8"?>
<pivotTableDefinition xmlns="http://schemas.openxmlformats.org/spreadsheetml/2006/main" name="Equity_Trade-2022" cacheId="24" dataCaption="" compact="0" compactData="0">
  <location ref="AA7:AB15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Holder" compact="0" outline="0" multipleItemSelectionAllowed="1" showAll="0">
      <items>
        <item x="0"/>
        <item x="1"/>
        <item x="2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Sell Date" axis="axisRow" compact="0" outline="0" multipleItemSelectionAllowed="1" showAll="0" sortType="ascending">
      <items>
        <item x="0"/>
        <item x="1"/>
        <item x="4"/>
        <item x="6"/>
        <item x="5"/>
        <item x="7"/>
        <item x="8"/>
        <item x="9"/>
        <item x="11"/>
        <item x="12"/>
        <item x="13"/>
        <item x="10"/>
        <item x="14"/>
        <item x="3"/>
        <item x="15"/>
        <item x="17"/>
        <item x="2"/>
        <item x="16"/>
        <item x="18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Unrealised P/L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U P/L %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ST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Ex Txn Chg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G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SEBI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Total tax and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DP Charges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Total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Net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Net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</pivotFields>
  <rowFields>
    <field x="5"/>
  </rowFields>
  <dataFields>
    <dataField name="SUM of Net P/L" fld="22" baseField="0"/>
  </dataFields>
</pivotTableDefinition>
</file>

<file path=xl/pivotTables/pivotTable30.xml><?xml version="1.0" encoding="utf-8"?>
<pivotTableDefinition xmlns="http://schemas.openxmlformats.org/spreadsheetml/2006/main" name="Equity_Trade_2021" cacheId="25" dataCaption="" compact="0" compactData="0">
  <location ref="AA7:AB18" firstHeaderRow="0" firstDataRow="1" firstDataCol="0"/>
  <pivotFields>
    <pivotField name="QU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SYMBO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Holder" compact="0" outline="0" multipleItemSelectionAllowed="1" showAll="0">
      <items>
        <item x="0"/>
        <item x="1"/>
        <item x="2"/>
        <item x="3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Sell Date" axis="axisRow" compact="0" numFmtId="165" outline="0" multipleItemSelectionAllowed="1" showAll="0" sortType="ascending">
      <items>
        <item x="8"/>
        <item x="0"/>
        <item x="2"/>
        <item x="1"/>
        <item x="6"/>
        <item x="9"/>
        <item x="7"/>
        <item x="15"/>
        <item x="12"/>
        <item x="14"/>
        <item x="11"/>
        <item x="19"/>
        <item x="13"/>
        <item x="10"/>
        <item x="18"/>
        <item x="4"/>
        <item x="21"/>
        <item x="3"/>
        <item x="23"/>
        <item x="24"/>
        <item x="25"/>
        <item x="27"/>
        <item x="26"/>
        <item x="20"/>
        <item x="28"/>
        <item x="29"/>
        <item x="17"/>
        <item x="5"/>
        <item x="32"/>
        <item x="30"/>
        <item x="22"/>
        <item x="33"/>
        <item x="31"/>
        <item x="34"/>
        <item x="35"/>
        <item x="16"/>
        <item t="default"/>
      </items>
    </pivotField>
    <pivotField name="Sel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Unrealised P/L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alised P/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R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ST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Ex Txn Chg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G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SEBI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Total tax and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DP Charges" compact="0" numFmtId="164" outline="0" multipleItemSelectionAllowed="1" showAll="0">
      <items>
        <item x="0"/>
        <item x="1"/>
        <item x="2"/>
        <item t="default"/>
      </items>
    </pivotField>
    <pivotField name="Total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Net P/L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Net P/L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</pivotFields>
  <rowFields>
    <field x="5"/>
  </rowFields>
  <dataFields>
    <dataField name="SUM of Net P/L" fld="22" baseField="0"/>
  </dataFields>
</pivotTableDefinition>
</file>

<file path=xl/pivotTables/pivotTable31.xml><?xml version="1.0" encoding="utf-8"?>
<pivotTableDefinition xmlns="http://schemas.openxmlformats.org/spreadsheetml/2006/main" name="Long Term Holiding-" cacheId="26" dataCaption="" compact="0" compactData="0">
  <location ref="Z8:AB19" firstHeaderRow="0" firstDataRow="2" firstDataCol="0"/>
  <pivotFields>
    <pivotField name="Sr. #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YMBOL" axis="axisRow" compact="0" outline="0" multipleItemSelectionAllowed="1" showAll="0" sortType="ascending">
      <items>
        <item x="1"/>
        <item x="4"/>
        <item x="6"/>
        <item x="0"/>
        <item x="3"/>
        <item x="7"/>
        <item x="8"/>
        <item x="5"/>
        <item x="2"/>
        <item x="9"/>
        <item t="default"/>
      </items>
    </pivotField>
    <pivotField name="Buy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Bu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ell Date" compact="0" outline="0" multipleItemSelectionAllowed="1" showAll="0">
      <items>
        <item x="0"/>
        <item x="1"/>
        <item x="2"/>
        <item t="default"/>
      </items>
    </pivotField>
    <pivotField name="Sell" compact="0" outline="0" multipleItemSelectionAllowed="1" showAll="0">
      <items>
        <item x="0"/>
        <item x="1"/>
        <item x="2"/>
        <item t="default"/>
      </items>
    </pivotField>
    <pivotField name="LT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urnover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realised P/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 P/L %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Realised P/L" dataField="1" compact="0" numFmtId="164" outline="0" multipleItemSelectionAllowed="1" showAll="0">
      <items>
        <item x="0"/>
        <item x="1"/>
        <item x="2"/>
        <item t="default"/>
      </items>
    </pivotField>
    <pivotField name="R P/L %" compact="0" numFmtId="10" outline="0" multipleItemSelectionAllowed="1" showAll="0">
      <items>
        <item x="0"/>
        <item x="1"/>
        <item x="2"/>
        <item t="default"/>
      </items>
    </pivotField>
    <pivotField name="ST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Ex Txn Chg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EBI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otal tax and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P Charges" compact="0" numFmtId="164" outline="0" multipleItemSelectionAllowed="1" showAll="0">
      <items>
        <item x="0"/>
        <item x="1"/>
        <item t="default"/>
      </items>
    </pivotField>
    <pivotField name="Total Charge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Net P/L" compact="0" numFmtId="164" outline="0" multipleItemSelectionAllowed="1" showAll="0">
      <items>
        <item x="0"/>
        <item x="1"/>
        <item x="2"/>
        <item t="default"/>
      </items>
    </pivotField>
    <pivotField name="Net P/L %" compact="0" numFmtId="10" outline="0" multipleItemSelectionAllowed="1" showAll="0">
      <items>
        <item x="0"/>
        <item x="1"/>
        <item x="2"/>
        <item t="default"/>
      </items>
    </pivotField>
    <pivotField name="Balance" compact="0" numFmtId="164" outline="0" multipleItemSelectionAllowed="1" showAll="0">
      <items>
        <item x="0"/>
        <item x="1"/>
        <item x="2"/>
        <item x="3"/>
        <item t="default"/>
      </items>
    </pivotField>
  </pivotFields>
  <rowFields>
    <field x="1"/>
  </rowFields>
  <colFields>
    <field x="-2"/>
  </colFields>
  <dataFields>
    <dataField name="SUM of Unrealised P/L" fld="10" baseField="0"/>
    <dataField name="SUM of Realised P/L" fld="12" baseField="0"/>
  </dataFields>
</pivotTableDefinition>
</file>

<file path=xl/tables/table1.xml><?xml version="1.0" encoding="utf-8"?>
<table xmlns="http://schemas.openxmlformats.org/spreadsheetml/2006/main" ref="A1:AB53" displayName="Trade_List_2" name="Trade_List_2" id="1">
  <autoFilter ref="$A$1:$AB$53"/>
  <tableColumns count="28">
    <tableColumn name="Column 1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Turnover" id="11"/>
    <tableColumn name="Unrealised P/L" id="12"/>
    <tableColumn name="U P/L %" id="13"/>
    <tableColumn name="Day_Change" id="14"/>
    <tableColumn name="Change" id="15"/>
    <tableColumn name="Realised P/L" id="16"/>
    <tableColumn name="R P/L %" id="17"/>
    <tableColumn name="STT" id="18"/>
    <tableColumn name="Ex Txn Chg" id="19"/>
    <tableColumn name="GST" id="20"/>
    <tableColumn name="SEBI charges" id="21"/>
    <tableColumn name="Total tax and charges" id="22"/>
    <tableColumn name="DP Charges" id="23"/>
    <tableColumn name="Total Charges" id="24"/>
    <tableColumn name="Net P/L" id="25"/>
    <tableColumn name="Net P/L %" id="26"/>
    <tableColumn name="Balance" id="27"/>
    <tableColumn name="Comment" id="28"/>
  </tableColumns>
  <tableStyleInfo name="Equity_Trade-2025-style" showColumnStripes="0" showFirstColumn="1" showLastColumn="1" showRowStripes="1"/>
</table>
</file>

<file path=xl/tables/table2.xml><?xml version="1.0" encoding="utf-8"?>
<table xmlns="http://schemas.openxmlformats.org/spreadsheetml/2006/main" ref="A1:AB53" displayName="Trade_List_3" name="Trade_List_3" id="2">
  <autoFilter ref="$A$1:$AB$53"/>
  <tableColumns count="28">
    <tableColumn name="Column 1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Turnover" id="11"/>
    <tableColumn name="Unrealised P/L" id="12"/>
    <tableColumn name="U P/L %" id="13"/>
    <tableColumn name="Day_Change" id="14"/>
    <tableColumn name="Change" id="15"/>
    <tableColumn name="Realised P/L" id="16"/>
    <tableColumn name="R P/L %" id="17"/>
    <tableColumn name="STT" id="18"/>
    <tableColumn name="Ex Txn Chg" id="19"/>
    <tableColumn name="GST" id="20"/>
    <tableColumn name="SEBI charges" id="21"/>
    <tableColumn name="Total tax and charges" id="22"/>
    <tableColumn name="DP Charges" id="23"/>
    <tableColumn name="Total Charges" id="24"/>
    <tableColumn name="Net P/L" id="25"/>
    <tableColumn name="Net P/L %" id="26"/>
    <tableColumn name="Balance" id="27"/>
    <tableColumn name="Comment" id="28"/>
  </tableColumns>
  <tableStyleInfo name="Dashrathlal-style" showColumnStripes="0" showFirstColumn="1" showLastColumn="1" showRowStripes="1"/>
</table>
</file>

<file path=xl/tables/table3.xml><?xml version="1.0" encoding="utf-8"?>
<table xmlns="http://schemas.openxmlformats.org/spreadsheetml/2006/main" ref="A1:AB53" displayName="Trade_List_4" name="Trade_List_4" id="3">
  <autoFilter ref="$A$1:$AB$53"/>
  <tableColumns count="28">
    <tableColumn name="Column 1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Turnover" id="11"/>
    <tableColumn name="Unrealised P/L" id="12"/>
    <tableColumn name="U P/L %" id="13"/>
    <tableColumn name="Day_Change" id="14"/>
    <tableColumn name="Change" id="15"/>
    <tableColumn name="Realised P/L" id="16"/>
    <tableColumn name="R P/L %" id="17"/>
    <tableColumn name="STT" id="18"/>
    <tableColumn name="Ex Txn Chg" id="19"/>
    <tableColumn name="GST" id="20"/>
    <tableColumn name="SEBI charges" id="21"/>
    <tableColumn name="Total tax and charges" id="22"/>
    <tableColumn name="DP Charges" id="23"/>
    <tableColumn name="Total Charges" id="24"/>
    <tableColumn name="Net P/L" id="25"/>
    <tableColumn name="Net P/L %" id="26"/>
    <tableColumn name="Balance" id="27"/>
    <tableColumn name="Comment" id="28"/>
  </tableColumns>
  <tableStyleInfo name="Ramkishor-style" showColumnStripes="0" showFirstColumn="1" showLastColumn="1" showRowStripes="1"/>
</table>
</file>

<file path=xl/tables/table4.xml><?xml version="1.0" encoding="utf-8"?>
<table xmlns="http://schemas.openxmlformats.org/spreadsheetml/2006/main" totalsRowCount="1" ref="A1:P54" displayName="Rashmi_Trades" name="Rashmi_Trades" id="4">
  <autoFilter ref="$A$1:$P$54"/>
  <tableColumns count="16">
    <tableColumn name="Sr.#" id="1"/>
    <tableColumn name="SYMBOL" id="2"/>
    <tableColumn name="Holder" id="3"/>
    <tableColumn name="Buy Date" id="4"/>
    <tableColumn totalsRowFunction="custom" name="Buy" id="5"/>
    <tableColumn name="Sell Date" id="6"/>
    <tableColumn totalsRowFunction="custom" name="Sell" id="7"/>
    <tableColumn totalsRowFunction="custom" name="LTP" id="8"/>
    <tableColumn name="QTY" id="9"/>
    <tableColumn totalsRowFunction="custom" name="Invested" id="10"/>
    <tableColumn totalsRowFunction="custom" name="Unrealised P/L" id="11"/>
    <tableColumn name="U P/L %" id="12"/>
    <tableColumn totalsRowFunction="custom" name="Day_Change" id="13"/>
    <tableColumn totalsRowFunction="custom" name="Change" id="14"/>
    <tableColumn totalsRowFunction="custom" name="Realised P/L" id="15"/>
    <tableColumn name="R P/L %" id="16"/>
  </tableColumns>
  <tableStyleInfo name="Rashmi-style" showColumnStripes="0" showFirstColumn="1" showLastColumn="1" showRowStripes="1"/>
</table>
</file>

<file path=xl/tables/table5.xml><?xml version="1.0" encoding="utf-8"?>
<table xmlns="http://schemas.openxmlformats.org/spreadsheetml/2006/main" ref="A1:P13" displayName="Aishwarya_Trades" name="Aishwarya_Trades" id="5">
  <tableColumns count="16">
    <tableColumn name="Sr.#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Unrealised P/L" id="11"/>
    <tableColumn name="U P/L %" id="12"/>
    <tableColumn name="Day_Change" id="13"/>
    <tableColumn name="Change" id="14"/>
    <tableColumn name="Realised P/L" id="15"/>
    <tableColumn name="R P/L %" id="16"/>
  </tableColumns>
  <tableStyleInfo name="Aishwarya-style" showColumnStripes="0" showFirstColumn="1" showLastColumn="1" showRowStripes="1"/>
</table>
</file>

<file path=xl/tables/table6.xml><?xml version="1.0" encoding="utf-8"?>
<table xmlns="http://schemas.openxmlformats.org/spreadsheetml/2006/main" ref="A1:R50" displayName="Sudhadevi_Trades" name="Sudhadevi_Trades" id="6">
  <autoFilter ref="$A$1:$R$50"/>
  <tableColumns count="18">
    <tableColumn name="Column 1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Unrealised P/L" id="11"/>
    <tableColumn name="U P/L %" id="12"/>
    <tableColumn name="Day_Change" id="13"/>
    <tableColumn name="Change" id="14"/>
    <tableColumn name="Realised P/L" id="15"/>
    <tableColumn name="R P/L %" id="16"/>
    <tableColumn name="Column 1 2" id="17"/>
    <tableColumn name="Column 2" id="18"/>
  </tableColumns>
  <tableStyleInfo name="Sudhadevi-style" showColumnStripes="0" showFirstColumn="1" showLastColumn="1" showRowStripes="1"/>
</table>
</file>

<file path=xl/tables/table7.xml><?xml version="1.0" encoding="utf-8"?>
<table xmlns="http://schemas.openxmlformats.org/spreadsheetml/2006/main" ref="A1:AC103" displayName="Table2" name="Table2" id="7">
  <autoFilter ref="$A$1:$AC$103"/>
  <tableColumns count="29">
    <tableColumn name="h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Turnover" id="11"/>
    <tableColumn name="Unrealised P/L" id="12"/>
    <tableColumn name="U P/L %" id="13"/>
    <tableColumn name="Change" id="14"/>
    <tableColumn name="Change 2" id="15"/>
    <tableColumn name="Realised P/L" id="16"/>
    <tableColumn name="R P/L %" id="17"/>
    <tableColumn name="STT" id="18"/>
    <tableColumn name="Ex Txn Chg" id="19"/>
    <tableColumn name="GST" id="20"/>
    <tableColumn name="SEBI charges" id="21"/>
    <tableColumn name="Total tax and charges" id="22"/>
    <tableColumn name="DP Charges" id="23"/>
    <tableColumn name="Total Charges" id="24"/>
    <tableColumn name="Net P/L" id="25"/>
    <tableColumn name="Net P/L %" id="26"/>
    <tableColumn name="Balance" id="27"/>
    <tableColumn name="Comment" id="28"/>
    <tableColumn name="Column 1" id="29"/>
  </tableColumns>
  <tableStyleInfo name="Long Term Holiding-style" showColumnStripes="0" showFirstColumn="1" showLastColumn="1" showRowStripes="1"/>
</table>
</file>

<file path=xl/tables/table8.xml><?xml version="1.0" encoding="utf-8"?>
<table xmlns="http://schemas.openxmlformats.org/spreadsheetml/2006/main" ref="A1:E87" displayName="Table1" name="Table1" id="8">
  <autoFilter ref="$A$1:$E$87"/>
  <tableColumns count="5">
    <tableColumn name="Date" id="1"/>
    <tableColumn name="Payment_Date" id="2"/>
    <tableColumn name="Holder" id="3"/>
    <tableColumn name="Symbol" id="4"/>
    <tableColumn name="Amount" id="5"/>
  </tableColumns>
  <tableStyleInfo name="Dividend-style" showColumnStripes="0" showFirstColumn="1" showLastColumn="1" showRowStripes="1"/>
</table>
</file>

<file path=xl/tables/table9.xml><?xml version="1.0" encoding="utf-8"?>
<table xmlns="http://schemas.openxmlformats.org/spreadsheetml/2006/main" ref="A1:AB53" displayName="Trade_List" name="Trade_List" id="9">
  <autoFilter ref="$A$1:$AB$53"/>
  <tableColumns count="28">
    <tableColumn name="Column 1" id="1"/>
    <tableColumn name="SYMBOL" id="2"/>
    <tableColumn name="Holder" id="3"/>
    <tableColumn name="Buy Date" id="4"/>
    <tableColumn name="Buy" id="5"/>
    <tableColumn name="Sell Date" id="6"/>
    <tableColumn name="Sell" id="7"/>
    <tableColumn name="LTP" id="8"/>
    <tableColumn name="QTY" id="9"/>
    <tableColumn name="Invested" id="10"/>
    <tableColumn name="Turnover" id="11"/>
    <tableColumn name="Unrealised P/L" id="12"/>
    <tableColumn name="U P/L %" id="13"/>
    <tableColumn name="Day_Change" id="14"/>
    <tableColumn name="Change" id="15"/>
    <tableColumn name="Realised P/L" id="16"/>
    <tableColumn name="R P/L %" id="17"/>
    <tableColumn name="STT" id="18"/>
    <tableColumn name="Ex Txn Chg" id="19"/>
    <tableColumn name="GST" id="20"/>
    <tableColumn name="SEBI charges" id="21"/>
    <tableColumn name="Total tax and charges" id="22"/>
    <tableColumn name="DP Charges" id="23"/>
    <tableColumn name="Total Charges" id="24"/>
    <tableColumn name="Net P/L" id="25"/>
    <tableColumn name="Net P/L %" id="26"/>
    <tableColumn name="Balance" id="27"/>
    <tableColumn name="Comment" id="28"/>
  </tableColumns>
  <tableStyleInfo name="Equity_Trade-2024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pivotTable" Target="../pivotTables/pivotTable6.xml"/><Relationship Id="rId3" Type="http://schemas.openxmlformats.org/officeDocument/2006/relationships/pivotTable" Target="../pivotTables/pivotTable7.xml"/><Relationship Id="rId4" Type="http://schemas.openxmlformats.org/officeDocument/2006/relationships/drawing" Target="../drawings/drawing2.xml"/><Relationship Id="rId6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pivotTable" Target="../pivotTables/pivotTable9.xml"/><Relationship Id="rId3" Type="http://schemas.openxmlformats.org/officeDocument/2006/relationships/pivotTable" Target="../pivotTables/pivotTable10.xml"/><Relationship Id="rId4" Type="http://schemas.openxmlformats.org/officeDocument/2006/relationships/drawing" Target="../drawings/drawing3.xml"/><Relationship Id="rId6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1.xml"/><Relationship Id="rId2" Type="http://schemas.openxmlformats.org/officeDocument/2006/relationships/pivotTable" Target="../pivotTables/pivotTable12.xml"/><Relationship Id="rId3" Type="http://schemas.openxmlformats.org/officeDocument/2006/relationships/pivotTable" Target="../pivotTables/pivotTable13.xml"/><Relationship Id="rId4" Type="http://schemas.openxmlformats.org/officeDocument/2006/relationships/drawing" Target="../drawings/drawing4.xml"/><Relationship Id="rId6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pivotTable" Target="../pivotTables/pivotTable14.xml"/><Relationship Id="rId3" Type="http://schemas.openxmlformats.org/officeDocument/2006/relationships/drawing" Target="../drawings/drawing5.xml"/><Relationship Id="rId4" Type="http://schemas.openxmlformats.org/officeDocument/2006/relationships/vmlDrawing" Target="../drawings/vmlDrawing1.vml"/><Relationship Id="rId6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pivotTable" Target="../pivotTables/pivotTable15.xm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2.vml"/><Relationship Id="rId6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6.xml"/><Relationship Id="rId2" Type="http://schemas.openxmlformats.org/officeDocument/2006/relationships/drawing" Target="../drawings/drawing7.xml"/><Relationship Id="rId4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pivotTable" Target="../pivotTables/pivotTable17.xml"/><Relationship Id="rId3" Type="http://schemas.openxmlformats.org/officeDocument/2006/relationships/pivotTable" Target="../pivotTables/pivotTable18.xml"/><Relationship Id="rId4" Type="http://schemas.openxmlformats.org/officeDocument/2006/relationships/pivotTable" Target="../pivotTables/pivotTable19.xml"/><Relationship Id="rId9" Type="http://schemas.openxmlformats.org/officeDocument/2006/relationships/table" Target="../tables/table7.xml"/><Relationship Id="rId5" Type="http://schemas.openxmlformats.org/officeDocument/2006/relationships/pivotTable" Target="../pivotTables/pivotTable20.xml"/><Relationship Id="rId6" Type="http://schemas.openxmlformats.org/officeDocument/2006/relationships/drawing" Target="../drawings/drawing8.xml"/><Relationship Id="rId7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1.xml"/><Relationship Id="rId2" Type="http://schemas.openxmlformats.org/officeDocument/2006/relationships/pivotTable" Target="../pivotTables/pivotTable22.xml"/><Relationship Id="rId3" Type="http://schemas.openxmlformats.org/officeDocument/2006/relationships/drawing" Target="../drawings/drawing9.xml"/><Relationship Id="rId5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3.xml"/><Relationship Id="rId2" Type="http://schemas.openxmlformats.org/officeDocument/2006/relationships/pivotTable" Target="../pivotTables/pivotTable24.xml"/><Relationship Id="rId3" Type="http://schemas.openxmlformats.org/officeDocument/2006/relationships/pivotTable" Target="../pivotTables/pivotTable25.xml"/><Relationship Id="rId4" Type="http://schemas.openxmlformats.org/officeDocument/2006/relationships/drawing" Target="../drawings/drawing10.xml"/><Relationship Id="rId6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6.xml"/><Relationship Id="rId2" Type="http://schemas.openxmlformats.org/officeDocument/2006/relationships/pivotTable" Target="../pivotTables/pivotTable27.xml"/><Relationship Id="rId3" Type="http://schemas.openxmlformats.org/officeDocument/2006/relationships/pivotTable" Target="../pivotTables/pivotTable28.xm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9.xm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pivotTable" Target="../pivotTables/pivotTable30.xm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4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pivotTable" Target="../pivotTables/pivotTable31.xml"/><Relationship Id="rId3" Type="http://schemas.openxmlformats.org/officeDocument/2006/relationships/drawing" Target="../drawings/drawing14.xml"/><Relationship Id="rId4" Type="http://schemas.openxmlformats.org/officeDocument/2006/relationships/vmlDrawing" Target="../drawings/vmlDrawing5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7" max="19" width="14.88"/>
  </cols>
  <sheetData>
    <row r="1">
      <c r="A1" s="1" t="s">
        <v>0</v>
      </c>
      <c r="B1" s="2"/>
      <c r="C1" s="2"/>
      <c r="D1" s="2"/>
      <c r="E1" s="3"/>
      <c r="F1" s="4" t="s">
        <v>1</v>
      </c>
      <c r="G1" s="4"/>
      <c r="H1" s="4"/>
      <c r="I1" s="4"/>
      <c r="J1" s="3"/>
      <c r="K1" s="5" t="s">
        <v>2</v>
      </c>
      <c r="L1" s="5"/>
      <c r="M1" s="5"/>
      <c r="N1" s="5"/>
      <c r="P1" s="6" t="s">
        <v>3</v>
      </c>
      <c r="Q1" s="6"/>
      <c r="R1" s="6"/>
      <c r="S1" s="6"/>
    </row>
    <row r="2" ht="18.75" customHeight="1">
      <c r="E2" s="3"/>
      <c r="J2" s="3"/>
    </row>
    <row r="3" ht="18.75" customHeight="1">
      <c r="E3" s="3"/>
      <c r="J3" s="3"/>
    </row>
    <row r="4" ht="18.75" customHeight="1">
      <c r="E4" s="3"/>
      <c r="J4" s="3"/>
    </row>
    <row r="5" ht="18.75" customHeight="1">
      <c r="E5" s="3"/>
      <c r="J5" s="3"/>
    </row>
    <row r="6" ht="18.75" customHeight="1">
      <c r="E6" s="3"/>
      <c r="J6" s="3"/>
    </row>
    <row r="7" ht="18.75" customHeight="1">
      <c r="E7" s="3"/>
      <c r="J7" s="3"/>
    </row>
    <row r="8" ht="18.75" customHeight="1">
      <c r="E8" s="3"/>
      <c r="J8" s="3"/>
    </row>
    <row r="9" ht="18.75" customHeight="1">
      <c r="E9" s="3"/>
      <c r="J9" s="3"/>
    </row>
    <row r="10" ht="18.75" customHeight="1">
      <c r="E10" s="3"/>
      <c r="J10" s="3"/>
    </row>
    <row r="11" ht="18.75" customHeight="1">
      <c r="E11" s="3"/>
      <c r="J11" s="3"/>
    </row>
    <row r="12" ht="18.75" customHeight="1">
      <c r="E12" s="3"/>
      <c r="J12" s="3"/>
    </row>
    <row r="13" ht="18.75" customHeight="1">
      <c r="E13" s="3"/>
      <c r="J13" s="3"/>
    </row>
    <row r="14" ht="18.75" customHeight="1">
      <c r="E14" s="3"/>
      <c r="J14" s="3"/>
    </row>
    <row r="15" ht="18.75" customHeight="1">
      <c r="E15" s="3"/>
      <c r="J15" s="3"/>
    </row>
    <row r="16" ht="18.75" customHeight="1">
      <c r="E16" s="3"/>
      <c r="J16" s="3"/>
    </row>
    <row r="17" ht="18.75" customHeight="1">
      <c r="E17" s="3"/>
      <c r="J17" s="3"/>
    </row>
    <row r="18" ht="18.75" customHeight="1">
      <c r="A18" s="3"/>
      <c r="B18" s="3"/>
      <c r="C18" s="3"/>
      <c r="D18" s="3"/>
      <c r="E18" s="3"/>
      <c r="J18" s="3"/>
    </row>
    <row r="19" ht="18.75" customHeight="1">
      <c r="A19" s="3"/>
      <c r="B19" s="3"/>
      <c r="C19" s="3"/>
      <c r="D19" s="3"/>
      <c r="E19" s="3"/>
      <c r="J19" s="3"/>
    </row>
    <row r="20" ht="18.75" customHeight="1">
      <c r="A20" s="3"/>
      <c r="B20" s="3"/>
      <c r="C20" s="3"/>
      <c r="D20" s="3"/>
      <c r="E20" s="3"/>
      <c r="J20" s="3"/>
    </row>
    <row r="21" ht="18.75" customHeight="1">
      <c r="A21" s="3"/>
      <c r="B21" s="3"/>
      <c r="C21" s="3"/>
      <c r="D21" s="3"/>
      <c r="E21" s="3"/>
      <c r="J21" s="3"/>
    </row>
    <row r="22" ht="18.75" customHeight="1">
      <c r="A22" s="3"/>
      <c r="B22" s="3"/>
      <c r="C22" s="3"/>
      <c r="D22" s="3"/>
      <c r="E22" s="3"/>
      <c r="J22" s="3"/>
    </row>
    <row r="23" ht="18.75" customHeight="1">
      <c r="A23" s="3"/>
      <c r="B23" s="3"/>
      <c r="C23" s="3"/>
      <c r="D23" s="3"/>
      <c r="E23" s="3"/>
      <c r="J23" s="3"/>
    </row>
    <row r="24" ht="18.75" customHeight="1">
      <c r="A24" s="3"/>
      <c r="B24" s="3"/>
      <c r="C24" s="3"/>
      <c r="D24" s="3"/>
      <c r="E24" s="3"/>
      <c r="J24" s="3"/>
    </row>
    <row r="25" ht="18.75" customHeight="1">
      <c r="A25" s="3"/>
      <c r="B25" s="3"/>
      <c r="C25" s="3"/>
      <c r="D25" s="3"/>
      <c r="E25" s="3"/>
      <c r="J25" s="3"/>
    </row>
    <row r="26" ht="18.75" customHeight="1">
      <c r="A26" s="3"/>
      <c r="B26" s="3"/>
      <c r="C26" s="3"/>
      <c r="D26" s="3"/>
      <c r="E26" s="3"/>
      <c r="J26" s="3"/>
    </row>
    <row r="27" ht="18.75" customHeight="1"/>
    <row r="28" ht="18.75" customHeight="1"/>
    <row r="29" ht="18.75" customHeight="1"/>
    <row r="30"/>
    <row r="31"/>
    <row r="32"/>
    <row r="33"/>
    <row r="34"/>
    <row r="35">
      <c r="A35" s="3"/>
      <c r="B35" s="3"/>
      <c r="C35" s="3"/>
      <c r="D35" s="3"/>
      <c r="E35" s="3"/>
      <c r="J35" s="3"/>
    </row>
    <row r="36"/>
    <row r="37"/>
    <row r="38"/>
    <row r="39"/>
    <row r="40"/>
    <row r="41"/>
    <row r="42"/>
    <row r="43"/>
    <row r="44"/>
    <row r="45"/>
  </sheetData>
  <conditionalFormatting sqref="B3:D16 G3:G36 H3:I42 R3:S13 M4:N23 G41:G42">
    <cfRule type="cellIs" dxfId="0" priority="1" operator="lessThan">
      <formula>0</formula>
    </cfRule>
  </conditionalFormatting>
  <conditionalFormatting sqref="B3:D16 G3:G36 H3:I42 R3:S13 M4:N23 G41:G42">
    <cfRule type="cellIs" dxfId="1" priority="2" operator="greaterThan">
      <formula>0</formula>
    </cfRule>
  </conditionalFormatting>
  <conditionalFormatting sqref="Q11:S13 B12:D12 B16:D16 L19:N19 H31:I31 H40:I42 G41:G42">
    <cfRule type="cellIs" dxfId="2" priority="3" operator="greaterThan">
      <formula>0</formula>
    </cfRule>
  </conditionalFormatting>
  <conditionalFormatting sqref="Q11:S13 B12:D12 B16:D16 L19:N19 H31:I31 H40:I42 G41:G42">
    <cfRule type="cellIs" dxfId="3" priority="4" operator="lessThan">
      <formula>0</formula>
    </cfRule>
  </conditionalFormatting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5.0"/>
    <col customWidth="1" min="4" max="4" width="15.5"/>
    <col customWidth="1" min="5" max="5" width="11.63"/>
    <col customWidth="1" min="6" max="6" width="12.13"/>
    <col customWidth="1" min="7" max="7" width="11.5"/>
    <col customWidth="1" min="8" max="8" width="11.63"/>
    <col customWidth="1" min="9" max="9" width="8.13"/>
    <col customWidth="1" min="10" max="10" width="15.13"/>
    <col customWidth="1" min="11" max="11" width="15.5"/>
    <col customWidth="1" min="12" max="12" width="19.75"/>
    <col customWidth="1" min="13" max="15" width="14.5"/>
    <col customWidth="1" min="16" max="16" width="18.25"/>
    <col customWidth="1" min="17" max="17" width="14.5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25.25"/>
    <col customWidth="1" min="29" max="30" width="17.88"/>
    <col customWidth="1" min="35" max="36" width="13.88"/>
  </cols>
  <sheetData>
    <row r="1" ht="22.5" customHeight="1">
      <c r="A1" s="18" t="s">
        <v>72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6</v>
      </c>
      <c r="M1" s="18" t="s">
        <v>82</v>
      </c>
      <c r="N1" s="18" t="s">
        <v>83</v>
      </c>
      <c r="O1" s="18" t="s">
        <v>84</v>
      </c>
      <c r="P1" s="18" t="s">
        <v>5</v>
      </c>
      <c r="Q1" s="18" t="s">
        <v>85</v>
      </c>
      <c r="R1" s="18" t="s">
        <v>86</v>
      </c>
      <c r="S1" s="18" t="s">
        <v>87</v>
      </c>
      <c r="T1" s="18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18" t="s">
        <v>93</v>
      </c>
      <c r="Z1" s="18" t="s">
        <v>94</v>
      </c>
      <c r="AA1" s="18" t="s">
        <v>95</v>
      </c>
      <c r="AB1" s="19" t="s">
        <v>96</v>
      </c>
      <c r="AC1" s="20"/>
      <c r="AD1" s="21"/>
    </row>
    <row r="2" ht="22.5" customHeight="1">
      <c r="A2" s="22">
        <v>1.0</v>
      </c>
      <c r="B2" s="23" t="s">
        <v>13</v>
      </c>
      <c r="C2" s="24" t="s">
        <v>97</v>
      </c>
      <c r="D2" s="25">
        <v>45658.0</v>
      </c>
      <c r="E2" s="23">
        <v>3006.15</v>
      </c>
      <c r="F2" s="25"/>
      <c r="G2" s="23"/>
      <c r="H2" s="26">
        <f>IFERROR(__xludf.DUMMYFUNCTION("IFERROR(GOOGLEFINANCE(""NSE:""&amp;B2,""price""),"""")"),2543.2)</f>
        <v>2543.2</v>
      </c>
      <c r="I2" s="22">
        <v>3.0</v>
      </c>
      <c r="J2" s="23">
        <f t="shared" ref="J2:J53" si="1">E2*I2</f>
        <v>9018.45</v>
      </c>
      <c r="K2" s="23">
        <f t="shared" ref="K2:K53" si="2">IF(G2&gt;0,(E2+G2)*I2,E2*I2)</f>
        <v>9018.45</v>
      </c>
      <c r="L2" s="23">
        <f t="shared" ref="L2:L53" si="3">IF(G2&gt;0,0,(H2-E2)*I2)</f>
        <v>-1388.85</v>
      </c>
      <c r="M2" s="27">
        <f t="shared" ref="M2:M53" si="4">IFERROR(IF(G2&gt;0,0,(H2-E2)/E2),0)</f>
        <v>-0.1540009647</v>
      </c>
      <c r="N2" s="23">
        <f>IFERROR(__xludf.DUMMYFUNCTION("IFERROR(IF(G2&gt;0,0,GOOGLEFINANCE(""NSE:""&amp;B2,""change"")),)"),-38.4)</f>
        <v>-38.4</v>
      </c>
      <c r="O2" s="23">
        <f t="shared" ref="O2:O53" si="5">I2*N2</f>
        <v>-115.2</v>
      </c>
      <c r="P2" s="23">
        <f t="shared" ref="P2:P53" si="6">IF(G2=0,0,(G2-E2)*I2)</f>
        <v>0</v>
      </c>
      <c r="Q2" s="27">
        <f t="shared" ref="Q2:Q53" si="7">IF(G2&gt;0,(G2-E2)/E2,0)</f>
        <v>0</v>
      </c>
      <c r="R2" s="23">
        <f t="shared" ref="R2:R6" si="8">0.001*K2</f>
        <v>9.01845</v>
      </c>
      <c r="S2" s="23">
        <f t="shared" ref="S2:S6" si="9">0.0000325*K2</f>
        <v>0.293099625</v>
      </c>
      <c r="T2" s="23">
        <f t="shared" ref="T2:T9" si="10">0.18*S2</f>
        <v>0.0527579325</v>
      </c>
      <c r="U2" s="28">
        <f t="shared" ref="U2:U6" si="11">0.0000005*K2</f>
        <v>0.004509225</v>
      </c>
      <c r="V2" s="23">
        <f t="shared" ref="V2:V9" si="12">R2+S2+T2+U2</f>
        <v>9.368816783</v>
      </c>
      <c r="W2" s="23">
        <f t="shared" ref="W2:W4" si="13">IF(G2&gt;0,15.34,0)</f>
        <v>0</v>
      </c>
      <c r="X2" s="23">
        <f t="shared" ref="X2:X9" si="14">V2+W2</f>
        <v>9.368816783</v>
      </c>
      <c r="Y2" s="23">
        <f t="shared" ref="Y2:Y4" si="15">IF(G2&gt;0,P2-X2,0)</f>
        <v>0</v>
      </c>
      <c r="Z2" s="27">
        <f t="shared" ref="Z2:Z6" si="16">Y2/J2</f>
        <v>0</v>
      </c>
      <c r="AA2" s="29">
        <f>sum($AE$2,Y2)</f>
        <v>50000</v>
      </c>
      <c r="AB2" s="30"/>
      <c r="AC2" s="31"/>
      <c r="AD2" s="32" t="s">
        <v>98</v>
      </c>
      <c r="AE2" s="9">
        <v>50000.0</v>
      </c>
    </row>
    <row r="3" ht="22.5" customHeight="1">
      <c r="A3" s="22">
        <v>2.0</v>
      </c>
      <c r="B3" s="23" t="s">
        <v>36</v>
      </c>
      <c r="C3" s="24" t="s">
        <v>97</v>
      </c>
      <c r="D3" s="25">
        <v>45791.0</v>
      </c>
      <c r="E3" s="23">
        <v>267.0</v>
      </c>
      <c r="F3" s="25"/>
      <c r="G3" s="23"/>
      <c r="H3" s="26">
        <f>IFERROR(__xludf.DUMMYFUNCTION("IFERROR(GOOGLEFINANCE(""NSE:""&amp;B3,""price""),"""")"),298.5)</f>
        <v>298.5</v>
      </c>
      <c r="I3" s="22">
        <v>18.0</v>
      </c>
      <c r="J3" s="23">
        <f t="shared" si="1"/>
        <v>4806</v>
      </c>
      <c r="K3" s="23">
        <f t="shared" si="2"/>
        <v>4806</v>
      </c>
      <c r="L3" s="23">
        <f t="shared" si="3"/>
        <v>567</v>
      </c>
      <c r="M3" s="27">
        <f t="shared" si="4"/>
        <v>0.1179775281</v>
      </c>
      <c r="N3" s="23">
        <f>IFERROR(__xludf.DUMMYFUNCTION("IFERROR(IF(G3&gt;0,0,GOOGLEFINANCE(""NSE:""&amp;B3,""change"")),0)"),-0.25)</f>
        <v>-0.25</v>
      </c>
      <c r="O3" s="23">
        <f t="shared" si="5"/>
        <v>-4.5</v>
      </c>
      <c r="P3" s="23">
        <f t="shared" si="6"/>
        <v>0</v>
      </c>
      <c r="Q3" s="27">
        <f t="shared" si="7"/>
        <v>0</v>
      </c>
      <c r="R3" s="23">
        <f t="shared" si="8"/>
        <v>4.806</v>
      </c>
      <c r="S3" s="23">
        <f t="shared" si="9"/>
        <v>0.156195</v>
      </c>
      <c r="T3" s="23">
        <f t="shared" si="10"/>
        <v>0.0281151</v>
      </c>
      <c r="U3" s="23">
        <f t="shared" si="11"/>
        <v>0.002403</v>
      </c>
      <c r="V3" s="23">
        <f t="shared" si="12"/>
        <v>4.9927131</v>
      </c>
      <c r="W3" s="23">
        <f t="shared" si="13"/>
        <v>0</v>
      </c>
      <c r="X3" s="23">
        <f t="shared" si="14"/>
        <v>4.9927131</v>
      </c>
      <c r="Y3" s="23">
        <f t="shared" si="15"/>
        <v>0</v>
      </c>
      <c r="Z3" s="27">
        <f t="shared" si="16"/>
        <v>0</v>
      </c>
      <c r="AA3" s="29">
        <f t="shared" ref="AA3:AA9" si="17">sum(AA2,Y3)</f>
        <v>50000</v>
      </c>
      <c r="AB3" s="30"/>
      <c r="AC3" s="31"/>
      <c r="AD3" s="32" t="s">
        <v>99</v>
      </c>
      <c r="AE3" s="33">
        <f>AE2+AE4</f>
        <v>43970.4</v>
      </c>
    </row>
    <row r="4" ht="22.5" customHeight="1">
      <c r="A4" s="22">
        <v>3.0</v>
      </c>
      <c r="B4" s="23" t="s">
        <v>42</v>
      </c>
      <c r="C4" s="24" t="s">
        <v>97</v>
      </c>
      <c r="D4" s="25">
        <v>45797.0</v>
      </c>
      <c r="E4" s="23">
        <v>366.5</v>
      </c>
      <c r="F4" s="25"/>
      <c r="G4" s="23"/>
      <c r="H4" s="26">
        <f>IFERROR(__xludf.DUMMYFUNCTION("IFERROR(GOOGLEFINANCE(""NSE:""&amp;B4,""price""),"""")"),425.5)</f>
        <v>425.5</v>
      </c>
      <c r="I4" s="22">
        <v>6.0</v>
      </c>
      <c r="J4" s="23">
        <f t="shared" si="1"/>
        <v>2199</v>
      </c>
      <c r="K4" s="23">
        <f t="shared" si="2"/>
        <v>2199</v>
      </c>
      <c r="L4" s="23">
        <f t="shared" si="3"/>
        <v>354</v>
      </c>
      <c r="M4" s="27">
        <f t="shared" si="4"/>
        <v>0.1609822647</v>
      </c>
      <c r="N4" s="23">
        <f>IFERROR(__xludf.DUMMYFUNCTION("IFERROR(IF(G4&gt;0,0,GOOGLEFINANCE(""NSE:""&amp;B4,""change"")),0)"),13.8)</f>
        <v>13.8</v>
      </c>
      <c r="O4" s="23">
        <f t="shared" si="5"/>
        <v>82.8</v>
      </c>
      <c r="P4" s="23">
        <f t="shared" si="6"/>
        <v>0</v>
      </c>
      <c r="Q4" s="27">
        <f t="shared" si="7"/>
        <v>0</v>
      </c>
      <c r="R4" s="23">
        <f t="shared" si="8"/>
        <v>2.199</v>
      </c>
      <c r="S4" s="23">
        <f t="shared" si="9"/>
        <v>0.0714675</v>
      </c>
      <c r="T4" s="23">
        <f t="shared" si="10"/>
        <v>0.01286415</v>
      </c>
      <c r="U4" s="23">
        <f t="shared" si="11"/>
        <v>0.0010995</v>
      </c>
      <c r="V4" s="23">
        <f t="shared" si="12"/>
        <v>2.28443115</v>
      </c>
      <c r="W4" s="23">
        <f t="shared" si="13"/>
        <v>0</v>
      </c>
      <c r="X4" s="23">
        <f t="shared" si="14"/>
        <v>2.28443115</v>
      </c>
      <c r="Y4" s="23">
        <f t="shared" si="15"/>
        <v>0</v>
      </c>
      <c r="Z4" s="27">
        <f t="shared" si="16"/>
        <v>0</v>
      </c>
      <c r="AA4" s="29">
        <f t="shared" si="17"/>
        <v>50000</v>
      </c>
      <c r="AB4" s="30"/>
      <c r="AC4" s="31"/>
      <c r="AD4" s="32" t="s">
        <v>100</v>
      </c>
      <c r="AE4" s="9">
        <f>sum(P2:P53)</f>
        <v>-6029.6</v>
      </c>
    </row>
    <row r="5" ht="22.5" customHeight="1">
      <c r="A5" s="22">
        <v>4.0</v>
      </c>
      <c r="B5" s="23" t="s">
        <v>24</v>
      </c>
      <c r="C5" s="24" t="s">
        <v>13</v>
      </c>
      <c r="D5" s="25">
        <v>45813.0</v>
      </c>
      <c r="E5" s="23">
        <v>475.0</v>
      </c>
      <c r="F5" s="25">
        <v>45827.0</v>
      </c>
      <c r="G5" s="23">
        <v>446.0</v>
      </c>
      <c r="H5" s="26">
        <f>IFERROR(__xludf.DUMMYFUNCTION("IFERROR(GOOGLEFINANCE(""NSE:""&amp;B5,""price""),"""")"),610.2)</f>
        <v>610.2</v>
      </c>
      <c r="I5" s="22">
        <v>30.0</v>
      </c>
      <c r="J5" s="23">
        <f t="shared" si="1"/>
        <v>14250</v>
      </c>
      <c r="K5" s="23">
        <f t="shared" si="2"/>
        <v>27630</v>
      </c>
      <c r="L5" s="23">
        <f t="shared" si="3"/>
        <v>0</v>
      </c>
      <c r="M5" s="27">
        <f t="shared" si="4"/>
        <v>0</v>
      </c>
      <c r="N5" s="23">
        <f>IFERROR(__xludf.DUMMYFUNCTION("IFERROR(IF(G5&gt;0,0,GOOGLEFINANCE(""NSE:""&amp;B5,""change"")),0)"),0.0)</f>
        <v>0</v>
      </c>
      <c r="O5" s="23">
        <f t="shared" si="5"/>
        <v>0</v>
      </c>
      <c r="P5" s="23">
        <f t="shared" si="6"/>
        <v>-870</v>
      </c>
      <c r="Q5" s="27">
        <f t="shared" si="7"/>
        <v>-0.06105263158</v>
      </c>
      <c r="R5" s="23">
        <f t="shared" si="8"/>
        <v>27.63</v>
      </c>
      <c r="S5" s="23">
        <f t="shared" si="9"/>
        <v>0.897975</v>
      </c>
      <c r="T5" s="23">
        <f t="shared" si="10"/>
        <v>0.1616355</v>
      </c>
      <c r="U5" s="23">
        <f t="shared" si="11"/>
        <v>0.013815</v>
      </c>
      <c r="V5" s="23">
        <f t="shared" si="12"/>
        <v>28.7034255</v>
      </c>
      <c r="W5" s="23">
        <f t="shared" ref="W5:W6" si="18">IF(G6&gt;0,15.34,0)</f>
        <v>0</v>
      </c>
      <c r="X5" s="23">
        <f t="shared" si="14"/>
        <v>28.7034255</v>
      </c>
      <c r="Y5" s="23">
        <f t="shared" ref="Y5:Y6" si="19">IF(G6&gt;0,P5-X5,0)</f>
        <v>0</v>
      </c>
      <c r="Z5" s="27">
        <f t="shared" si="16"/>
        <v>0</v>
      </c>
      <c r="AA5" s="29">
        <f t="shared" si="17"/>
        <v>50000</v>
      </c>
      <c r="AB5" s="35" t="s">
        <v>101</v>
      </c>
      <c r="AC5" s="36" t="s">
        <v>102</v>
      </c>
      <c r="AD5" s="32" t="s">
        <v>103</v>
      </c>
      <c r="AE5" s="37">
        <f>AE4/AE2</f>
        <v>-0.120592</v>
      </c>
    </row>
    <row r="6" ht="22.5" customHeight="1">
      <c r="A6" s="22">
        <v>5.0</v>
      </c>
      <c r="B6" s="38" t="s">
        <v>32</v>
      </c>
      <c r="C6" s="24" t="s">
        <v>97</v>
      </c>
      <c r="D6" s="25">
        <v>45813.0</v>
      </c>
      <c r="E6" s="23">
        <v>176.2</v>
      </c>
      <c r="F6" s="25"/>
      <c r="G6" s="23">
        <v>0.0</v>
      </c>
      <c r="H6" s="26">
        <f>IFERROR(__xludf.DUMMYFUNCTION("IFERROR(GOOGLEFINANCE(""NSE:""&amp;B6,""price""),"""")"),139.0)</f>
        <v>139</v>
      </c>
      <c r="I6" s="22">
        <v>50.0</v>
      </c>
      <c r="J6" s="23">
        <f t="shared" si="1"/>
        <v>8810</v>
      </c>
      <c r="K6" s="23">
        <f t="shared" si="2"/>
        <v>8810</v>
      </c>
      <c r="L6" s="23">
        <f t="shared" si="3"/>
        <v>-1860</v>
      </c>
      <c r="M6" s="27">
        <f t="shared" si="4"/>
        <v>-0.211123723</v>
      </c>
      <c r="N6" s="23">
        <f>IFERROR(__xludf.DUMMYFUNCTION("IFERROR(IF(G6&gt;0,0,GOOGLEFINANCE(""NSE:""&amp;B6,""change"")),0)"),3.33)</f>
        <v>3.33</v>
      </c>
      <c r="O6" s="23">
        <f t="shared" si="5"/>
        <v>166.5</v>
      </c>
      <c r="P6" s="23">
        <f t="shared" si="6"/>
        <v>0</v>
      </c>
      <c r="Q6" s="27">
        <f t="shared" si="7"/>
        <v>0</v>
      </c>
      <c r="R6" s="23">
        <f t="shared" si="8"/>
        <v>8.81</v>
      </c>
      <c r="S6" s="23">
        <f t="shared" si="9"/>
        <v>0.286325</v>
      </c>
      <c r="T6" s="23">
        <f t="shared" si="10"/>
        <v>0.0515385</v>
      </c>
      <c r="U6" s="23">
        <f t="shared" si="11"/>
        <v>0.004405</v>
      </c>
      <c r="V6" s="23">
        <f t="shared" si="12"/>
        <v>9.1522685</v>
      </c>
      <c r="W6" s="23">
        <f t="shared" si="18"/>
        <v>15.34</v>
      </c>
      <c r="X6" s="23">
        <f t="shared" si="14"/>
        <v>24.4922685</v>
      </c>
      <c r="Y6" s="23">
        <f t="shared" si="19"/>
        <v>-24.4922685</v>
      </c>
      <c r="Z6" s="27">
        <f t="shared" si="16"/>
        <v>-0.002780053178</v>
      </c>
      <c r="AA6" s="29">
        <f t="shared" si="17"/>
        <v>49975.50773</v>
      </c>
      <c r="AB6" s="35" t="s">
        <v>101</v>
      </c>
      <c r="AC6" s="31"/>
      <c r="AD6" s="31"/>
      <c r="AE6" s="39"/>
    </row>
    <row r="7" ht="22.5" customHeight="1">
      <c r="A7" s="22">
        <v>6.0</v>
      </c>
      <c r="B7" s="38" t="s">
        <v>20</v>
      </c>
      <c r="C7" s="24" t="s">
        <v>104</v>
      </c>
      <c r="D7" s="25">
        <v>45811.0</v>
      </c>
      <c r="E7" s="23">
        <v>2294.8</v>
      </c>
      <c r="F7" s="25">
        <v>45839.0</v>
      </c>
      <c r="G7" s="23">
        <v>2302.0</v>
      </c>
      <c r="H7" s="26">
        <f>IFERROR(__xludf.DUMMYFUNCTION("IFERROR(GOOGLEFINANCE(""NSE:""&amp;B7,""price""),"""")"),2019.0)</f>
        <v>2019</v>
      </c>
      <c r="I7" s="22">
        <v>5.0</v>
      </c>
      <c r="J7" s="23">
        <f t="shared" si="1"/>
        <v>11474</v>
      </c>
      <c r="K7" s="23">
        <f t="shared" si="2"/>
        <v>22984</v>
      </c>
      <c r="L7" s="23">
        <f t="shared" si="3"/>
        <v>0</v>
      </c>
      <c r="M7" s="27">
        <f t="shared" si="4"/>
        <v>0</v>
      </c>
      <c r="N7" s="23">
        <f>IFERROR(__xludf.DUMMYFUNCTION("IFERROR(IF(G7&gt;0,0,GOOGLEFINANCE(""NSE:""&amp;B7,""change"")),0)"),0.0)</f>
        <v>0</v>
      </c>
      <c r="O7" s="23">
        <f t="shared" si="5"/>
        <v>0</v>
      </c>
      <c r="P7" s="23">
        <f t="shared" si="6"/>
        <v>36</v>
      </c>
      <c r="Q7" s="27">
        <f t="shared" si="7"/>
        <v>0.003137528325</v>
      </c>
      <c r="R7" s="23" t="str">
        <f t="shared" ref="R7:R9" si="20">0.001*#REF!</f>
        <v>#REF!</v>
      </c>
      <c r="S7" s="23" t="str">
        <f t="shared" ref="S7:S9" si="21">0.0000325*#REF!</f>
        <v>#REF!</v>
      </c>
      <c r="T7" s="23" t="str">
        <f t="shared" si="10"/>
        <v>#REF!</v>
      </c>
      <c r="U7" s="23" t="str">
        <f t="shared" ref="U7:U9" si="22">0.0000005*#REF!</f>
        <v>#REF!</v>
      </c>
      <c r="V7" s="23" t="str">
        <f t="shared" si="12"/>
        <v>#REF!</v>
      </c>
      <c r="W7" s="23" t="str">
        <f t="shared" ref="W7:W9" si="23">IF(#REF!&gt;0,15.34,0)</f>
        <v>#REF!</v>
      </c>
      <c r="X7" s="23" t="str">
        <f t="shared" si="14"/>
        <v>#REF!</v>
      </c>
      <c r="Y7" s="23" t="str">
        <f t="shared" ref="Y7:Y9" si="24">IF(#REF!&gt;0,P7-X7,0)</f>
        <v>#REF!</v>
      </c>
      <c r="Z7" s="27" t="str">
        <f t="shared" ref="Z7:Z9" si="25">Y7/#REF!</f>
        <v>#REF!</v>
      </c>
      <c r="AA7" s="29" t="str">
        <f t="shared" si="17"/>
        <v>#REF!</v>
      </c>
      <c r="AB7" s="35" t="s">
        <v>101</v>
      </c>
      <c r="AC7" s="40" t="s">
        <v>105</v>
      </c>
    </row>
    <row r="8" ht="22.5" customHeight="1">
      <c r="A8" s="22">
        <v>7.0</v>
      </c>
      <c r="B8" s="23" t="s">
        <v>51</v>
      </c>
      <c r="C8" s="41" t="s">
        <v>13</v>
      </c>
      <c r="D8" s="25">
        <v>45832.0</v>
      </c>
      <c r="E8" s="23">
        <v>267.5</v>
      </c>
      <c r="F8" s="25">
        <v>45870.0</v>
      </c>
      <c r="G8" s="23">
        <v>244.5</v>
      </c>
      <c r="H8" s="26">
        <f>IFERROR(__xludf.DUMMYFUNCTION("IFERROR(GOOGLEFINANCE(""NSE:""&amp;B8,""price""),"""")"),271.3)</f>
        <v>271.3</v>
      </c>
      <c r="I8" s="22">
        <v>45.0</v>
      </c>
      <c r="J8" s="23">
        <f t="shared" si="1"/>
        <v>12037.5</v>
      </c>
      <c r="K8" s="23">
        <f t="shared" si="2"/>
        <v>23040</v>
      </c>
      <c r="L8" s="23">
        <f t="shared" si="3"/>
        <v>0</v>
      </c>
      <c r="M8" s="27">
        <f t="shared" si="4"/>
        <v>0</v>
      </c>
      <c r="N8" s="23">
        <f>IFERROR(__xludf.DUMMYFUNCTION("IFERROR(IF(G8&gt;0,0,GOOGLEFINANCE(""NSE:""&amp;B8,""change"")),0)"),0.0)</f>
        <v>0</v>
      </c>
      <c r="O8" s="23">
        <f t="shared" si="5"/>
        <v>0</v>
      </c>
      <c r="P8" s="23">
        <f t="shared" si="6"/>
        <v>-1035</v>
      </c>
      <c r="Q8" s="27">
        <f t="shared" si="7"/>
        <v>-0.08598130841</v>
      </c>
      <c r="R8" s="23" t="str">
        <f t="shared" si="20"/>
        <v>#REF!</v>
      </c>
      <c r="S8" s="23" t="str">
        <f t="shared" si="21"/>
        <v>#REF!</v>
      </c>
      <c r="T8" s="23" t="str">
        <f t="shared" si="10"/>
        <v>#REF!</v>
      </c>
      <c r="U8" s="23" t="str">
        <f t="shared" si="22"/>
        <v>#REF!</v>
      </c>
      <c r="V8" s="23" t="str">
        <f t="shared" si="12"/>
        <v>#REF!</v>
      </c>
      <c r="W8" s="23" t="str">
        <f t="shared" si="23"/>
        <v>#REF!</v>
      </c>
      <c r="X8" s="23" t="str">
        <f t="shared" si="14"/>
        <v>#REF!</v>
      </c>
      <c r="Y8" s="23" t="str">
        <f t="shared" si="24"/>
        <v>#REF!</v>
      </c>
      <c r="Z8" s="27" t="str">
        <f t="shared" si="25"/>
        <v>#REF!</v>
      </c>
      <c r="AA8" s="29" t="str">
        <f t="shared" si="17"/>
        <v>#REF!</v>
      </c>
      <c r="AB8" s="42" t="s">
        <v>107</v>
      </c>
      <c r="AC8" s="40" t="s">
        <v>102</v>
      </c>
    </row>
    <row r="9" ht="22.5" customHeight="1">
      <c r="A9" s="22">
        <v>8.0</v>
      </c>
      <c r="B9" s="23" t="s">
        <v>16</v>
      </c>
      <c r="C9" s="41" t="s">
        <v>104</v>
      </c>
      <c r="D9" s="25">
        <v>45835.0</v>
      </c>
      <c r="E9" s="23">
        <v>359.0</v>
      </c>
      <c r="F9" s="25">
        <v>45849.0</v>
      </c>
      <c r="G9" s="23">
        <v>335.6</v>
      </c>
      <c r="H9" s="26">
        <f>IFERROR(__xludf.DUMMYFUNCTION("IFERROR(GOOGLEFINANCE(""NSE:""&amp;B9,""price""),"""")"),259.1)</f>
        <v>259.1</v>
      </c>
      <c r="I9" s="22">
        <v>33.0</v>
      </c>
      <c r="J9" s="23">
        <f t="shared" si="1"/>
        <v>11847</v>
      </c>
      <c r="K9" s="23">
        <f t="shared" si="2"/>
        <v>22921.8</v>
      </c>
      <c r="L9" s="23">
        <f t="shared" si="3"/>
        <v>0</v>
      </c>
      <c r="M9" s="27">
        <f t="shared" si="4"/>
        <v>0</v>
      </c>
      <c r="N9" s="23">
        <f>IFERROR(__xludf.DUMMYFUNCTION("IFERROR(IF(G9&gt;0,0,GOOGLEFINANCE(""NSE:""&amp;B9,""change"")),0)"),0.0)</f>
        <v>0</v>
      </c>
      <c r="O9" s="23">
        <f t="shared" si="5"/>
        <v>0</v>
      </c>
      <c r="P9" s="23">
        <f t="shared" si="6"/>
        <v>-772.2</v>
      </c>
      <c r="Q9" s="27">
        <f t="shared" si="7"/>
        <v>-0.0651810585</v>
      </c>
      <c r="R9" s="23" t="str">
        <f t="shared" si="20"/>
        <v>#REF!</v>
      </c>
      <c r="S9" s="23" t="str">
        <f t="shared" si="21"/>
        <v>#REF!</v>
      </c>
      <c r="T9" s="23" t="str">
        <f t="shared" si="10"/>
        <v>#REF!</v>
      </c>
      <c r="U9" s="23" t="str">
        <f t="shared" si="22"/>
        <v>#REF!</v>
      </c>
      <c r="V9" s="23" t="str">
        <f t="shared" si="12"/>
        <v>#REF!</v>
      </c>
      <c r="W9" s="23" t="str">
        <f t="shared" si="23"/>
        <v>#REF!</v>
      </c>
      <c r="X9" s="23" t="str">
        <f t="shared" si="14"/>
        <v>#REF!</v>
      </c>
      <c r="Y9" s="23" t="str">
        <f t="shared" si="24"/>
        <v>#REF!</v>
      </c>
      <c r="Z9" s="27" t="str">
        <f t="shared" si="25"/>
        <v>#REF!</v>
      </c>
      <c r="AA9" s="29" t="str">
        <f t="shared" si="17"/>
        <v>#REF!</v>
      </c>
      <c r="AB9" s="42" t="s">
        <v>107</v>
      </c>
      <c r="AC9" s="40" t="s">
        <v>102</v>
      </c>
    </row>
    <row r="10" ht="22.5" customHeight="1">
      <c r="A10" s="22">
        <v>9.0</v>
      </c>
      <c r="B10" s="23" t="s">
        <v>40</v>
      </c>
      <c r="C10" s="41" t="s">
        <v>104</v>
      </c>
      <c r="D10" s="25">
        <v>45854.0</v>
      </c>
      <c r="E10" s="23">
        <v>218.1</v>
      </c>
      <c r="F10" s="25">
        <v>45870.0</v>
      </c>
      <c r="G10" s="23">
        <v>190.0</v>
      </c>
      <c r="H10" s="26">
        <f>IFERROR(__xludf.DUMMYFUNCTION("IFERROR(GOOGLEFINANCE(""NSE:""&amp;B10,""price""),"""")"),177.85)</f>
        <v>177.85</v>
      </c>
      <c r="I10" s="22">
        <v>40.0</v>
      </c>
      <c r="J10" s="23">
        <f t="shared" si="1"/>
        <v>8724</v>
      </c>
      <c r="K10" s="23">
        <f t="shared" si="2"/>
        <v>16324</v>
      </c>
      <c r="L10" s="23">
        <f t="shared" si="3"/>
        <v>0</v>
      </c>
      <c r="M10" s="27">
        <f t="shared" si="4"/>
        <v>0</v>
      </c>
      <c r="N10" s="23">
        <f>IFERROR(__xludf.DUMMYFUNCTION("IFERROR(IF(G10&gt;0,0,GOOGLEFINANCE(""NSE:""&amp;B10,""change"")),0)"),0.0)</f>
        <v>0</v>
      </c>
      <c r="O10" s="23">
        <f t="shared" si="5"/>
        <v>0</v>
      </c>
      <c r="P10" s="23">
        <f t="shared" si="6"/>
        <v>-1124</v>
      </c>
      <c r="Q10" s="27">
        <f t="shared" si="7"/>
        <v>-0.1288399817</v>
      </c>
      <c r="R10" s="23"/>
      <c r="S10" s="23"/>
      <c r="T10" s="23"/>
      <c r="U10" s="23"/>
      <c r="V10" s="23"/>
      <c r="W10" s="23"/>
      <c r="X10" s="23"/>
      <c r="Y10" s="23"/>
      <c r="Z10" s="27"/>
      <c r="AA10" s="23"/>
      <c r="AB10" s="42" t="s">
        <v>110</v>
      </c>
      <c r="AC10" s="40" t="s">
        <v>102</v>
      </c>
    </row>
    <row r="11" ht="22.5" customHeight="1">
      <c r="A11" s="22">
        <v>10.0</v>
      </c>
      <c r="B11" s="44" t="s">
        <v>37</v>
      </c>
      <c r="C11" s="41" t="s">
        <v>104</v>
      </c>
      <c r="D11" s="25">
        <v>45856.0</v>
      </c>
      <c r="E11" s="23">
        <v>537.9</v>
      </c>
      <c r="F11" s="45">
        <v>45986.0</v>
      </c>
      <c r="G11" s="23">
        <v>477.04</v>
      </c>
      <c r="H11" s="26">
        <f>IFERROR(__xludf.DUMMYFUNCTION("IFERROR(GOOGLEFINANCE(""NSE:""&amp;B11,""price""),"""")"),484.5)</f>
        <v>484.5</v>
      </c>
      <c r="I11" s="22">
        <v>25.0</v>
      </c>
      <c r="J11" s="23">
        <f t="shared" si="1"/>
        <v>13447.5</v>
      </c>
      <c r="K11" s="23">
        <f t="shared" si="2"/>
        <v>25373.5</v>
      </c>
      <c r="L11" s="23">
        <f t="shared" si="3"/>
        <v>0</v>
      </c>
      <c r="M11" s="27">
        <f t="shared" si="4"/>
        <v>0</v>
      </c>
      <c r="N11" s="23">
        <f>IFERROR(__xludf.DUMMYFUNCTION("IFERROR(IF(G11&gt;0,0,GOOGLEFINANCE(""NSE:""&amp;B11,""change"")),0)"),0.0)</f>
        <v>0</v>
      </c>
      <c r="O11" s="23">
        <f t="shared" si="5"/>
        <v>0</v>
      </c>
      <c r="P11" s="23">
        <f t="shared" si="6"/>
        <v>-1521.5</v>
      </c>
      <c r="Q11" s="27">
        <f t="shared" si="7"/>
        <v>-0.113143707</v>
      </c>
      <c r="R11" s="23"/>
      <c r="S11" s="23"/>
      <c r="T11" s="23"/>
      <c r="U11" s="23"/>
      <c r="V11" s="23"/>
      <c r="W11" s="23"/>
      <c r="X11" s="23"/>
      <c r="Y11" s="23"/>
      <c r="Z11" s="27"/>
      <c r="AA11" s="23"/>
      <c r="AC11" s="40" t="s">
        <v>102</v>
      </c>
    </row>
    <row r="12" ht="22.5" customHeight="1">
      <c r="A12" s="22">
        <v>11.0</v>
      </c>
      <c r="B12" s="44" t="s">
        <v>49</v>
      </c>
      <c r="C12" s="41" t="s">
        <v>104</v>
      </c>
      <c r="D12" s="25">
        <v>45887.0</v>
      </c>
      <c r="E12" s="23">
        <v>1402.0</v>
      </c>
      <c r="F12" s="25"/>
      <c r="G12" s="23">
        <v>0.0</v>
      </c>
      <c r="H12" s="26">
        <f>IFERROR(__xludf.DUMMYFUNCTION("IFERROR(GOOGLEFINANCE(""NSE:""&amp;B12,""price""),"""")"),1380.0)</f>
        <v>1380</v>
      </c>
      <c r="I12" s="22">
        <v>5.0</v>
      </c>
      <c r="J12" s="23">
        <f t="shared" si="1"/>
        <v>7010</v>
      </c>
      <c r="K12" s="23">
        <f t="shared" si="2"/>
        <v>7010</v>
      </c>
      <c r="L12" s="23">
        <f t="shared" si="3"/>
        <v>-110</v>
      </c>
      <c r="M12" s="27">
        <f t="shared" si="4"/>
        <v>-0.01569186876</v>
      </c>
      <c r="N12" s="23">
        <f>IFERROR(__xludf.DUMMYFUNCTION("IFERROR(IF(G12&gt;0,0,GOOGLEFINANCE(""NSE:""&amp;B12,""change"")),0)"),-8.0)</f>
        <v>-8</v>
      </c>
      <c r="O12" s="23">
        <f t="shared" si="5"/>
        <v>-40</v>
      </c>
      <c r="P12" s="23">
        <f t="shared" si="6"/>
        <v>0</v>
      </c>
      <c r="Q12" s="27">
        <f t="shared" si="7"/>
        <v>0</v>
      </c>
      <c r="R12" s="23"/>
      <c r="S12" s="23"/>
      <c r="T12" s="23"/>
      <c r="U12" s="23"/>
      <c r="V12" s="23"/>
      <c r="W12" s="23"/>
      <c r="X12" s="23"/>
      <c r="Y12" s="23"/>
      <c r="Z12" s="27"/>
      <c r="AA12" s="23"/>
      <c r="AB12" s="42" t="s">
        <v>113</v>
      </c>
    </row>
    <row r="13" ht="22.5" customHeight="1">
      <c r="A13" s="22">
        <v>12.0</v>
      </c>
      <c r="B13" s="47" t="s">
        <v>28</v>
      </c>
      <c r="C13" s="24" t="s">
        <v>104</v>
      </c>
      <c r="D13" s="25">
        <v>45888.0</v>
      </c>
      <c r="E13" s="23">
        <v>589.1</v>
      </c>
      <c r="F13" s="25">
        <v>45897.0</v>
      </c>
      <c r="G13" s="23">
        <v>550.0</v>
      </c>
      <c r="H13" s="26">
        <f>IFERROR(__xludf.DUMMYFUNCTION("IFERROR(GOOGLEFINANCE(""NSE:""&amp;B13,""price""),"""")"),532.0)</f>
        <v>532</v>
      </c>
      <c r="I13" s="22">
        <v>19.0</v>
      </c>
      <c r="J13" s="23">
        <f t="shared" si="1"/>
        <v>11192.9</v>
      </c>
      <c r="K13" s="23">
        <f t="shared" si="2"/>
        <v>21642.9</v>
      </c>
      <c r="L13" s="23">
        <f t="shared" si="3"/>
        <v>0</v>
      </c>
      <c r="M13" s="27">
        <f t="shared" si="4"/>
        <v>0</v>
      </c>
      <c r="N13" s="23">
        <f>IFERROR(__xludf.DUMMYFUNCTION("IFERROR(IF(G13&gt;0,0,GOOGLEFINANCE(""NSE:""&amp;B13,""change"")),0)"),0.0)</f>
        <v>0</v>
      </c>
      <c r="O13" s="23">
        <f t="shared" si="5"/>
        <v>0</v>
      </c>
      <c r="P13" s="23">
        <f t="shared" si="6"/>
        <v>-742.9</v>
      </c>
      <c r="Q13" s="27">
        <f t="shared" si="7"/>
        <v>-0.06637243252</v>
      </c>
      <c r="R13" s="23"/>
      <c r="S13" s="23"/>
      <c r="T13" s="23"/>
      <c r="U13" s="23"/>
      <c r="V13" s="23"/>
      <c r="W13" s="23"/>
      <c r="X13" s="23"/>
      <c r="Y13" s="23"/>
      <c r="Z13" s="27"/>
      <c r="AA13" s="23"/>
      <c r="AC13" s="40" t="s">
        <v>102</v>
      </c>
    </row>
    <row r="14" ht="22.5" customHeight="1">
      <c r="A14" s="22">
        <v>13.0</v>
      </c>
      <c r="B14" s="22" t="s">
        <v>43</v>
      </c>
      <c r="C14" s="24" t="s">
        <v>104</v>
      </c>
      <c r="D14" s="25">
        <v>45938.0</v>
      </c>
      <c r="E14" s="23">
        <v>920.0</v>
      </c>
      <c r="F14" s="25"/>
      <c r="G14" s="23"/>
      <c r="H14" s="26">
        <f>IFERROR(__xludf.DUMMYFUNCTION("IFERROR(GOOGLEFINANCE(""NSE:""&amp;B14,""price""),"""")"),835.0)</f>
        <v>835</v>
      </c>
      <c r="I14" s="22">
        <v>11.0</v>
      </c>
      <c r="J14" s="23">
        <f t="shared" si="1"/>
        <v>10120</v>
      </c>
      <c r="K14" s="23">
        <f t="shared" si="2"/>
        <v>10120</v>
      </c>
      <c r="L14" s="23">
        <f t="shared" si="3"/>
        <v>-935</v>
      </c>
      <c r="M14" s="27">
        <f t="shared" si="4"/>
        <v>-0.09239130435</v>
      </c>
      <c r="N14" s="23">
        <f>IFERROR(__xludf.DUMMYFUNCTION("IFERROR(IF(G14&gt;0,0,GOOGLEFINANCE(""NSE:""&amp;B14,""change"")),0)"),18.5)</f>
        <v>18.5</v>
      </c>
      <c r="O14" s="23">
        <f t="shared" si="5"/>
        <v>203.5</v>
      </c>
      <c r="P14" s="23">
        <f t="shared" si="6"/>
        <v>0</v>
      </c>
      <c r="Q14" s="27">
        <f t="shared" si="7"/>
        <v>0</v>
      </c>
      <c r="R14" s="23"/>
      <c r="S14" s="23"/>
      <c r="T14" s="23"/>
      <c r="U14" s="23"/>
      <c r="V14" s="23"/>
      <c r="W14" s="23"/>
      <c r="X14" s="23"/>
      <c r="Y14" s="23"/>
      <c r="Z14" s="27"/>
      <c r="AA14" s="23"/>
    </row>
    <row r="15" ht="22.5" customHeight="1">
      <c r="A15" s="22">
        <v>14.0</v>
      </c>
      <c r="B15" s="44"/>
      <c r="C15" s="41"/>
      <c r="D15" s="25"/>
      <c r="E15" s="23"/>
      <c r="F15" s="25"/>
      <c r="G15" s="23"/>
      <c r="H15" s="26" t="str">
        <f>IFERROR(__xludf.DUMMYFUNCTION("IFERROR(GOOGLEFINANCE(""NSE:""&amp;B15,""price""),"""")"),"")</f>
        <v/>
      </c>
      <c r="I15" s="22"/>
      <c r="J15" s="23">
        <f t="shared" si="1"/>
        <v>0</v>
      </c>
      <c r="K15" s="23">
        <f t="shared" si="2"/>
        <v>0</v>
      </c>
      <c r="L15" s="23">
        <f t="shared" si="3"/>
        <v>0</v>
      </c>
      <c r="M15" s="27">
        <f t="shared" si="4"/>
        <v>0</v>
      </c>
      <c r="N15" s="23">
        <f>IFERROR(__xludf.DUMMYFUNCTION("IFERROR(IF(G15&gt;0,0,GOOGLEFINANCE(""NSE:""&amp;B15,""change"")),0)"),0.0)</f>
        <v>0</v>
      </c>
      <c r="O15" s="23">
        <f t="shared" si="5"/>
        <v>0</v>
      </c>
      <c r="P15" s="23">
        <f t="shared" si="6"/>
        <v>0</v>
      </c>
      <c r="Q15" s="27">
        <f t="shared" si="7"/>
        <v>0</v>
      </c>
      <c r="R15" s="23"/>
      <c r="S15" s="23"/>
      <c r="T15" s="23"/>
      <c r="U15" s="23"/>
      <c r="V15" s="23"/>
      <c r="W15" s="23"/>
      <c r="X15" s="23"/>
      <c r="Y15" s="23"/>
      <c r="Z15" s="27"/>
      <c r="AA15" s="23"/>
    </row>
    <row r="16" ht="22.5" customHeight="1">
      <c r="A16" s="22">
        <v>15.0</v>
      </c>
      <c r="B16" s="48"/>
      <c r="C16" s="24"/>
      <c r="D16" s="25"/>
      <c r="E16" s="23"/>
      <c r="F16" s="25"/>
      <c r="G16" s="23"/>
      <c r="H16" s="26" t="str">
        <f>IFERROR(__xludf.DUMMYFUNCTION("IFERROR(GOOGLEFINANCE(""NSE:""&amp;B16,""price""),"""")"),"")</f>
        <v/>
      </c>
      <c r="I16" s="22"/>
      <c r="J16" s="23">
        <f t="shared" si="1"/>
        <v>0</v>
      </c>
      <c r="K16" s="23">
        <f t="shared" si="2"/>
        <v>0</v>
      </c>
      <c r="L16" s="23">
        <f t="shared" si="3"/>
        <v>0</v>
      </c>
      <c r="M16" s="27">
        <f t="shared" si="4"/>
        <v>0</v>
      </c>
      <c r="N16" s="23">
        <f>IFERROR(__xludf.DUMMYFUNCTION("IFERROR(IF(G16&gt;0,0,GOOGLEFINANCE(""NSE:""&amp;B16,""change"")),0)"),0.0)</f>
        <v>0</v>
      </c>
      <c r="O16" s="23">
        <f t="shared" si="5"/>
        <v>0</v>
      </c>
      <c r="P16" s="23">
        <f t="shared" si="6"/>
        <v>0</v>
      </c>
      <c r="Q16" s="27">
        <f t="shared" si="7"/>
        <v>0</v>
      </c>
      <c r="R16" s="23"/>
      <c r="S16" s="23"/>
      <c r="T16" s="23"/>
      <c r="U16" s="23"/>
      <c r="V16" s="23"/>
      <c r="W16" s="23"/>
      <c r="X16" s="23"/>
      <c r="Y16" s="23"/>
      <c r="Z16" s="27"/>
      <c r="AA16" s="23"/>
    </row>
    <row r="17" ht="22.5" customHeight="1">
      <c r="A17" s="22">
        <v>16.0</v>
      </c>
      <c r="B17" s="48"/>
      <c r="C17" s="24"/>
      <c r="D17" s="25"/>
      <c r="E17" s="23"/>
      <c r="F17" s="25"/>
      <c r="G17" s="23"/>
      <c r="H17" s="26" t="str">
        <f>IFERROR(__xludf.DUMMYFUNCTION("IFERROR(GOOGLEFINANCE(""NSE:""&amp;B17,""price""),"""")"),"")</f>
        <v/>
      </c>
      <c r="I17" s="22"/>
      <c r="J17" s="23">
        <f t="shared" si="1"/>
        <v>0</v>
      </c>
      <c r="K17" s="23">
        <f t="shared" si="2"/>
        <v>0</v>
      </c>
      <c r="L17" s="23">
        <f t="shared" si="3"/>
        <v>0</v>
      </c>
      <c r="M17" s="27">
        <f t="shared" si="4"/>
        <v>0</v>
      </c>
      <c r="N17" s="23">
        <f>IFERROR(__xludf.DUMMYFUNCTION("IFERROR(IF(G17&gt;0,0,GOOGLEFINANCE(""NSE:""&amp;B17,""change"")),0)"),0.0)</f>
        <v>0</v>
      </c>
      <c r="O17" s="23">
        <f t="shared" si="5"/>
        <v>0</v>
      </c>
      <c r="P17" s="23">
        <f t="shared" si="6"/>
        <v>0</v>
      </c>
      <c r="Q17" s="27">
        <f t="shared" si="7"/>
        <v>0</v>
      </c>
      <c r="R17" s="23"/>
      <c r="S17" s="23"/>
      <c r="T17" s="23"/>
      <c r="U17" s="23"/>
      <c r="V17" s="23"/>
      <c r="W17" s="23"/>
      <c r="X17" s="23"/>
      <c r="Y17" s="23"/>
      <c r="Z17" s="27"/>
      <c r="AA17" s="23"/>
    </row>
    <row r="18" ht="22.5" customHeight="1">
      <c r="A18" s="22">
        <v>17.0</v>
      </c>
      <c r="B18" s="47"/>
      <c r="C18" s="24"/>
      <c r="D18" s="25"/>
      <c r="E18" s="23"/>
      <c r="F18" s="25"/>
      <c r="G18" s="23"/>
      <c r="H18" s="26" t="str">
        <f>IFERROR(__xludf.DUMMYFUNCTION("IFERROR(GOOGLEFINANCE(""NSE:""&amp;B18,""price""),"""")"),"")</f>
        <v/>
      </c>
      <c r="I18" s="22"/>
      <c r="J18" s="23">
        <f t="shared" si="1"/>
        <v>0</v>
      </c>
      <c r="K18" s="23">
        <f t="shared" si="2"/>
        <v>0</v>
      </c>
      <c r="L18" s="23">
        <f t="shared" si="3"/>
        <v>0</v>
      </c>
      <c r="M18" s="27">
        <f t="shared" si="4"/>
        <v>0</v>
      </c>
      <c r="N18" s="23">
        <f>IFERROR(__xludf.DUMMYFUNCTION("IFERROR(IF(G18&gt;0,0,GOOGLEFINANCE(""NSE:""&amp;B18,""change"")),0)"),0.0)</f>
        <v>0</v>
      </c>
      <c r="O18" s="23">
        <f t="shared" si="5"/>
        <v>0</v>
      </c>
      <c r="P18" s="23">
        <f t="shared" si="6"/>
        <v>0</v>
      </c>
      <c r="Q18" s="27">
        <f t="shared" si="7"/>
        <v>0</v>
      </c>
      <c r="R18" s="23"/>
      <c r="S18" s="23"/>
      <c r="T18" s="23"/>
      <c r="U18" s="23"/>
      <c r="V18" s="23"/>
      <c r="W18" s="23"/>
      <c r="X18" s="23"/>
      <c r="Y18" s="23"/>
      <c r="Z18" s="27"/>
      <c r="AA18" s="23"/>
    </row>
    <row r="19" ht="22.5" customHeight="1">
      <c r="A19" s="22">
        <v>18.0</v>
      </c>
      <c r="B19" s="48"/>
      <c r="C19" s="24"/>
      <c r="D19" s="25"/>
      <c r="E19" s="23"/>
      <c r="F19" s="25"/>
      <c r="G19" s="23"/>
      <c r="H19" s="26" t="str">
        <f>IFERROR(__xludf.DUMMYFUNCTION("IFERROR(GOOGLEFINANCE(""NSE:""&amp;B19,""price""),"""")"),"")</f>
        <v/>
      </c>
      <c r="I19" s="22"/>
      <c r="J19" s="23">
        <f t="shared" si="1"/>
        <v>0</v>
      </c>
      <c r="K19" s="23">
        <f t="shared" si="2"/>
        <v>0</v>
      </c>
      <c r="L19" s="23">
        <f t="shared" si="3"/>
        <v>0</v>
      </c>
      <c r="M19" s="27">
        <f t="shared" si="4"/>
        <v>0</v>
      </c>
      <c r="N19" s="23">
        <f>IFERROR(__xludf.DUMMYFUNCTION("IFERROR(IF(G19&gt;0,0,GOOGLEFINANCE(""NSE:""&amp;B19,""change"")),0)"),0.0)</f>
        <v>0</v>
      </c>
      <c r="O19" s="23">
        <f t="shared" si="5"/>
        <v>0</v>
      </c>
      <c r="P19" s="23">
        <f t="shared" si="6"/>
        <v>0</v>
      </c>
      <c r="Q19" s="27">
        <f t="shared" si="7"/>
        <v>0</v>
      </c>
      <c r="R19" s="23"/>
      <c r="S19" s="23"/>
      <c r="T19" s="23"/>
      <c r="U19" s="23"/>
      <c r="V19" s="23"/>
      <c r="W19" s="23"/>
      <c r="X19" s="23"/>
      <c r="Y19" s="23"/>
      <c r="Z19" s="27"/>
      <c r="AA19" s="23"/>
    </row>
    <row r="20" ht="22.5" customHeight="1">
      <c r="A20" s="22">
        <v>19.0</v>
      </c>
      <c r="B20" s="23"/>
      <c r="C20" s="24"/>
      <c r="D20" s="25"/>
      <c r="E20" s="23"/>
      <c r="F20" s="25"/>
      <c r="G20" s="23"/>
      <c r="H20" s="26" t="str">
        <f>IFERROR(__xludf.DUMMYFUNCTION("IFERROR(GOOGLEFINANCE(""NSE:""&amp;B20,""price""),"""")"),"")</f>
        <v/>
      </c>
      <c r="I20" s="22"/>
      <c r="J20" s="23">
        <f t="shared" si="1"/>
        <v>0</v>
      </c>
      <c r="K20" s="23">
        <f t="shared" si="2"/>
        <v>0</v>
      </c>
      <c r="L20" s="23">
        <f t="shared" si="3"/>
        <v>0</v>
      </c>
      <c r="M20" s="27">
        <f t="shared" si="4"/>
        <v>0</v>
      </c>
      <c r="N20" s="23">
        <f>IFERROR(__xludf.DUMMYFUNCTION("IFERROR(IF(G20&gt;0,0,GOOGLEFINANCE(""NSE:""&amp;B20,""change"")),0)"),0.0)</f>
        <v>0</v>
      </c>
      <c r="O20" s="23">
        <f t="shared" si="5"/>
        <v>0</v>
      </c>
      <c r="P20" s="23">
        <f t="shared" si="6"/>
        <v>0</v>
      </c>
      <c r="Q20" s="27">
        <f t="shared" si="7"/>
        <v>0</v>
      </c>
      <c r="R20" s="23"/>
      <c r="S20" s="23"/>
      <c r="T20" s="23"/>
      <c r="U20" s="23"/>
      <c r="V20" s="23"/>
      <c r="W20" s="23"/>
      <c r="X20" s="23"/>
      <c r="Y20" s="23"/>
      <c r="Z20" s="27"/>
      <c r="AA20" s="23"/>
    </row>
    <row r="21" ht="22.5" customHeight="1">
      <c r="A21" s="22">
        <v>20.0</v>
      </c>
      <c r="B21" s="23"/>
      <c r="C21" s="41"/>
      <c r="D21" s="25"/>
      <c r="E21" s="23"/>
      <c r="F21" s="25"/>
      <c r="G21" s="23"/>
      <c r="H21" s="26" t="str">
        <f>IFERROR(__xludf.DUMMYFUNCTION("IFERROR(GOOGLEFINANCE(""NSE:""&amp;B21,""price""),"""")"),"")</f>
        <v/>
      </c>
      <c r="I21" s="22"/>
      <c r="J21" s="23">
        <f t="shared" si="1"/>
        <v>0</v>
      </c>
      <c r="K21" s="23">
        <f t="shared" si="2"/>
        <v>0</v>
      </c>
      <c r="L21" s="23">
        <f t="shared" si="3"/>
        <v>0</v>
      </c>
      <c r="M21" s="27">
        <f t="shared" si="4"/>
        <v>0</v>
      </c>
      <c r="N21" s="23">
        <f>IFERROR(__xludf.DUMMYFUNCTION("IFERROR(IF(G21&gt;0,0,GOOGLEFINANCE(""NSE:""&amp;B21,""change"")),0)"),0.0)</f>
        <v>0</v>
      </c>
      <c r="O21" s="23">
        <f t="shared" si="5"/>
        <v>0</v>
      </c>
      <c r="P21" s="23">
        <f t="shared" si="6"/>
        <v>0</v>
      </c>
      <c r="Q21" s="27">
        <f t="shared" si="7"/>
        <v>0</v>
      </c>
      <c r="R21" s="23"/>
      <c r="S21" s="23"/>
      <c r="T21" s="23"/>
      <c r="U21" s="23"/>
      <c r="V21" s="23"/>
      <c r="W21" s="23"/>
      <c r="X21" s="23"/>
      <c r="Y21" s="23"/>
      <c r="Z21" s="27"/>
      <c r="AA21" s="23"/>
    </row>
    <row r="22" ht="22.5" customHeight="1">
      <c r="A22" s="22">
        <v>21.0</v>
      </c>
      <c r="B22" s="23"/>
      <c r="C22" s="24"/>
      <c r="D22" s="25"/>
      <c r="E22" s="23"/>
      <c r="F22" s="25"/>
      <c r="G22" s="23"/>
      <c r="H22" s="26" t="str">
        <f>IFERROR(__xludf.DUMMYFUNCTION("IFERROR(GOOGLEFINANCE(""NSE:""&amp;B22,""price""),"""")"),"")</f>
        <v/>
      </c>
      <c r="I22" s="22"/>
      <c r="J22" s="23">
        <f t="shared" si="1"/>
        <v>0</v>
      </c>
      <c r="K22" s="23">
        <f t="shared" si="2"/>
        <v>0</v>
      </c>
      <c r="L22" s="23">
        <f t="shared" si="3"/>
        <v>0</v>
      </c>
      <c r="M22" s="27">
        <f t="shared" si="4"/>
        <v>0</v>
      </c>
      <c r="N22" s="23">
        <f>IFERROR(__xludf.DUMMYFUNCTION("IFERROR(IF(G22&gt;0,0,GOOGLEFINANCE(""NSE:""&amp;B22,""change"")),0)"),0.0)</f>
        <v>0</v>
      </c>
      <c r="O22" s="23">
        <f t="shared" si="5"/>
        <v>0</v>
      </c>
      <c r="P22" s="23">
        <f t="shared" si="6"/>
        <v>0</v>
      </c>
      <c r="Q22" s="27">
        <f t="shared" si="7"/>
        <v>0</v>
      </c>
      <c r="R22" s="23"/>
      <c r="S22" s="23"/>
      <c r="T22" s="23"/>
      <c r="U22" s="23"/>
      <c r="V22" s="23"/>
      <c r="W22" s="23"/>
      <c r="X22" s="23"/>
      <c r="Y22" s="23"/>
      <c r="Z22" s="27"/>
      <c r="AA22" s="23"/>
    </row>
    <row r="23" ht="22.5" customHeight="1">
      <c r="A23" s="22">
        <v>22.0</v>
      </c>
      <c r="B23" s="23"/>
      <c r="C23" s="24"/>
      <c r="D23" s="25"/>
      <c r="E23" s="23"/>
      <c r="F23" s="25"/>
      <c r="G23" s="23"/>
      <c r="H23" s="26" t="str">
        <f>IFERROR(__xludf.DUMMYFUNCTION("IFERROR(GOOGLEFINANCE(""NSE:""&amp;B23,""price""),"""")"),"")</f>
        <v/>
      </c>
      <c r="I23" s="22"/>
      <c r="J23" s="23">
        <f t="shared" si="1"/>
        <v>0</v>
      </c>
      <c r="K23" s="23">
        <f t="shared" si="2"/>
        <v>0</v>
      </c>
      <c r="L23" s="23">
        <f t="shared" si="3"/>
        <v>0</v>
      </c>
      <c r="M23" s="27">
        <f t="shared" si="4"/>
        <v>0</v>
      </c>
      <c r="N23" s="23">
        <f>IFERROR(__xludf.DUMMYFUNCTION("IFERROR(IF(G23&gt;0,0,GOOGLEFINANCE(""NSE:""&amp;B23,""change"")),0)"),0.0)</f>
        <v>0</v>
      </c>
      <c r="O23" s="23">
        <f t="shared" si="5"/>
        <v>0</v>
      </c>
      <c r="P23" s="23">
        <f t="shared" si="6"/>
        <v>0</v>
      </c>
      <c r="Q23" s="27">
        <f t="shared" si="7"/>
        <v>0</v>
      </c>
      <c r="R23" s="23"/>
      <c r="S23" s="23"/>
      <c r="T23" s="23"/>
      <c r="U23" s="23"/>
      <c r="V23" s="23"/>
      <c r="W23" s="23"/>
      <c r="X23" s="23"/>
      <c r="Y23" s="23"/>
      <c r="Z23" s="27"/>
      <c r="AA23" s="23"/>
    </row>
    <row r="24" ht="22.5" customHeight="1">
      <c r="A24" s="22">
        <v>23.0</v>
      </c>
      <c r="B24" s="23"/>
      <c r="C24" s="41"/>
      <c r="D24" s="25"/>
      <c r="E24" s="23"/>
      <c r="F24" s="25"/>
      <c r="G24" s="23"/>
      <c r="H24" s="26" t="str">
        <f>IFERROR(__xludf.DUMMYFUNCTION("IFERROR(GOOGLEFINANCE(""NSE:""&amp;B24,""price""),"""")"),"")</f>
        <v/>
      </c>
      <c r="I24" s="22"/>
      <c r="J24" s="23">
        <f t="shared" si="1"/>
        <v>0</v>
      </c>
      <c r="K24" s="23">
        <f t="shared" si="2"/>
        <v>0</v>
      </c>
      <c r="L24" s="23">
        <f t="shared" si="3"/>
        <v>0</v>
      </c>
      <c r="M24" s="27">
        <f t="shared" si="4"/>
        <v>0</v>
      </c>
      <c r="N24" s="23">
        <f>IFERROR(__xludf.DUMMYFUNCTION("IFERROR(IF(G24&gt;0,0,GOOGLEFINANCE(""NSE:""&amp;B24,""change"")),0)"),0.0)</f>
        <v>0</v>
      </c>
      <c r="O24" s="23">
        <f t="shared" si="5"/>
        <v>0</v>
      </c>
      <c r="P24" s="23">
        <f t="shared" si="6"/>
        <v>0</v>
      </c>
      <c r="Q24" s="27">
        <f t="shared" si="7"/>
        <v>0</v>
      </c>
      <c r="R24" s="23"/>
      <c r="S24" s="23"/>
      <c r="T24" s="23"/>
      <c r="U24" s="23"/>
      <c r="V24" s="23"/>
      <c r="W24" s="23"/>
      <c r="X24" s="23"/>
      <c r="Y24" s="23"/>
      <c r="Z24" s="27"/>
      <c r="AA24" s="23"/>
    </row>
    <row r="25" ht="22.5" customHeight="1">
      <c r="A25" s="22">
        <v>24.0</v>
      </c>
      <c r="B25" s="23"/>
      <c r="C25" s="24"/>
      <c r="D25" s="25"/>
      <c r="E25" s="23"/>
      <c r="F25" s="25"/>
      <c r="G25" s="23"/>
      <c r="H25" s="26" t="str">
        <f>IFERROR(__xludf.DUMMYFUNCTION("IFERROR(GOOGLEFINANCE(""NSE:""&amp;B25,""price""),"""")"),"")</f>
        <v/>
      </c>
      <c r="I25" s="22"/>
      <c r="J25" s="23">
        <f t="shared" si="1"/>
        <v>0</v>
      </c>
      <c r="K25" s="23">
        <f t="shared" si="2"/>
        <v>0</v>
      </c>
      <c r="L25" s="23">
        <f t="shared" si="3"/>
        <v>0</v>
      </c>
      <c r="M25" s="27">
        <f t="shared" si="4"/>
        <v>0</v>
      </c>
      <c r="N25" s="23">
        <f>IFERROR(__xludf.DUMMYFUNCTION("IFERROR(IF(G25&gt;0,0,GOOGLEFINANCE(""NSE:""&amp;B25,""change"")),0)"),0.0)</f>
        <v>0</v>
      </c>
      <c r="O25" s="23">
        <f t="shared" si="5"/>
        <v>0</v>
      </c>
      <c r="P25" s="23">
        <f t="shared" si="6"/>
        <v>0</v>
      </c>
      <c r="Q25" s="27">
        <f t="shared" si="7"/>
        <v>0</v>
      </c>
      <c r="R25" s="23"/>
      <c r="S25" s="23"/>
      <c r="T25" s="23"/>
      <c r="U25" s="23"/>
      <c r="V25" s="23"/>
      <c r="W25" s="23"/>
      <c r="X25" s="23"/>
      <c r="Y25" s="23"/>
      <c r="Z25" s="27"/>
      <c r="AA25" s="23"/>
      <c r="AL25" s="8"/>
    </row>
    <row r="26" ht="22.5" customHeight="1">
      <c r="A26" s="22">
        <v>25.0</v>
      </c>
      <c r="B26" s="23"/>
      <c r="C26" s="24"/>
      <c r="D26" s="25"/>
      <c r="E26" s="23"/>
      <c r="F26" s="25"/>
      <c r="G26" s="23"/>
      <c r="H26" s="26" t="str">
        <f>IFERROR(__xludf.DUMMYFUNCTION("IFERROR(GOOGLEFINANCE(""NSE:""&amp;B26,""price""),"""")"),"")</f>
        <v/>
      </c>
      <c r="I26" s="22"/>
      <c r="J26" s="23">
        <f t="shared" si="1"/>
        <v>0</v>
      </c>
      <c r="K26" s="23">
        <f t="shared" si="2"/>
        <v>0</v>
      </c>
      <c r="L26" s="23">
        <f t="shared" si="3"/>
        <v>0</v>
      </c>
      <c r="M26" s="27">
        <f t="shared" si="4"/>
        <v>0</v>
      </c>
      <c r="N26" s="23">
        <f>IFERROR(__xludf.DUMMYFUNCTION("IFERROR(IF(G26&gt;0,0,GOOGLEFINANCE(""NSE:""&amp;B26,""change"")),0)"),0.0)</f>
        <v>0</v>
      </c>
      <c r="O26" s="23">
        <f t="shared" si="5"/>
        <v>0</v>
      </c>
      <c r="P26" s="23">
        <f t="shared" si="6"/>
        <v>0</v>
      </c>
      <c r="Q26" s="27">
        <f t="shared" si="7"/>
        <v>0</v>
      </c>
      <c r="R26" s="23"/>
      <c r="S26" s="23"/>
      <c r="T26" s="23"/>
      <c r="U26" s="23"/>
      <c r="V26" s="23"/>
      <c r="W26" s="23"/>
      <c r="X26" s="23"/>
      <c r="Y26" s="23"/>
      <c r="Z26" s="27"/>
      <c r="AA26" s="23"/>
    </row>
    <row r="27" ht="22.5" customHeight="1">
      <c r="A27" s="22">
        <v>26.0</v>
      </c>
      <c r="B27" s="23"/>
      <c r="C27" s="24"/>
      <c r="D27" s="25"/>
      <c r="E27" s="23"/>
      <c r="F27" s="25"/>
      <c r="G27" s="23"/>
      <c r="H27" s="26" t="str">
        <f>IFERROR(__xludf.DUMMYFUNCTION("IFERROR(GOOGLEFINANCE(""NSE:""&amp;B27,""price""),"""")"),"")</f>
        <v/>
      </c>
      <c r="I27" s="22"/>
      <c r="J27" s="23">
        <f t="shared" si="1"/>
        <v>0</v>
      </c>
      <c r="K27" s="23">
        <f t="shared" si="2"/>
        <v>0</v>
      </c>
      <c r="L27" s="23">
        <f t="shared" si="3"/>
        <v>0</v>
      </c>
      <c r="M27" s="27">
        <f t="shared" si="4"/>
        <v>0</v>
      </c>
      <c r="N27" s="23">
        <f>IFERROR(__xludf.DUMMYFUNCTION("IFERROR(IF(G27&gt;0,0,GOOGLEFINANCE(""NSE:""&amp;B27,""change"")),0)"),0.0)</f>
        <v>0</v>
      </c>
      <c r="O27" s="23">
        <f t="shared" si="5"/>
        <v>0</v>
      </c>
      <c r="P27" s="23">
        <f t="shared" si="6"/>
        <v>0</v>
      </c>
      <c r="Q27" s="27">
        <f t="shared" si="7"/>
        <v>0</v>
      </c>
      <c r="R27" s="23"/>
      <c r="S27" s="23"/>
      <c r="T27" s="23"/>
      <c r="U27" s="23"/>
      <c r="V27" s="23"/>
      <c r="W27" s="23"/>
      <c r="X27" s="23"/>
      <c r="Y27" s="23"/>
      <c r="Z27" s="27"/>
      <c r="AA27" s="23"/>
    </row>
    <row r="28" ht="22.5" customHeight="1">
      <c r="A28" s="22">
        <v>27.0</v>
      </c>
      <c r="B28" s="23"/>
      <c r="C28" s="24"/>
      <c r="D28" s="25"/>
      <c r="E28" s="23"/>
      <c r="F28" s="25"/>
      <c r="G28" s="23"/>
      <c r="H28" s="26" t="str">
        <f>IFERROR(__xludf.DUMMYFUNCTION("IFERROR(GOOGLEFINANCE(""NSE:""&amp;B28,""price""),"""")"),"")</f>
        <v/>
      </c>
      <c r="I28" s="22"/>
      <c r="J28" s="23">
        <f t="shared" si="1"/>
        <v>0</v>
      </c>
      <c r="K28" s="23">
        <f t="shared" si="2"/>
        <v>0</v>
      </c>
      <c r="L28" s="23">
        <f t="shared" si="3"/>
        <v>0</v>
      </c>
      <c r="M28" s="27">
        <f t="shared" si="4"/>
        <v>0</v>
      </c>
      <c r="N28" s="23">
        <f>IFERROR(__xludf.DUMMYFUNCTION("IFERROR(IF(G28&gt;0,0,GOOGLEFINANCE(""NSE:""&amp;B28,""change"")),0)"),0.0)</f>
        <v>0</v>
      </c>
      <c r="O28" s="23">
        <f t="shared" si="5"/>
        <v>0</v>
      </c>
      <c r="P28" s="23">
        <f t="shared" si="6"/>
        <v>0</v>
      </c>
      <c r="Q28" s="27">
        <f t="shared" si="7"/>
        <v>0</v>
      </c>
      <c r="R28" s="23"/>
      <c r="S28" s="23"/>
      <c r="T28" s="23"/>
      <c r="U28" s="23"/>
      <c r="V28" s="23"/>
      <c r="W28" s="23"/>
      <c r="X28" s="23"/>
      <c r="Y28" s="23"/>
      <c r="Z28" s="27"/>
      <c r="AA28" s="23"/>
    </row>
    <row r="29" ht="22.5" customHeight="1">
      <c r="A29" s="22">
        <v>28.0</v>
      </c>
      <c r="B29" s="23"/>
      <c r="C29" s="24"/>
      <c r="D29" s="25"/>
      <c r="E29" s="23"/>
      <c r="F29" s="25"/>
      <c r="G29" s="23"/>
      <c r="H29" s="26" t="str">
        <f>IFERROR(__xludf.DUMMYFUNCTION("IFERROR(GOOGLEFINANCE(""NSE:""&amp;B29,""price""),"""")"),"")</f>
        <v/>
      </c>
      <c r="I29" s="22"/>
      <c r="J29" s="23">
        <f t="shared" si="1"/>
        <v>0</v>
      </c>
      <c r="K29" s="23">
        <f t="shared" si="2"/>
        <v>0</v>
      </c>
      <c r="L29" s="23">
        <f t="shared" si="3"/>
        <v>0</v>
      </c>
      <c r="M29" s="27">
        <f t="shared" si="4"/>
        <v>0</v>
      </c>
      <c r="N29" s="23">
        <f>IFERROR(__xludf.DUMMYFUNCTION("IFERROR(IF(G29&gt;0,0,GOOGLEFINANCE(""NSE:""&amp;B29,""change"")),0)"),0.0)</f>
        <v>0</v>
      </c>
      <c r="O29" s="23">
        <f t="shared" si="5"/>
        <v>0</v>
      </c>
      <c r="P29" s="23">
        <f t="shared" si="6"/>
        <v>0</v>
      </c>
      <c r="Q29" s="27">
        <f t="shared" si="7"/>
        <v>0</v>
      </c>
      <c r="R29" s="23"/>
      <c r="S29" s="23"/>
      <c r="T29" s="23"/>
      <c r="U29" s="23"/>
      <c r="V29" s="23"/>
      <c r="W29" s="23"/>
      <c r="X29" s="23"/>
      <c r="Y29" s="23"/>
      <c r="Z29" s="27"/>
      <c r="AA29" s="23"/>
    </row>
    <row r="30" ht="22.5" customHeight="1">
      <c r="A30" s="22">
        <v>29.0</v>
      </c>
      <c r="B30" s="23"/>
      <c r="C30" s="24"/>
      <c r="D30" s="25"/>
      <c r="E30" s="23"/>
      <c r="F30" s="25"/>
      <c r="G30" s="23"/>
      <c r="H30" s="26" t="str">
        <f>IFERROR(__xludf.DUMMYFUNCTION("IFERROR(GOOGLEFINANCE(""NSE:""&amp;B30,""price""),"""")"),"")</f>
        <v/>
      </c>
      <c r="I30" s="22"/>
      <c r="J30" s="23">
        <f t="shared" si="1"/>
        <v>0</v>
      </c>
      <c r="K30" s="23">
        <f t="shared" si="2"/>
        <v>0</v>
      </c>
      <c r="L30" s="23">
        <f t="shared" si="3"/>
        <v>0</v>
      </c>
      <c r="M30" s="27">
        <f t="shared" si="4"/>
        <v>0</v>
      </c>
      <c r="N30" s="23">
        <f>IFERROR(__xludf.DUMMYFUNCTION("IFERROR(IF(G30&gt;0,0,GOOGLEFINANCE(""NSE:""&amp;B30,""change"")),0)"),0.0)</f>
        <v>0</v>
      </c>
      <c r="O30" s="23">
        <f t="shared" si="5"/>
        <v>0</v>
      </c>
      <c r="P30" s="23">
        <f t="shared" si="6"/>
        <v>0</v>
      </c>
      <c r="Q30" s="27">
        <f t="shared" si="7"/>
        <v>0</v>
      </c>
      <c r="R30" s="23"/>
      <c r="S30" s="23"/>
      <c r="T30" s="23"/>
      <c r="U30" s="23"/>
      <c r="V30" s="23"/>
      <c r="W30" s="23"/>
      <c r="X30" s="23"/>
      <c r="Y30" s="23"/>
      <c r="Z30" s="27"/>
      <c r="AA30" s="23"/>
    </row>
    <row r="31" ht="22.5" customHeight="1">
      <c r="A31" s="22">
        <v>30.0</v>
      </c>
      <c r="B31" s="23"/>
      <c r="C31" s="24"/>
      <c r="D31" s="25"/>
      <c r="E31" s="23"/>
      <c r="F31" s="25"/>
      <c r="G31" s="23"/>
      <c r="H31" s="26" t="str">
        <f>IFERROR(__xludf.DUMMYFUNCTION("IFERROR(GOOGLEFINANCE(""NSE:""&amp;B31,""price""),"""")"),"")</f>
        <v/>
      </c>
      <c r="I31" s="22"/>
      <c r="J31" s="23">
        <f t="shared" si="1"/>
        <v>0</v>
      </c>
      <c r="K31" s="23">
        <f t="shared" si="2"/>
        <v>0</v>
      </c>
      <c r="L31" s="23">
        <f t="shared" si="3"/>
        <v>0</v>
      </c>
      <c r="M31" s="27">
        <f t="shared" si="4"/>
        <v>0</v>
      </c>
      <c r="N31" s="23">
        <f>IFERROR(__xludf.DUMMYFUNCTION("IFERROR(IF(G31&gt;0,0,GOOGLEFINANCE(""NSE:""&amp;B31,""change"")),0)"),0.0)</f>
        <v>0</v>
      </c>
      <c r="O31" s="23">
        <f t="shared" si="5"/>
        <v>0</v>
      </c>
      <c r="P31" s="23">
        <f t="shared" si="6"/>
        <v>0</v>
      </c>
      <c r="Q31" s="27">
        <f t="shared" si="7"/>
        <v>0</v>
      </c>
      <c r="R31" s="23"/>
      <c r="S31" s="23"/>
      <c r="T31" s="23"/>
      <c r="U31" s="23"/>
      <c r="V31" s="23"/>
      <c r="W31" s="23"/>
      <c r="X31" s="23"/>
      <c r="Y31" s="23"/>
      <c r="Z31" s="27"/>
      <c r="AA31" s="23"/>
    </row>
    <row r="32" ht="22.5" customHeight="1">
      <c r="A32" s="22">
        <v>31.0</v>
      </c>
      <c r="B32" s="23"/>
      <c r="C32" s="24"/>
      <c r="D32" s="25"/>
      <c r="E32" s="23"/>
      <c r="F32" s="25"/>
      <c r="G32" s="23"/>
      <c r="H32" s="26" t="str">
        <f>IFERROR(__xludf.DUMMYFUNCTION("IFERROR(GOOGLEFINANCE(""NSE:""&amp;B32,""price""),"""")"),"")</f>
        <v/>
      </c>
      <c r="I32" s="22"/>
      <c r="J32" s="23">
        <f t="shared" si="1"/>
        <v>0</v>
      </c>
      <c r="K32" s="23">
        <f t="shared" si="2"/>
        <v>0</v>
      </c>
      <c r="L32" s="23">
        <f t="shared" si="3"/>
        <v>0</v>
      </c>
      <c r="M32" s="27">
        <f t="shared" si="4"/>
        <v>0</v>
      </c>
      <c r="N32" s="23">
        <f>IFERROR(__xludf.DUMMYFUNCTION("IFERROR(IF(G32&gt;0,0,GOOGLEFINANCE(""NSE:""&amp;B32,""change"")),0)"),0.0)</f>
        <v>0</v>
      </c>
      <c r="O32" s="23">
        <f t="shared" si="5"/>
        <v>0</v>
      </c>
      <c r="P32" s="23">
        <f t="shared" si="6"/>
        <v>0</v>
      </c>
      <c r="Q32" s="27">
        <f t="shared" si="7"/>
        <v>0</v>
      </c>
      <c r="R32" s="23"/>
      <c r="S32" s="23"/>
      <c r="T32" s="23"/>
      <c r="U32" s="23"/>
      <c r="V32" s="23"/>
      <c r="W32" s="23"/>
      <c r="X32" s="23"/>
      <c r="Y32" s="23"/>
      <c r="Z32" s="27"/>
      <c r="AA32" s="23"/>
    </row>
    <row r="33" ht="22.5" customHeight="1">
      <c r="A33" s="22">
        <v>32.0</v>
      </c>
      <c r="B33" s="23"/>
      <c r="C33" s="24"/>
      <c r="D33" s="25"/>
      <c r="E33" s="23"/>
      <c r="F33" s="25"/>
      <c r="G33" s="23"/>
      <c r="H33" s="26" t="str">
        <f>IFERROR(__xludf.DUMMYFUNCTION("IFERROR(GOOGLEFINANCE(""NSE:""&amp;B33,""price""),"""")"),"")</f>
        <v/>
      </c>
      <c r="I33" s="22"/>
      <c r="J33" s="23">
        <f t="shared" si="1"/>
        <v>0</v>
      </c>
      <c r="K33" s="23">
        <f t="shared" si="2"/>
        <v>0</v>
      </c>
      <c r="L33" s="23">
        <f t="shared" si="3"/>
        <v>0</v>
      </c>
      <c r="M33" s="27">
        <f t="shared" si="4"/>
        <v>0</v>
      </c>
      <c r="N33" s="23">
        <f>IFERROR(__xludf.DUMMYFUNCTION("IFERROR(IF(G33&gt;0,0,GOOGLEFINANCE(""NSE:""&amp;B33,""change"")),0)"),0.0)</f>
        <v>0</v>
      </c>
      <c r="O33" s="23">
        <f t="shared" si="5"/>
        <v>0</v>
      </c>
      <c r="P33" s="23">
        <f t="shared" si="6"/>
        <v>0</v>
      </c>
      <c r="Q33" s="27">
        <f t="shared" si="7"/>
        <v>0</v>
      </c>
    </row>
    <row r="34" ht="22.5" customHeight="1">
      <c r="A34" s="22">
        <v>33.0</v>
      </c>
      <c r="B34" s="23"/>
      <c r="C34" s="24"/>
      <c r="D34" s="25"/>
      <c r="E34" s="23"/>
      <c r="F34" s="25"/>
      <c r="G34" s="23"/>
      <c r="H34" s="26" t="str">
        <f>IFERROR(__xludf.DUMMYFUNCTION("IFERROR(GOOGLEFINANCE(""NSE:""&amp;B34,""price""),"""")"),"")</f>
        <v/>
      </c>
      <c r="I34" s="22"/>
      <c r="J34" s="23">
        <f t="shared" si="1"/>
        <v>0</v>
      </c>
      <c r="K34" s="23">
        <f t="shared" si="2"/>
        <v>0</v>
      </c>
      <c r="L34" s="23">
        <f t="shared" si="3"/>
        <v>0</v>
      </c>
      <c r="M34" s="27">
        <f t="shared" si="4"/>
        <v>0</v>
      </c>
      <c r="N34" s="23">
        <f>IFERROR(__xludf.DUMMYFUNCTION("IFERROR(IF(G34&gt;0,0,GOOGLEFINANCE(""NSE:""&amp;B34,""change"")),0)"),0.0)</f>
        <v>0</v>
      </c>
      <c r="O34" s="23">
        <f t="shared" si="5"/>
        <v>0</v>
      </c>
      <c r="P34" s="23">
        <f t="shared" si="6"/>
        <v>0</v>
      </c>
      <c r="Q34" s="27">
        <f t="shared" si="7"/>
        <v>0</v>
      </c>
      <c r="R34" s="23"/>
      <c r="S34" s="23"/>
      <c r="T34" s="23"/>
      <c r="U34" s="23"/>
      <c r="V34" s="23"/>
      <c r="W34" s="23"/>
      <c r="X34" s="23"/>
      <c r="Y34" s="23"/>
      <c r="Z34" s="27"/>
      <c r="AA34" s="23"/>
    </row>
    <row r="35" ht="22.5" customHeight="1">
      <c r="A35" s="22">
        <v>34.0</v>
      </c>
      <c r="B35" s="23"/>
      <c r="C35" s="24"/>
      <c r="D35" s="25"/>
      <c r="E35" s="23"/>
      <c r="F35" s="25"/>
      <c r="G35" s="23"/>
      <c r="H35" s="26" t="str">
        <f>IFERROR(__xludf.DUMMYFUNCTION("IFERROR(GOOGLEFINANCE(""NSE:""&amp;B35,""price""),"""")"),"")</f>
        <v/>
      </c>
      <c r="I35" s="22"/>
      <c r="J35" s="23">
        <f t="shared" si="1"/>
        <v>0</v>
      </c>
      <c r="K35" s="23">
        <f t="shared" si="2"/>
        <v>0</v>
      </c>
      <c r="L35" s="23">
        <f t="shared" si="3"/>
        <v>0</v>
      </c>
      <c r="M35" s="27">
        <f t="shared" si="4"/>
        <v>0</v>
      </c>
      <c r="N35" s="23">
        <f>IFERROR(__xludf.DUMMYFUNCTION("IFERROR(IF(G35&gt;0,0,GOOGLEFINANCE(""NSE:""&amp;B35,""change"")),0)"),0.0)</f>
        <v>0</v>
      </c>
      <c r="O35" s="23">
        <f t="shared" si="5"/>
        <v>0</v>
      </c>
      <c r="P35" s="23">
        <f t="shared" si="6"/>
        <v>0</v>
      </c>
      <c r="Q35" s="27">
        <f t="shared" si="7"/>
        <v>0</v>
      </c>
      <c r="R35" s="23"/>
      <c r="S35" s="23"/>
      <c r="T35" s="23"/>
      <c r="U35" s="23"/>
      <c r="V35" s="23"/>
      <c r="W35" s="23"/>
      <c r="X35" s="23"/>
      <c r="Y35" s="23"/>
      <c r="Z35" s="27"/>
      <c r="AA35" s="23"/>
    </row>
    <row r="36" ht="22.5" customHeight="1">
      <c r="A36" s="22">
        <v>35.0</v>
      </c>
      <c r="B36" s="23"/>
      <c r="C36" s="49"/>
      <c r="D36" s="25"/>
      <c r="E36" s="23"/>
      <c r="F36" s="25"/>
      <c r="G36" s="23"/>
      <c r="H36" s="26" t="str">
        <f>IFERROR(__xludf.DUMMYFUNCTION("IFERROR(GOOGLEFINANCE(""NSE:""&amp;B36,""price""),"""")"),"")</f>
        <v/>
      </c>
      <c r="I36" s="22"/>
      <c r="J36" s="23">
        <f t="shared" si="1"/>
        <v>0</v>
      </c>
      <c r="K36" s="23">
        <f t="shared" si="2"/>
        <v>0</v>
      </c>
      <c r="L36" s="23">
        <f t="shared" si="3"/>
        <v>0</v>
      </c>
      <c r="M36" s="27">
        <f t="shared" si="4"/>
        <v>0</v>
      </c>
      <c r="N36" s="23">
        <f>IFERROR(__xludf.DUMMYFUNCTION("IFERROR(IF(G36&gt;0,0,GOOGLEFINANCE(""NSE:""&amp;B36,""change"")),0)"),0.0)</f>
        <v>0</v>
      </c>
      <c r="O36" s="23">
        <f t="shared" si="5"/>
        <v>0</v>
      </c>
      <c r="P36" s="23">
        <f t="shared" si="6"/>
        <v>0</v>
      </c>
      <c r="Q36" s="27">
        <f t="shared" si="7"/>
        <v>0</v>
      </c>
      <c r="R36" s="23"/>
      <c r="S36" s="23"/>
      <c r="T36" s="23"/>
      <c r="U36" s="23"/>
      <c r="V36" s="23"/>
      <c r="W36" s="23"/>
      <c r="X36" s="23"/>
      <c r="Y36" s="23"/>
      <c r="Z36" s="27"/>
      <c r="AA36" s="23"/>
    </row>
    <row r="37" ht="22.5" customHeight="1">
      <c r="A37" s="22">
        <v>36.0</v>
      </c>
      <c r="B37" s="23"/>
      <c r="C37" s="49"/>
      <c r="D37" s="25"/>
      <c r="E37" s="23"/>
      <c r="F37" s="25"/>
      <c r="G37" s="23"/>
      <c r="H37" s="26" t="str">
        <f>IFERROR(__xludf.DUMMYFUNCTION("IFERROR(GOOGLEFINANCE(""NSE:""&amp;B37,""price""),"""")"),"")</f>
        <v/>
      </c>
      <c r="I37" s="22"/>
      <c r="J37" s="23">
        <f t="shared" si="1"/>
        <v>0</v>
      </c>
      <c r="K37" s="23">
        <f t="shared" si="2"/>
        <v>0</v>
      </c>
      <c r="L37" s="23">
        <f t="shared" si="3"/>
        <v>0</v>
      </c>
      <c r="M37" s="27">
        <f t="shared" si="4"/>
        <v>0</v>
      </c>
      <c r="N37" s="23">
        <f>IFERROR(__xludf.DUMMYFUNCTION("IFERROR(IF(G37&gt;0,0,GOOGLEFINANCE(""NSE:""&amp;B37,""change"")),0)"),0.0)</f>
        <v>0</v>
      </c>
      <c r="O37" s="23">
        <f t="shared" si="5"/>
        <v>0</v>
      </c>
      <c r="P37" s="23">
        <f t="shared" si="6"/>
        <v>0</v>
      </c>
      <c r="Q37" s="27">
        <f t="shared" si="7"/>
        <v>0</v>
      </c>
      <c r="R37" s="23"/>
      <c r="S37" s="23"/>
      <c r="T37" s="23"/>
      <c r="U37" s="23"/>
      <c r="V37" s="23"/>
      <c r="W37" s="23"/>
      <c r="X37" s="23"/>
      <c r="Y37" s="23"/>
      <c r="Z37" s="27"/>
      <c r="AA37" s="23"/>
    </row>
    <row r="38" ht="22.5" customHeight="1">
      <c r="A38" s="22">
        <v>37.0</v>
      </c>
      <c r="B38" s="23"/>
      <c r="C38" s="49"/>
      <c r="D38" s="25"/>
      <c r="E38" s="23"/>
      <c r="F38" s="25"/>
      <c r="G38" s="23"/>
      <c r="H38" s="26" t="str">
        <f>IFERROR(__xludf.DUMMYFUNCTION("IFERROR(GOOGLEFINANCE(""NSE:""&amp;B38,""price""),"""")"),"")</f>
        <v/>
      </c>
      <c r="I38" s="22"/>
      <c r="J38" s="23">
        <f t="shared" si="1"/>
        <v>0</v>
      </c>
      <c r="K38" s="23">
        <f t="shared" si="2"/>
        <v>0</v>
      </c>
      <c r="L38" s="23">
        <f t="shared" si="3"/>
        <v>0</v>
      </c>
      <c r="M38" s="27">
        <f t="shared" si="4"/>
        <v>0</v>
      </c>
      <c r="N38" s="23">
        <f>IFERROR(__xludf.DUMMYFUNCTION("IFERROR(IF(G38&gt;0,0,GOOGLEFINANCE(""NSE:""&amp;B38,""change"")),0)"),0.0)</f>
        <v>0</v>
      </c>
      <c r="O38" s="23">
        <f t="shared" si="5"/>
        <v>0</v>
      </c>
      <c r="P38" s="23">
        <f t="shared" si="6"/>
        <v>0</v>
      </c>
      <c r="Q38" s="27">
        <f t="shared" si="7"/>
        <v>0</v>
      </c>
      <c r="R38" s="23"/>
      <c r="S38" s="23"/>
      <c r="T38" s="23"/>
      <c r="U38" s="23"/>
      <c r="V38" s="23"/>
      <c r="W38" s="23"/>
      <c r="X38" s="23"/>
      <c r="Y38" s="23"/>
      <c r="Z38" s="27"/>
      <c r="AA38" s="23"/>
    </row>
    <row r="39" ht="22.5" customHeight="1">
      <c r="A39" s="22">
        <v>38.0</v>
      </c>
      <c r="B39" s="23"/>
      <c r="C39" s="49"/>
      <c r="D39" s="25"/>
      <c r="E39" s="23"/>
      <c r="F39" s="25"/>
      <c r="G39" s="23"/>
      <c r="H39" s="26" t="str">
        <f>IFERROR(__xludf.DUMMYFUNCTION("IFERROR(GOOGLEFINANCE(""NSE:""&amp;B39,""price""),"""")"),"")</f>
        <v/>
      </c>
      <c r="I39" s="22"/>
      <c r="J39" s="23">
        <f t="shared" si="1"/>
        <v>0</v>
      </c>
      <c r="K39" s="23">
        <f t="shared" si="2"/>
        <v>0</v>
      </c>
      <c r="L39" s="23">
        <f t="shared" si="3"/>
        <v>0</v>
      </c>
      <c r="M39" s="27">
        <f t="shared" si="4"/>
        <v>0</v>
      </c>
      <c r="N39" s="23">
        <f>IFERROR(__xludf.DUMMYFUNCTION("IFERROR(IF(G39&gt;0,0,GOOGLEFINANCE(""NSE:""&amp;B39,""change"")),0)"),0.0)</f>
        <v>0</v>
      </c>
      <c r="O39" s="23">
        <f t="shared" si="5"/>
        <v>0</v>
      </c>
      <c r="P39" s="23">
        <f t="shared" si="6"/>
        <v>0</v>
      </c>
      <c r="Q39" s="27">
        <f t="shared" si="7"/>
        <v>0</v>
      </c>
      <c r="R39" s="23"/>
      <c r="S39" s="23"/>
      <c r="T39" s="23"/>
      <c r="U39" s="23"/>
      <c r="V39" s="23"/>
      <c r="W39" s="23"/>
      <c r="X39" s="23"/>
      <c r="Y39" s="23"/>
      <c r="Z39" s="27"/>
      <c r="AA39" s="23"/>
    </row>
    <row r="40" ht="22.5" customHeight="1">
      <c r="A40" s="22">
        <v>39.0</v>
      </c>
      <c r="B40" s="23"/>
      <c r="C40" s="49"/>
      <c r="D40" s="25"/>
      <c r="E40" s="23"/>
      <c r="F40" s="25"/>
      <c r="G40" s="23"/>
      <c r="H40" s="26" t="str">
        <f>IFERROR(__xludf.DUMMYFUNCTION("IFERROR(GOOGLEFINANCE(""NSE:""&amp;B40,""price""),"""")"),"")</f>
        <v/>
      </c>
      <c r="I40" s="22"/>
      <c r="J40" s="23">
        <f t="shared" si="1"/>
        <v>0</v>
      </c>
      <c r="K40" s="23">
        <f t="shared" si="2"/>
        <v>0</v>
      </c>
      <c r="L40" s="23">
        <f t="shared" si="3"/>
        <v>0</v>
      </c>
      <c r="M40" s="27">
        <f t="shared" si="4"/>
        <v>0</v>
      </c>
      <c r="N40" s="23">
        <f>IFERROR(__xludf.DUMMYFUNCTION("IFERROR(IF(G40&gt;0,0,GOOGLEFINANCE(""NSE:""&amp;B40,""change"")),0)"),0.0)</f>
        <v>0</v>
      </c>
      <c r="O40" s="23">
        <f t="shared" si="5"/>
        <v>0</v>
      </c>
      <c r="P40" s="23">
        <f t="shared" si="6"/>
        <v>0</v>
      </c>
      <c r="Q40" s="27">
        <f t="shared" si="7"/>
        <v>0</v>
      </c>
      <c r="R40" s="23"/>
      <c r="S40" s="23"/>
      <c r="T40" s="23"/>
      <c r="U40" s="23"/>
      <c r="V40" s="23"/>
      <c r="W40" s="23"/>
      <c r="X40" s="23"/>
      <c r="Y40" s="23"/>
      <c r="Z40" s="27"/>
      <c r="AA40" s="23"/>
    </row>
    <row r="41" ht="22.5" customHeight="1">
      <c r="A41" s="22">
        <v>40.0</v>
      </c>
      <c r="B41" s="23"/>
      <c r="C41" s="49"/>
      <c r="D41" s="25"/>
      <c r="E41" s="23"/>
      <c r="F41" s="25"/>
      <c r="G41" s="23"/>
      <c r="H41" s="26" t="str">
        <f>IFERROR(__xludf.DUMMYFUNCTION("IFERROR(GOOGLEFINANCE(""NSE:""&amp;B41,""price""),"""")"),"")</f>
        <v/>
      </c>
      <c r="I41" s="22"/>
      <c r="J41" s="23">
        <f t="shared" si="1"/>
        <v>0</v>
      </c>
      <c r="K41" s="23">
        <f t="shared" si="2"/>
        <v>0</v>
      </c>
      <c r="L41" s="23">
        <f t="shared" si="3"/>
        <v>0</v>
      </c>
      <c r="M41" s="27">
        <f t="shared" si="4"/>
        <v>0</v>
      </c>
      <c r="N41" s="23">
        <f>IFERROR(__xludf.DUMMYFUNCTION("IFERROR(IF(G41&gt;0,0,GOOGLEFINANCE(""NSE:""&amp;B41,""change"")),0)"),0.0)</f>
        <v>0</v>
      </c>
      <c r="O41" s="23">
        <f t="shared" si="5"/>
        <v>0</v>
      </c>
      <c r="P41" s="23">
        <f t="shared" si="6"/>
        <v>0</v>
      </c>
      <c r="Q41" s="27">
        <f t="shared" si="7"/>
        <v>0</v>
      </c>
      <c r="R41" s="23"/>
      <c r="S41" s="23"/>
      <c r="T41" s="23"/>
      <c r="U41" s="23"/>
      <c r="V41" s="23"/>
      <c r="W41" s="23"/>
      <c r="X41" s="23"/>
      <c r="Y41" s="23"/>
      <c r="Z41" s="27"/>
      <c r="AA41" s="23"/>
    </row>
    <row r="42" ht="22.5" customHeight="1">
      <c r="A42" s="22">
        <v>41.0</v>
      </c>
      <c r="B42" s="23"/>
      <c r="C42" s="49"/>
      <c r="D42" s="25"/>
      <c r="E42" s="23"/>
      <c r="F42" s="25"/>
      <c r="G42" s="23"/>
      <c r="H42" s="26" t="str">
        <f>IFERROR(__xludf.DUMMYFUNCTION("IFERROR(GOOGLEFINANCE(""NSE:""&amp;B42,""price""),"""")"),"")</f>
        <v/>
      </c>
      <c r="I42" s="22"/>
      <c r="J42" s="23">
        <f t="shared" si="1"/>
        <v>0</v>
      </c>
      <c r="K42" s="23">
        <f t="shared" si="2"/>
        <v>0</v>
      </c>
      <c r="L42" s="23">
        <f t="shared" si="3"/>
        <v>0</v>
      </c>
      <c r="M42" s="27">
        <f t="shared" si="4"/>
        <v>0</v>
      </c>
      <c r="N42" s="23">
        <f>IFERROR(__xludf.DUMMYFUNCTION("IFERROR(IF(G42&gt;0,0,GOOGLEFINANCE(""NSE:""&amp;B42,""change"")),0)"),0.0)</f>
        <v>0</v>
      </c>
      <c r="O42" s="23">
        <f t="shared" si="5"/>
        <v>0</v>
      </c>
      <c r="P42" s="23">
        <f t="shared" si="6"/>
        <v>0</v>
      </c>
      <c r="Q42" s="27">
        <f t="shared" si="7"/>
        <v>0</v>
      </c>
      <c r="R42" s="23"/>
      <c r="S42" s="23"/>
      <c r="T42" s="23"/>
      <c r="U42" s="23"/>
      <c r="V42" s="23"/>
      <c r="W42" s="23"/>
      <c r="X42" s="23"/>
      <c r="Y42" s="23"/>
      <c r="Z42" s="27"/>
      <c r="AA42" s="23"/>
    </row>
    <row r="43" ht="22.5" customHeight="1">
      <c r="A43" s="22">
        <v>42.0</v>
      </c>
      <c r="B43" s="23"/>
      <c r="C43" s="49"/>
      <c r="D43" s="25"/>
      <c r="E43" s="23"/>
      <c r="F43" s="22"/>
      <c r="G43" s="23"/>
      <c r="H43" s="26" t="str">
        <f>IFERROR(__xludf.DUMMYFUNCTION("IFERROR(GOOGLEFINANCE(""NSE:""&amp;B43,""price""),"""")"),"")</f>
        <v/>
      </c>
      <c r="I43" s="22"/>
      <c r="J43" s="23">
        <f t="shared" si="1"/>
        <v>0</v>
      </c>
      <c r="K43" s="23">
        <f t="shared" si="2"/>
        <v>0</v>
      </c>
      <c r="L43" s="23">
        <f t="shared" si="3"/>
        <v>0</v>
      </c>
      <c r="M43" s="27">
        <f t="shared" si="4"/>
        <v>0</v>
      </c>
      <c r="N43" s="23">
        <f>IFERROR(__xludf.DUMMYFUNCTION("IFERROR(IF(G43&gt;0,0,GOOGLEFINANCE(""NSE:""&amp;B43,""change"")),0)"),0.0)</f>
        <v>0</v>
      </c>
      <c r="O43" s="23">
        <f t="shared" si="5"/>
        <v>0</v>
      </c>
      <c r="P43" s="23">
        <f t="shared" si="6"/>
        <v>0</v>
      </c>
      <c r="Q43" s="27">
        <f t="shared" si="7"/>
        <v>0</v>
      </c>
      <c r="R43" s="23"/>
      <c r="S43" s="23"/>
      <c r="T43" s="23"/>
      <c r="U43" s="23"/>
      <c r="V43" s="23"/>
      <c r="W43" s="23"/>
      <c r="X43" s="23"/>
      <c r="Y43" s="23"/>
      <c r="Z43" s="27"/>
      <c r="AA43" s="23"/>
    </row>
    <row r="44" ht="22.5" customHeight="1">
      <c r="A44" s="22">
        <v>43.0</v>
      </c>
      <c r="B44" s="23"/>
      <c r="C44" s="49"/>
      <c r="D44" s="25"/>
      <c r="E44" s="23"/>
      <c r="F44" s="25"/>
      <c r="G44" s="23"/>
      <c r="H44" s="26" t="str">
        <f>IFERROR(__xludf.DUMMYFUNCTION("IFERROR(GOOGLEFINANCE(""NSE:""&amp;B44,""price""),"""")"),"")</f>
        <v/>
      </c>
      <c r="I44" s="22"/>
      <c r="J44" s="23">
        <f t="shared" si="1"/>
        <v>0</v>
      </c>
      <c r="K44" s="23">
        <f t="shared" si="2"/>
        <v>0</v>
      </c>
      <c r="L44" s="23">
        <f t="shared" si="3"/>
        <v>0</v>
      </c>
      <c r="M44" s="27">
        <f t="shared" si="4"/>
        <v>0</v>
      </c>
      <c r="N44" s="23">
        <f>IFERROR(__xludf.DUMMYFUNCTION("IFERROR(IF(G44&gt;0,0,GOOGLEFINANCE(""NSE:""&amp;B44,""change"")),0)"),0.0)</f>
        <v>0</v>
      </c>
      <c r="O44" s="23">
        <f t="shared" si="5"/>
        <v>0</v>
      </c>
      <c r="P44" s="23">
        <f t="shared" si="6"/>
        <v>0</v>
      </c>
      <c r="Q44" s="27">
        <f t="shared" si="7"/>
        <v>0</v>
      </c>
      <c r="R44" s="23"/>
      <c r="S44" s="23"/>
      <c r="T44" s="23"/>
      <c r="U44" s="23"/>
      <c r="V44" s="23"/>
      <c r="W44" s="23"/>
      <c r="X44" s="23"/>
      <c r="Y44" s="23"/>
      <c r="Z44" s="27"/>
      <c r="AA44" s="23"/>
    </row>
    <row r="45" ht="22.5" customHeight="1">
      <c r="A45" s="22">
        <v>44.0</v>
      </c>
      <c r="B45" s="23"/>
      <c r="C45" s="49"/>
      <c r="D45" s="25"/>
      <c r="E45" s="23"/>
      <c r="F45" s="25"/>
      <c r="G45" s="23"/>
      <c r="H45" s="26" t="str">
        <f>IFERROR(__xludf.DUMMYFUNCTION("IFERROR(GOOGLEFINANCE(""NSE:""&amp;B45,""price""),"""")"),"")</f>
        <v/>
      </c>
      <c r="I45" s="22"/>
      <c r="J45" s="23">
        <f t="shared" si="1"/>
        <v>0</v>
      </c>
      <c r="K45" s="23">
        <f t="shared" si="2"/>
        <v>0</v>
      </c>
      <c r="L45" s="23">
        <f t="shared" si="3"/>
        <v>0</v>
      </c>
      <c r="M45" s="27">
        <f t="shared" si="4"/>
        <v>0</v>
      </c>
      <c r="N45" s="23">
        <f>IFERROR(__xludf.DUMMYFUNCTION("IFERROR(IF(G45&gt;0,0,GOOGLEFINANCE(""NSE:""&amp;B45,""change"")),0)"),0.0)</f>
        <v>0</v>
      </c>
      <c r="O45" s="23">
        <f t="shared" si="5"/>
        <v>0</v>
      </c>
      <c r="P45" s="23">
        <f t="shared" si="6"/>
        <v>0</v>
      </c>
      <c r="Q45" s="27">
        <f t="shared" si="7"/>
        <v>0</v>
      </c>
      <c r="R45" s="23"/>
      <c r="S45" s="23"/>
      <c r="T45" s="23"/>
      <c r="U45" s="23"/>
      <c r="V45" s="23"/>
      <c r="W45" s="23"/>
      <c r="X45" s="23"/>
      <c r="Y45" s="23"/>
      <c r="Z45" s="27"/>
      <c r="AA45" s="23"/>
    </row>
    <row r="46" ht="22.5" customHeight="1">
      <c r="A46" s="22">
        <v>45.0</v>
      </c>
      <c r="B46" s="23"/>
      <c r="C46" s="49"/>
      <c r="D46" s="25"/>
      <c r="E46" s="23"/>
      <c r="F46" s="25"/>
      <c r="G46" s="23"/>
      <c r="H46" s="26" t="str">
        <f>IFERROR(__xludf.DUMMYFUNCTION("IFERROR(GOOGLEFINANCE(""NSE:""&amp;B46,""price""),"""")"),"")</f>
        <v/>
      </c>
      <c r="I46" s="22"/>
      <c r="J46" s="23">
        <f t="shared" si="1"/>
        <v>0</v>
      </c>
      <c r="K46" s="23">
        <f t="shared" si="2"/>
        <v>0</v>
      </c>
      <c r="L46" s="23">
        <f t="shared" si="3"/>
        <v>0</v>
      </c>
      <c r="M46" s="27">
        <f t="shared" si="4"/>
        <v>0</v>
      </c>
      <c r="N46" s="23">
        <f>IFERROR(__xludf.DUMMYFUNCTION("IFERROR(IF(G46&gt;0,0,GOOGLEFINANCE(""NSE:""&amp;B46,""change"")),0)"),0.0)</f>
        <v>0</v>
      </c>
      <c r="O46" s="23">
        <f t="shared" si="5"/>
        <v>0</v>
      </c>
      <c r="P46" s="23">
        <f t="shared" si="6"/>
        <v>0</v>
      </c>
      <c r="Q46" s="27">
        <f t="shared" si="7"/>
        <v>0</v>
      </c>
      <c r="R46" s="23"/>
      <c r="S46" s="23"/>
      <c r="T46" s="23"/>
      <c r="U46" s="23"/>
      <c r="V46" s="23"/>
      <c r="W46" s="23"/>
      <c r="X46" s="23"/>
      <c r="Y46" s="23"/>
      <c r="Z46" s="27"/>
      <c r="AA46" s="23"/>
    </row>
    <row r="47" ht="22.5" customHeight="1">
      <c r="A47" s="22">
        <v>46.0</v>
      </c>
      <c r="B47" s="23"/>
      <c r="C47" s="49"/>
      <c r="D47" s="25"/>
      <c r="E47" s="23"/>
      <c r="F47" s="25"/>
      <c r="G47" s="23"/>
      <c r="H47" s="26" t="str">
        <f>IFERROR(__xludf.DUMMYFUNCTION("IFERROR(GOOGLEFINANCE(""NSE:""&amp;B47,""price""),"""")"),"")</f>
        <v/>
      </c>
      <c r="I47" s="22"/>
      <c r="J47" s="23">
        <f t="shared" si="1"/>
        <v>0</v>
      </c>
      <c r="K47" s="23">
        <f t="shared" si="2"/>
        <v>0</v>
      </c>
      <c r="L47" s="23">
        <f t="shared" si="3"/>
        <v>0</v>
      </c>
      <c r="M47" s="27">
        <f t="shared" si="4"/>
        <v>0</v>
      </c>
      <c r="N47" s="23">
        <f>IFERROR(__xludf.DUMMYFUNCTION("IFERROR(IF(G47&gt;0,0,GOOGLEFINANCE(""NSE:""&amp;B47,""change"")),0)"),0.0)</f>
        <v>0</v>
      </c>
      <c r="O47" s="23">
        <f t="shared" si="5"/>
        <v>0</v>
      </c>
      <c r="P47" s="23">
        <f t="shared" si="6"/>
        <v>0</v>
      </c>
      <c r="Q47" s="27">
        <f t="shared" si="7"/>
        <v>0</v>
      </c>
      <c r="R47" s="23"/>
      <c r="S47" s="23"/>
      <c r="T47" s="23"/>
      <c r="U47" s="23"/>
      <c r="V47" s="23"/>
      <c r="W47" s="23"/>
      <c r="X47" s="23"/>
      <c r="Y47" s="23"/>
      <c r="Z47" s="27"/>
      <c r="AA47" s="23"/>
    </row>
    <row r="48" ht="22.5" customHeight="1">
      <c r="A48" s="22">
        <v>47.0</v>
      </c>
      <c r="B48" s="23"/>
      <c r="C48" s="49"/>
      <c r="D48" s="25"/>
      <c r="E48" s="23"/>
      <c r="F48" s="25"/>
      <c r="G48" s="23"/>
      <c r="H48" s="26" t="str">
        <f>IFERROR(__xludf.DUMMYFUNCTION("IFERROR(GOOGLEFINANCE(""NSE:""&amp;B48,""price""),"""")"),"")</f>
        <v/>
      </c>
      <c r="I48" s="22"/>
      <c r="J48" s="23">
        <f t="shared" si="1"/>
        <v>0</v>
      </c>
      <c r="K48" s="23">
        <f t="shared" si="2"/>
        <v>0</v>
      </c>
      <c r="L48" s="23">
        <f t="shared" si="3"/>
        <v>0</v>
      </c>
      <c r="M48" s="27">
        <f t="shared" si="4"/>
        <v>0</v>
      </c>
      <c r="N48" s="23">
        <f>IFERROR(__xludf.DUMMYFUNCTION("IFERROR(IF(G48&gt;0,0,GOOGLEFINANCE(""NSE:""&amp;B48,""change"")),0)"),0.0)</f>
        <v>0</v>
      </c>
      <c r="O48" s="23">
        <f t="shared" si="5"/>
        <v>0</v>
      </c>
      <c r="P48" s="23">
        <f t="shared" si="6"/>
        <v>0</v>
      </c>
      <c r="Q48" s="27">
        <f t="shared" si="7"/>
        <v>0</v>
      </c>
      <c r="R48" s="23"/>
      <c r="S48" s="23"/>
      <c r="T48" s="23"/>
      <c r="U48" s="23"/>
      <c r="V48" s="23"/>
      <c r="W48" s="23"/>
      <c r="X48" s="23"/>
      <c r="Y48" s="23"/>
      <c r="Z48" s="27"/>
      <c r="AA48" s="23"/>
    </row>
    <row r="49" ht="22.5" customHeight="1">
      <c r="A49" s="22">
        <v>48.0</v>
      </c>
      <c r="B49" s="23"/>
      <c r="C49" s="49"/>
      <c r="D49" s="25"/>
      <c r="E49" s="23"/>
      <c r="F49" s="25"/>
      <c r="G49" s="23"/>
      <c r="H49" s="26" t="str">
        <f>IFERROR(__xludf.DUMMYFUNCTION("IFERROR(GOOGLEFINANCE(""NSE:""&amp;B49,""price""),"""")"),"")</f>
        <v/>
      </c>
      <c r="I49" s="22"/>
      <c r="J49" s="23">
        <f t="shared" si="1"/>
        <v>0</v>
      </c>
      <c r="K49" s="23">
        <f t="shared" si="2"/>
        <v>0</v>
      </c>
      <c r="L49" s="23">
        <f t="shared" si="3"/>
        <v>0</v>
      </c>
      <c r="M49" s="27">
        <f t="shared" si="4"/>
        <v>0</v>
      </c>
      <c r="N49" s="23">
        <f>IFERROR(__xludf.DUMMYFUNCTION("IFERROR(IF(G49&gt;0,0,GOOGLEFINANCE(""NSE:""&amp;B49,""change"")),0)"),0.0)</f>
        <v>0</v>
      </c>
      <c r="O49" s="23">
        <f t="shared" si="5"/>
        <v>0</v>
      </c>
      <c r="P49" s="23">
        <f t="shared" si="6"/>
        <v>0</v>
      </c>
      <c r="Q49" s="27">
        <f t="shared" si="7"/>
        <v>0</v>
      </c>
      <c r="R49" s="23"/>
      <c r="S49" s="23"/>
      <c r="T49" s="23"/>
      <c r="U49" s="23"/>
      <c r="V49" s="23"/>
      <c r="W49" s="23"/>
      <c r="X49" s="23"/>
      <c r="Y49" s="23"/>
      <c r="Z49" s="27"/>
      <c r="AA49" s="23"/>
    </row>
    <row r="50" ht="22.5" customHeight="1">
      <c r="A50" s="22">
        <v>49.0</v>
      </c>
      <c r="B50" s="23"/>
      <c r="C50" s="49"/>
      <c r="D50" s="25"/>
      <c r="E50" s="23"/>
      <c r="F50" s="22"/>
      <c r="G50" s="23"/>
      <c r="H50" s="26" t="str">
        <f>IFERROR(__xludf.DUMMYFUNCTION("IFERROR(GOOGLEFINANCE(""NSE:""&amp;B50,""price""),"""")"),"")</f>
        <v/>
      </c>
      <c r="I50" s="22"/>
      <c r="J50" s="23">
        <f t="shared" si="1"/>
        <v>0</v>
      </c>
      <c r="K50" s="23">
        <f t="shared" si="2"/>
        <v>0</v>
      </c>
      <c r="L50" s="23">
        <f t="shared" si="3"/>
        <v>0</v>
      </c>
      <c r="M50" s="27">
        <f t="shared" si="4"/>
        <v>0</v>
      </c>
      <c r="N50" s="23">
        <f>IFERROR(__xludf.DUMMYFUNCTION("IFERROR(IF(G50&gt;0,0,GOOGLEFINANCE(""NSE:""&amp;B50,""change"")),0)"),0.0)</f>
        <v>0</v>
      </c>
      <c r="O50" s="23">
        <f t="shared" si="5"/>
        <v>0</v>
      </c>
      <c r="P50" s="23">
        <f t="shared" si="6"/>
        <v>0</v>
      </c>
      <c r="Q50" s="27">
        <f t="shared" si="7"/>
        <v>0</v>
      </c>
      <c r="R50" s="23"/>
      <c r="S50" s="23"/>
      <c r="T50" s="23"/>
      <c r="U50" s="23"/>
      <c r="V50" s="23"/>
      <c r="W50" s="23"/>
      <c r="X50" s="23"/>
      <c r="Y50" s="23"/>
      <c r="Z50" s="27"/>
      <c r="AA50" s="23"/>
    </row>
    <row r="51" ht="22.5" customHeight="1">
      <c r="A51" s="22">
        <v>50.0</v>
      </c>
      <c r="B51" s="50"/>
      <c r="C51" s="51"/>
      <c r="D51" s="52"/>
      <c r="E51" s="50"/>
      <c r="F51" s="52"/>
      <c r="G51" s="50"/>
      <c r="H51" s="26" t="str">
        <f>IFERROR(__xludf.DUMMYFUNCTION("IFERROR(GOOGLEFINANCE(""NSE:""&amp;B51,""price""),"""")"),"")</f>
        <v/>
      </c>
      <c r="I51" s="22"/>
      <c r="J51" s="23">
        <f t="shared" si="1"/>
        <v>0</v>
      </c>
      <c r="K51" s="23">
        <f t="shared" si="2"/>
        <v>0</v>
      </c>
      <c r="L51" s="23">
        <f t="shared" si="3"/>
        <v>0</v>
      </c>
      <c r="M51" s="27">
        <f t="shared" si="4"/>
        <v>0</v>
      </c>
      <c r="N51" s="23">
        <f>IFERROR(__xludf.DUMMYFUNCTION("IFERROR(IF(G51&gt;0,0,GOOGLEFINANCE(""NSE:""&amp;B51,""change"")),0)"),0.0)</f>
        <v>0</v>
      </c>
      <c r="O51" s="23">
        <f t="shared" si="5"/>
        <v>0</v>
      </c>
      <c r="P51" s="23">
        <f t="shared" si="6"/>
        <v>0</v>
      </c>
      <c r="Q51" s="27">
        <f t="shared" si="7"/>
        <v>0</v>
      </c>
      <c r="R51" s="23"/>
      <c r="S51" s="23"/>
      <c r="T51" s="23"/>
      <c r="U51" s="23"/>
      <c r="V51" s="23"/>
      <c r="W51" s="23"/>
      <c r="X51" s="23"/>
      <c r="Y51" s="23"/>
      <c r="Z51" s="27"/>
      <c r="AA51" s="23"/>
    </row>
    <row r="52" ht="22.5" customHeight="1">
      <c r="A52" s="22">
        <v>51.0</v>
      </c>
      <c r="B52" s="23"/>
      <c r="C52" s="49"/>
      <c r="D52" s="25"/>
      <c r="E52" s="23"/>
      <c r="F52" s="25"/>
      <c r="G52" s="23"/>
      <c r="H52" s="26" t="str">
        <f>IFERROR(__xludf.DUMMYFUNCTION("IFERROR(GOOGLEFINANCE(""NSE:""&amp;B52,""price""),"""")"),"")</f>
        <v/>
      </c>
      <c r="I52" s="22"/>
      <c r="J52" s="23">
        <f t="shared" si="1"/>
        <v>0</v>
      </c>
      <c r="K52" s="23">
        <f t="shared" si="2"/>
        <v>0</v>
      </c>
      <c r="L52" s="23">
        <f t="shared" si="3"/>
        <v>0</v>
      </c>
      <c r="M52" s="27">
        <f t="shared" si="4"/>
        <v>0</v>
      </c>
      <c r="N52" s="23">
        <f>IFERROR(__xludf.DUMMYFUNCTION("IFERROR(IF(G52&gt;0,0,GOOGLEFINANCE(""NSE:""&amp;B52,""change"")),0)"),0.0)</f>
        <v>0</v>
      </c>
      <c r="O52" s="23">
        <f t="shared" si="5"/>
        <v>0</v>
      </c>
      <c r="P52" s="23">
        <f t="shared" si="6"/>
        <v>0</v>
      </c>
      <c r="Q52" s="27">
        <f t="shared" si="7"/>
        <v>0</v>
      </c>
      <c r="R52" s="23"/>
      <c r="S52" s="23"/>
      <c r="T52" s="23"/>
      <c r="U52" s="23"/>
      <c r="V52" s="23"/>
      <c r="W52" s="23"/>
      <c r="X52" s="23"/>
      <c r="Y52" s="23"/>
      <c r="Z52" s="27"/>
      <c r="AA52" s="23"/>
    </row>
    <row r="53" ht="22.5" customHeight="1">
      <c r="A53" s="22">
        <v>52.0</v>
      </c>
      <c r="B53" s="50"/>
      <c r="C53" s="51"/>
      <c r="D53" s="52"/>
      <c r="E53" s="50"/>
      <c r="F53" s="52"/>
      <c r="G53" s="50"/>
      <c r="H53" s="26" t="str">
        <f>IFERROR(__xludf.DUMMYFUNCTION("IFERROR(GOOGLEFINANCE(""NSE:""&amp;B53,""price""),"""")"),"")</f>
        <v/>
      </c>
      <c r="I53" s="22"/>
      <c r="J53" s="23">
        <f t="shared" si="1"/>
        <v>0</v>
      </c>
      <c r="K53" s="23">
        <f t="shared" si="2"/>
        <v>0</v>
      </c>
      <c r="L53" s="23">
        <f t="shared" si="3"/>
        <v>0</v>
      </c>
      <c r="M53" s="27">
        <f t="shared" si="4"/>
        <v>0</v>
      </c>
      <c r="N53" s="23">
        <f>IFERROR(__xludf.DUMMYFUNCTION("IFERROR(IF(G53&gt;0,0,GOOGLEFINANCE(""NSE:""&amp;B53,""change"")),0)"),0.0)</f>
        <v>0</v>
      </c>
      <c r="O53" s="23">
        <f t="shared" si="5"/>
        <v>0</v>
      </c>
      <c r="P53" s="23">
        <f t="shared" si="6"/>
        <v>0</v>
      </c>
      <c r="Q53" s="27">
        <f t="shared" si="7"/>
        <v>0</v>
      </c>
      <c r="R53" s="50"/>
      <c r="S53" s="50"/>
      <c r="T53" s="50"/>
      <c r="U53" s="50"/>
      <c r="V53" s="50"/>
      <c r="W53" s="50"/>
      <c r="X53" s="50"/>
      <c r="Y53" s="50"/>
      <c r="Z53" s="53"/>
      <c r="AA53" s="50"/>
    </row>
  </sheetData>
  <conditionalFormatting sqref="L2:Q53 Y2:Z53 AI3:AJ14 AM3:AO10 AE4:AE6 AE8:AE10">
    <cfRule type="cellIs" dxfId="0" priority="1" operator="lessThan">
      <formula>0</formula>
    </cfRule>
  </conditionalFormatting>
  <conditionalFormatting sqref="L2:Q53 Y2:Z53 AI3:AJ14 AM3:AO10 AE4:AE6 AE8:AE10">
    <cfRule type="cellIs" dxfId="1" priority="2" operator="greaterThan">
      <formula>0</formula>
    </cfRule>
  </conditionalFormatting>
  <dataValidations>
    <dataValidation type="list" allowBlank="1" sqref="C2:C53">
      <formula1>"DHAN,RAM,KAMAL,ESPRESSO,FYERS,Paytm,ANGELONE"</formula1>
    </dataValidation>
    <dataValidation type="custom" allowBlank="1" showDropDown="1" sqref="D2:D53">
      <formula1>OR(NOT(ISERROR(DATEVALUE(D2))), AND(ISNUMBER(D2), LEFT(CELL("format", D2))="D"))</formula1>
    </dataValidation>
    <dataValidation type="custom" allowBlank="1" showDropDown="1" sqref="E2:E53 G2:H53 J2:Q53">
      <formula1>AND(ISNUMBER(E2),(NOT(OR(NOT(ISERROR(DATEVALUE(E2))), AND(ISNUMBER(E2), LEFT(CELL("format", E2))="D")))))</formula1>
    </dataValidation>
  </dataValidations>
  <drawing r:id="rId4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5.0"/>
    <col customWidth="1" min="4" max="4" width="15.5"/>
    <col customWidth="1" min="5" max="5" width="11.63"/>
    <col customWidth="1" min="6" max="6" width="12.13"/>
    <col customWidth="1" min="7" max="7" width="11.5"/>
    <col customWidth="1" min="8" max="8" width="11.63"/>
    <col customWidth="1" min="9" max="9" width="8.13"/>
    <col customWidth="1" min="10" max="10" width="15.13"/>
    <col customWidth="1" min="11" max="11" width="15.5"/>
    <col customWidth="1" min="12" max="12" width="19.75"/>
    <col customWidth="1" min="13" max="15" width="14.5"/>
    <col customWidth="1" min="16" max="16" width="18.25"/>
    <col customWidth="1" min="17" max="17" width="14.5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25.25"/>
    <col customWidth="1" min="29" max="30" width="17.88"/>
    <col customWidth="1" min="35" max="36" width="13.88"/>
  </cols>
  <sheetData>
    <row r="1" ht="22.5" customHeight="1">
      <c r="A1" s="18" t="s">
        <v>72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6</v>
      </c>
      <c r="M1" s="18" t="s">
        <v>82</v>
      </c>
      <c r="N1" s="18" t="s">
        <v>83</v>
      </c>
      <c r="O1" s="18" t="s">
        <v>84</v>
      </c>
      <c r="P1" s="18" t="s">
        <v>5</v>
      </c>
      <c r="Q1" s="18" t="s">
        <v>85</v>
      </c>
      <c r="R1" s="18" t="s">
        <v>86</v>
      </c>
      <c r="S1" s="18" t="s">
        <v>87</v>
      </c>
      <c r="T1" s="18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18" t="s">
        <v>93</v>
      </c>
      <c r="Z1" s="18" t="s">
        <v>94</v>
      </c>
      <c r="AA1" s="18" t="s">
        <v>95</v>
      </c>
      <c r="AB1" s="19" t="s">
        <v>96</v>
      </c>
      <c r="AC1" s="20"/>
      <c r="AD1" s="21"/>
    </row>
    <row r="2" ht="22.5" customHeight="1">
      <c r="A2" s="22">
        <v>1.0</v>
      </c>
      <c r="B2" s="23" t="s">
        <v>15</v>
      </c>
      <c r="C2" s="24" t="s">
        <v>114</v>
      </c>
      <c r="D2" s="25"/>
      <c r="E2" s="23">
        <v>19.8</v>
      </c>
      <c r="F2" s="25"/>
      <c r="G2" s="23"/>
      <c r="H2" s="26">
        <f>IFERROR(__xludf.DUMMYFUNCTION("IFERROR(GOOGLEFINANCE(""NSE:""&amp;B2,""price""),"""")"),21.49)</f>
        <v>21.49</v>
      </c>
      <c r="I2" s="22">
        <v>328.0</v>
      </c>
      <c r="J2" s="23">
        <f t="shared" ref="J2:J53" si="1">E2*I2</f>
        <v>6494.4</v>
      </c>
      <c r="K2" s="23">
        <f t="shared" ref="K2:K53" si="2">IF(G2&gt;0,(E2+G2)*I2,E2*I2)</f>
        <v>6494.4</v>
      </c>
      <c r="L2" s="23">
        <f t="shared" ref="L2:L53" si="3">IF(G2&gt;0,0,(H2-E2)*I2)</f>
        <v>554.32</v>
      </c>
      <c r="M2" s="27">
        <f t="shared" ref="M2:M53" si="4">IFERROR(IF(G2&gt;0,0,(H2-E2)/E2),0)</f>
        <v>0.08535353535</v>
      </c>
      <c r="N2" s="23">
        <f>IFERROR(__xludf.DUMMYFUNCTION("IFERROR(IF(G2&gt;0,0,GOOGLEFINANCE(""NSE:""&amp;B2,""change"")),)"),0.34)</f>
        <v>0.34</v>
      </c>
      <c r="O2" s="23">
        <f t="shared" ref="O2:O53" si="5">I2*N2</f>
        <v>111.52</v>
      </c>
      <c r="P2" s="23">
        <f t="shared" ref="P2:P53" si="6">IF(G2=0,0,(G2-E2)*I2)</f>
        <v>0</v>
      </c>
      <c r="Q2" s="27">
        <f t="shared" ref="Q2:Q53" si="7">IF(G2&gt;0,(G2-E2)/E2,0)</f>
        <v>0</v>
      </c>
      <c r="R2" s="23">
        <f t="shared" ref="R2:R6" si="8">0.001*K2</f>
        <v>6.4944</v>
      </c>
      <c r="S2" s="23">
        <f t="shared" ref="S2:S6" si="9">0.0000325*K2</f>
        <v>0.211068</v>
      </c>
      <c r="T2" s="23">
        <f t="shared" ref="T2:T9" si="10">0.18*S2</f>
        <v>0.03799224</v>
      </c>
      <c r="U2" s="28">
        <f t="shared" ref="U2:U6" si="11">0.0000005*K2</f>
        <v>0.0032472</v>
      </c>
      <c r="V2" s="23">
        <f t="shared" ref="V2:V9" si="12">R2+S2+T2+U2</f>
        <v>6.74670744</v>
      </c>
      <c r="W2" s="23">
        <f t="shared" ref="W2:W4" si="13">IF(G2&gt;0,15.34,0)</f>
        <v>0</v>
      </c>
      <c r="X2" s="23">
        <f t="shared" ref="X2:X9" si="14">V2+W2</f>
        <v>6.74670744</v>
      </c>
      <c r="Y2" s="23">
        <f t="shared" ref="Y2:Y4" si="15">IF(G2&gt;0,P2-X2,0)</f>
        <v>0</v>
      </c>
      <c r="Z2" s="27">
        <f t="shared" ref="Z2:Z6" si="16">Y2/J2</f>
        <v>0</v>
      </c>
      <c r="AA2" s="29">
        <f>sum($AE$2,Y2)</f>
        <v>50000</v>
      </c>
      <c r="AB2" s="30"/>
      <c r="AC2" s="31"/>
      <c r="AD2" s="32" t="s">
        <v>98</v>
      </c>
      <c r="AE2" s="9">
        <v>50000.0</v>
      </c>
    </row>
    <row r="3" ht="22.5" customHeight="1">
      <c r="A3" s="22">
        <v>2.0</v>
      </c>
      <c r="B3" s="23" t="s">
        <v>34</v>
      </c>
      <c r="C3" s="24" t="s">
        <v>114</v>
      </c>
      <c r="D3" s="25"/>
      <c r="E3" s="23">
        <v>1598.5</v>
      </c>
      <c r="F3" s="25"/>
      <c r="G3" s="23"/>
      <c r="H3" s="26">
        <f>IFERROR(__xludf.DUMMYFUNCTION("IFERROR(GOOGLEFINANCE(""NSE:""&amp;B3,""price""),"""")"),1674.8)</f>
        <v>1674.8</v>
      </c>
      <c r="I3" s="22">
        <v>17.0</v>
      </c>
      <c r="J3" s="23">
        <f t="shared" si="1"/>
        <v>27174.5</v>
      </c>
      <c r="K3" s="23">
        <f t="shared" si="2"/>
        <v>27174.5</v>
      </c>
      <c r="L3" s="23">
        <f t="shared" si="3"/>
        <v>1297.1</v>
      </c>
      <c r="M3" s="27">
        <f t="shared" si="4"/>
        <v>0.04773224898</v>
      </c>
      <c r="N3" s="23">
        <f>IFERROR(__xludf.DUMMYFUNCTION("IFERROR(IF(G3&gt;0,0,GOOGLEFINANCE(""NSE:""&amp;B3,""change"")),0)"),4.5)</f>
        <v>4.5</v>
      </c>
      <c r="O3" s="23">
        <f t="shared" si="5"/>
        <v>76.5</v>
      </c>
      <c r="P3" s="23">
        <f t="shared" si="6"/>
        <v>0</v>
      </c>
      <c r="Q3" s="27">
        <f t="shared" si="7"/>
        <v>0</v>
      </c>
      <c r="R3" s="23">
        <f t="shared" si="8"/>
        <v>27.1745</v>
      </c>
      <c r="S3" s="23">
        <f t="shared" si="9"/>
        <v>0.88317125</v>
      </c>
      <c r="T3" s="23">
        <f t="shared" si="10"/>
        <v>0.158970825</v>
      </c>
      <c r="U3" s="23">
        <f t="shared" si="11"/>
        <v>0.01358725</v>
      </c>
      <c r="V3" s="23">
        <f t="shared" si="12"/>
        <v>28.23022933</v>
      </c>
      <c r="W3" s="23">
        <f t="shared" si="13"/>
        <v>0</v>
      </c>
      <c r="X3" s="23">
        <f t="shared" si="14"/>
        <v>28.23022933</v>
      </c>
      <c r="Y3" s="23">
        <f t="shared" si="15"/>
        <v>0</v>
      </c>
      <c r="Z3" s="27">
        <f t="shared" si="16"/>
        <v>0</v>
      </c>
      <c r="AA3" s="29">
        <f t="shared" ref="AA3:AA9" si="17">sum(AA2,Y3)</f>
        <v>50000</v>
      </c>
      <c r="AB3" s="30"/>
      <c r="AC3" s="31"/>
      <c r="AD3" s="32" t="s">
        <v>99</v>
      </c>
      <c r="AE3" s="33">
        <f>AE2+AE4</f>
        <v>50000</v>
      </c>
    </row>
    <row r="4" ht="22.5" customHeight="1">
      <c r="A4" s="22">
        <v>3.0</v>
      </c>
      <c r="B4" s="23" t="s">
        <v>115</v>
      </c>
      <c r="C4" s="24" t="s">
        <v>114</v>
      </c>
      <c r="D4" s="25"/>
      <c r="E4" s="23">
        <v>763.9</v>
      </c>
      <c r="F4" s="25"/>
      <c r="G4" s="23"/>
      <c r="H4" s="26">
        <f>IFERROR(__xludf.DUMMYFUNCTION("IFERROR(GOOGLEFINANCE(""NSE:""&amp;B4,""price""),"""")"),763.0)</f>
        <v>763</v>
      </c>
      <c r="I4" s="22">
        <v>11.0</v>
      </c>
      <c r="J4" s="23">
        <f t="shared" si="1"/>
        <v>8402.9</v>
      </c>
      <c r="K4" s="23">
        <f t="shared" si="2"/>
        <v>8402.9</v>
      </c>
      <c r="L4" s="23">
        <f t="shared" si="3"/>
        <v>-9.9</v>
      </c>
      <c r="M4" s="27">
        <f t="shared" si="4"/>
        <v>-0.001178164681</v>
      </c>
      <c r="N4" s="23">
        <f>IFERROR(__xludf.DUMMYFUNCTION("IFERROR(IF(G4&gt;0,0,GOOGLEFINANCE(""NSE:""&amp;B4,""change"")),0)"),1.2)</f>
        <v>1.2</v>
      </c>
      <c r="O4" s="23">
        <f t="shared" si="5"/>
        <v>13.2</v>
      </c>
      <c r="P4" s="23">
        <f t="shared" si="6"/>
        <v>0</v>
      </c>
      <c r="Q4" s="27">
        <f t="shared" si="7"/>
        <v>0</v>
      </c>
      <c r="R4" s="23">
        <f t="shared" si="8"/>
        <v>8.4029</v>
      </c>
      <c r="S4" s="23">
        <f t="shared" si="9"/>
        <v>0.27309425</v>
      </c>
      <c r="T4" s="23">
        <f t="shared" si="10"/>
        <v>0.049156965</v>
      </c>
      <c r="U4" s="23">
        <f t="shared" si="11"/>
        <v>0.00420145</v>
      </c>
      <c r="V4" s="23">
        <f t="shared" si="12"/>
        <v>8.729352665</v>
      </c>
      <c r="W4" s="23">
        <f t="shared" si="13"/>
        <v>0</v>
      </c>
      <c r="X4" s="23">
        <f t="shared" si="14"/>
        <v>8.729352665</v>
      </c>
      <c r="Y4" s="23">
        <f t="shared" si="15"/>
        <v>0</v>
      </c>
      <c r="Z4" s="27">
        <f t="shared" si="16"/>
        <v>0</v>
      </c>
      <c r="AA4" s="29">
        <f t="shared" si="17"/>
        <v>50000</v>
      </c>
      <c r="AB4" s="30"/>
      <c r="AC4" s="31"/>
      <c r="AD4" s="32" t="s">
        <v>100</v>
      </c>
      <c r="AE4" s="9">
        <f>sum(P2:P53)</f>
        <v>0</v>
      </c>
    </row>
    <row r="5" ht="22.5" customHeight="1">
      <c r="A5" s="22">
        <v>4.0</v>
      </c>
      <c r="B5" s="23" t="s">
        <v>116</v>
      </c>
      <c r="C5" s="24" t="s">
        <v>114</v>
      </c>
      <c r="D5" s="25"/>
      <c r="E5" s="23">
        <v>31.75</v>
      </c>
      <c r="F5" s="25"/>
      <c r="G5" s="23"/>
      <c r="H5" s="26">
        <f>IFERROR(__xludf.DUMMYFUNCTION("IFERROR(GOOGLEFINANCE(""NSE:""&amp;B5,""price""),"""")"),31.69)</f>
        <v>31.69</v>
      </c>
      <c r="I5" s="22">
        <v>251.0</v>
      </c>
      <c r="J5" s="23">
        <f t="shared" si="1"/>
        <v>7969.25</v>
      </c>
      <c r="K5" s="23">
        <f t="shared" si="2"/>
        <v>7969.25</v>
      </c>
      <c r="L5" s="23">
        <f t="shared" si="3"/>
        <v>-15.06</v>
      </c>
      <c r="M5" s="27">
        <f t="shared" si="4"/>
        <v>-0.00188976378</v>
      </c>
      <c r="N5" s="23">
        <f>IFERROR(__xludf.DUMMYFUNCTION("IFERROR(IF(G5&gt;0,0,GOOGLEFINANCE(""NSE:""&amp;B5,""change"")),0)"),-0.12)</f>
        <v>-0.12</v>
      </c>
      <c r="O5" s="23">
        <f t="shared" si="5"/>
        <v>-30.12</v>
      </c>
      <c r="P5" s="23">
        <f t="shared" si="6"/>
        <v>0</v>
      </c>
      <c r="Q5" s="27">
        <f t="shared" si="7"/>
        <v>0</v>
      </c>
      <c r="R5" s="23">
        <f t="shared" si="8"/>
        <v>7.96925</v>
      </c>
      <c r="S5" s="23">
        <f t="shared" si="9"/>
        <v>0.259000625</v>
      </c>
      <c r="T5" s="23">
        <f t="shared" si="10"/>
        <v>0.0466201125</v>
      </c>
      <c r="U5" s="23">
        <f t="shared" si="11"/>
        <v>0.003984625</v>
      </c>
      <c r="V5" s="23">
        <f t="shared" si="12"/>
        <v>8.278855363</v>
      </c>
      <c r="W5" s="23">
        <f t="shared" ref="W5:W6" si="18">IF(G6&gt;0,15.34,0)</f>
        <v>0</v>
      </c>
      <c r="X5" s="23">
        <f t="shared" si="14"/>
        <v>8.278855363</v>
      </c>
      <c r="Y5" s="23">
        <f t="shared" ref="Y5:Y6" si="19">IF(G6&gt;0,P5-X5,0)</f>
        <v>0</v>
      </c>
      <c r="Z5" s="27">
        <f t="shared" si="16"/>
        <v>0</v>
      </c>
      <c r="AA5" s="29">
        <f t="shared" si="17"/>
        <v>50000</v>
      </c>
      <c r="AB5" s="35" t="s">
        <v>101</v>
      </c>
      <c r="AC5" s="36" t="s">
        <v>102</v>
      </c>
      <c r="AD5" s="32" t="s">
        <v>103</v>
      </c>
      <c r="AE5" s="37">
        <f>AE4/AE2</f>
        <v>0</v>
      </c>
    </row>
    <row r="6" ht="22.5" customHeight="1">
      <c r="A6" s="22">
        <v>5.0</v>
      </c>
      <c r="B6" s="38" t="s">
        <v>117</v>
      </c>
      <c r="C6" s="24" t="s">
        <v>114</v>
      </c>
      <c r="D6" s="25"/>
      <c r="E6" s="23">
        <v>151.87</v>
      </c>
      <c r="F6" s="25"/>
      <c r="G6" s="23"/>
      <c r="H6" s="26">
        <f>IFERROR(__xludf.DUMMYFUNCTION("IFERROR(GOOGLEFINANCE(""NSE:""&amp;B6,""price""),"""")"),203.12)</f>
        <v>203.12</v>
      </c>
      <c r="I6" s="22">
        <v>47.0</v>
      </c>
      <c r="J6" s="23">
        <f t="shared" si="1"/>
        <v>7137.89</v>
      </c>
      <c r="K6" s="23">
        <f t="shared" si="2"/>
        <v>7137.89</v>
      </c>
      <c r="L6" s="23">
        <f t="shared" si="3"/>
        <v>2408.75</v>
      </c>
      <c r="M6" s="27">
        <f t="shared" si="4"/>
        <v>0.3374596695</v>
      </c>
      <c r="N6" s="23">
        <f>IFERROR(__xludf.DUMMYFUNCTION("IFERROR(IF(G6&gt;0,0,GOOGLEFINANCE(""NSE:""&amp;B6,""change"")),0)"),1.84)</f>
        <v>1.84</v>
      </c>
      <c r="O6" s="23">
        <f t="shared" si="5"/>
        <v>86.48</v>
      </c>
      <c r="P6" s="23">
        <f t="shared" si="6"/>
        <v>0</v>
      </c>
      <c r="Q6" s="27">
        <f t="shared" si="7"/>
        <v>0</v>
      </c>
      <c r="R6" s="23">
        <f t="shared" si="8"/>
        <v>7.13789</v>
      </c>
      <c r="S6" s="23">
        <f t="shared" si="9"/>
        <v>0.231981425</v>
      </c>
      <c r="T6" s="23">
        <f t="shared" si="10"/>
        <v>0.0417566565</v>
      </c>
      <c r="U6" s="23">
        <f t="shared" si="11"/>
        <v>0.003568945</v>
      </c>
      <c r="V6" s="23">
        <f t="shared" si="12"/>
        <v>7.415197027</v>
      </c>
      <c r="W6" s="23">
        <f t="shared" si="18"/>
        <v>0</v>
      </c>
      <c r="X6" s="23">
        <f t="shared" si="14"/>
        <v>7.415197027</v>
      </c>
      <c r="Y6" s="23">
        <f t="shared" si="19"/>
        <v>0</v>
      </c>
      <c r="Z6" s="27">
        <f t="shared" si="16"/>
        <v>0</v>
      </c>
      <c r="AA6" s="29">
        <f t="shared" si="17"/>
        <v>50000</v>
      </c>
      <c r="AB6" s="35" t="s">
        <v>101</v>
      </c>
      <c r="AC6" s="31"/>
      <c r="AD6" s="31"/>
      <c r="AE6" s="39"/>
    </row>
    <row r="7" ht="22.5" customHeight="1">
      <c r="A7" s="22">
        <v>6.0</v>
      </c>
      <c r="B7" s="38" t="s">
        <v>27</v>
      </c>
      <c r="C7" s="24" t="s">
        <v>114</v>
      </c>
      <c r="D7" s="25"/>
      <c r="E7" s="23">
        <v>116.64</v>
      </c>
      <c r="F7" s="25"/>
      <c r="G7" s="23"/>
      <c r="H7" s="26">
        <f>IFERROR(__xludf.DUMMYFUNCTION("IFERROR(GOOGLEFINANCE(""NSE:""&amp;B7,""price""),"""")"),116.72)</f>
        <v>116.72</v>
      </c>
      <c r="I7" s="22">
        <v>147.0</v>
      </c>
      <c r="J7" s="23">
        <f t="shared" si="1"/>
        <v>17146.08</v>
      </c>
      <c r="K7" s="23">
        <f t="shared" si="2"/>
        <v>17146.08</v>
      </c>
      <c r="L7" s="23">
        <f t="shared" si="3"/>
        <v>11.76</v>
      </c>
      <c r="M7" s="27">
        <f t="shared" si="4"/>
        <v>0.0006858710562</v>
      </c>
      <c r="N7" s="23">
        <f>IFERROR(__xludf.DUMMYFUNCTION("IFERROR(IF(G7&gt;0,0,GOOGLEFINANCE(""NSE:""&amp;B7,""change"")),0)"),0.58)</f>
        <v>0.58</v>
      </c>
      <c r="O7" s="23">
        <f t="shared" si="5"/>
        <v>85.26</v>
      </c>
      <c r="P7" s="23">
        <f t="shared" si="6"/>
        <v>0</v>
      </c>
      <c r="Q7" s="27">
        <f t="shared" si="7"/>
        <v>0</v>
      </c>
      <c r="R7" s="23" t="str">
        <f t="shared" ref="R7:R9" si="20">0.001*#REF!</f>
        <v>#REF!</v>
      </c>
      <c r="S7" s="23" t="str">
        <f t="shared" ref="S7:S9" si="21">0.0000325*#REF!</f>
        <v>#REF!</v>
      </c>
      <c r="T7" s="23" t="str">
        <f t="shared" si="10"/>
        <v>#REF!</v>
      </c>
      <c r="U7" s="23" t="str">
        <f t="shared" ref="U7:U9" si="22">0.0000005*#REF!</f>
        <v>#REF!</v>
      </c>
      <c r="V7" s="23" t="str">
        <f t="shared" si="12"/>
        <v>#REF!</v>
      </c>
      <c r="W7" s="23" t="str">
        <f t="shared" ref="W7:W9" si="23">IF(#REF!&gt;0,15.34,0)</f>
        <v>#REF!</v>
      </c>
      <c r="X7" s="23" t="str">
        <f t="shared" si="14"/>
        <v>#REF!</v>
      </c>
      <c r="Y7" s="23" t="str">
        <f t="shared" ref="Y7:Y9" si="24">IF(#REF!&gt;0,P7-X7,0)</f>
        <v>#REF!</v>
      </c>
      <c r="Z7" s="27" t="str">
        <f t="shared" ref="Z7:Z9" si="25">Y7/#REF!</f>
        <v>#REF!</v>
      </c>
      <c r="AA7" s="29" t="str">
        <f t="shared" si="17"/>
        <v>#REF!</v>
      </c>
      <c r="AB7" s="35" t="s">
        <v>101</v>
      </c>
      <c r="AC7" s="40" t="s">
        <v>105</v>
      </c>
    </row>
    <row r="8" ht="22.5" customHeight="1">
      <c r="A8" s="22">
        <v>7.0</v>
      </c>
      <c r="B8" s="23" t="s">
        <v>31</v>
      </c>
      <c r="C8" s="24" t="s">
        <v>114</v>
      </c>
      <c r="D8" s="25"/>
      <c r="E8" s="23">
        <v>80.69</v>
      </c>
      <c r="F8" s="25"/>
      <c r="G8" s="23"/>
      <c r="H8" s="26">
        <f>IFERROR(__xludf.DUMMYFUNCTION("IFERROR(GOOGLEFINANCE(""NSE:""&amp;B8,""price""),"""")"),84.9)</f>
        <v>84.9</v>
      </c>
      <c r="I8" s="22">
        <v>25.0</v>
      </c>
      <c r="J8" s="23">
        <f t="shared" si="1"/>
        <v>2017.25</v>
      </c>
      <c r="K8" s="23">
        <f t="shared" si="2"/>
        <v>2017.25</v>
      </c>
      <c r="L8" s="23">
        <f t="shared" si="3"/>
        <v>105.25</v>
      </c>
      <c r="M8" s="27">
        <f t="shared" si="4"/>
        <v>0.05217499071</v>
      </c>
      <c r="N8" s="23">
        <f>IFERROR(__xludf.DUMMYFUNCTION("IFERROR(IF(G8&gt;0,0,GOOGLEFINANCE(""NSE:""&amp;B8,""change"")),0)"),-0.45)</f>
        <v>-0.45</v>
      </c>
      <c r="O8" s="23">
        <f t="shared" si="5"/>
        <v>-11.25</v>
      </c>
      <c r="P8" s="23">
        <f t="shared" si="6"/>
        <v>0</v>
      </c>
      <c r="Q8" s="27">
        <f t="shared" si="7"/>
        <v>0</v>
      </c>
      <c r="R8" s="23" t="str">
        <f t="shared" si="20"/>
        <v>#REF!</v>
      </c>
      <c r="S8" s="23" t="str">
        <f t="shared" si="21"/>
        <v>#REF!</v>
      </c>
      <c r="T8" s="23" t="str">
        <f t="shared" si="10"/>
        <v>#REF!</v>
      </c>
      <c r="U8" s="23" t="str">
        <f t="shared" si="22"/>
        <v>#REF!</v>
      </c>
      <c r="V8" s="23" t="str">
        <f t="shared" si="12"/>
        <v>#REF!</v>
      </c>
      <c r="W8" s="23" t="str">
        <f t="shared" si="23"/>
        <v>#REF!</v>
      </c>
      <c r="X8" s="23" t="str">
        <f t="shared" si="14"/>
        <v>#REF!</v>
      </c>
      <c r="Y8" s="23" t="str">
        <f t="shared" si="24"/>
        <v>#REF!</v>
      </c>
      <c r="Z8" s="27" t="str">
        <f t="shared" si="25"/>
        <v>#REF!</v>
      </c>
      <c r="AA8" s="29" t="str">
        <f t="shared" si="17"/>
        <v>#REF!</v>
      </c>
      <c r="AB8" s="42" t="s">
        <v>107</v>
      </c>
      <c r="AC8" s="40" t="s">
        <v>102</v>
      </c>
    </row>
    <row r="9" ht="22.5" customHeight="1">
      <c r="A9" s="22">
        <v>8.0</v>
      </c>
      <c r="B9" s="23" t="s">
        <v>118</v>
      </c>
      <c r="C9" s="24" t="s">
        <v>114</v>
      </c>
      <c r="D9" s="25"/>
      <c r="E9" s="23">
        <v>1202.55</v>
      </c>
      <c r="F9" s="25"/>
      <c r="G9" s="23"/>
      <c r="H9" s="26">
        <f>IFERROR(__xludf.DUMMYFUNCTION("IFERROR(GOOGLEFINANCE(""NSE:""&amp;B9,""price""),"""")"),1170.2)</f>
        <v>1170.2</v>
      </c>
      <c r="I9" s="22">
        <v>5.0</v>
      </c>
      <c r="J9" s="23">
        <f t="shared" si="1"/>
        <v>6012.75</v>
      </c>
      <c r="K9" s="23">
        <f t="shared" si="2"/>
        <v>6012.75</v>
      </c>
      <c r="L9" s="23">
        <f t="shared" si="3"/>
        <v>-161.75</v>
      </c>
      <c r="M9" s="27">
        <f t="shared" si="4"/>
        <v>-0.02690116835</v>
      </c>
      <c r="N9" s="23">
        <f>IFERROR(__xludf.DUMMYFUNCTION("IFERROR(IF(G9&gt;0,0,GOOGLEFINANCE(""NSE:""&amp;B9,""change"")),0)"),-10.0)</f>
        <v>-10</v>
      </c>
      <c r="O9" s="23">
        <f t="shared" si="5"/>
        <v>-50</v>
      </c>
      <c r="P9" s="23">
        <f t="shared" si="6"/>
        <v>0</v>
      </c>
      <c r="Q9" s="27">
        <f t="shared" si="7"/>
        <v>0</v>
      </c>
      <c r="R9" s="23" t="str">
        <f t="shared" si="20"/>
        <v>#REF!</v>
      </c>
      <c r="S9" s="23" t="str">
        <f t="shared" si="21"/>
        <v>#REF!</v>
      </c>
      <c r="T9" s="23" t="str">
        <f t="shared" si="10"/>
        <v>#REF!</v>
      </c>
      <c r="U9" s="23" t="str">
        <f t="shared" si="22"/>
        <v>#REF!</v>
      </c>
      <c r="V9" s="23" t="str">
        <f t="shared" si="12"/>
        <v>#REF!</v>
      </c>
      <c r="W9" s="23" t="str">
        <f t="shared" si="23"/>
        <v>#REF!</v>
      </c>
      <c r="X9" s="23" t="str">
        <f t="shared" si="14"/>
        <v>#REF!</v>
      </c>
      <c r="Y9" s="23" t="str">
        <f t="shared" si="24"/>
        <v>#REF!</v>
      </c>
      <c r="Z9" s="27" t="str">
        <f t="shared" si="25"/>
        <v>#REF!</v>
      </c>
      <c r="AA9" s="29" t="str">
        <f t="shared" si="17"/>
        <v>#REF!</v>
      </c>
      <c r="AB9" s="42" t="s">
        <v>107</v>
      </c>
      <c r="AC9" s="40" t="s">
        <v>102</v>
      </c>
    </row>
    <row r="10" ht="22.5" customHeight="1">
      <c r="A10" s="22">
        <v>9.0</v>
      </c>
      <c r="B10" s="23" t="s">
        <v>119</v>
      </c>
      <c r="C10" s="24" t="s">
        <v>114</v>
      </c>
      <c r="D10" s="25"/>
      <c r="E10" s="23">
        <v>37.77</v>
      </c>
      <c r="F10" s="25"/>
      <c r="G10" s="23"/>
      <c r="H10" s="26">
        <f>IFERROR(__xludf.DUMMYFUNCTION("IFERROR(GOOGLEFINANCE(""NSE:""&amp;B10,""price""),"""")"),40.99)</f>
        <v>40.99</v>
      </c>
      <c r="I10" s="22">
        <v>80.0</v>
      </c>
      <c r="J10" s="23">
        <f t="shared" si="1"/>
        <v>3021.6</v>
      </c>
      <c r="K10" s="23">
        <f t="shared" si="2"/>
        <v>3021.6</v>
      </c>
      <c r="L10" s="23">
        <f t="shared" si="3"/>
        <v>257.6</v>
      </c>
      <c r="M10" s="27">
        <f t="shared" si="4"/>
        <v>0.08525284617</v>
      </c>
      <c r="N10" s="23">
        <f>IFERROR(__xludf.DUMMYFUNCTION("IFERROR(IF(G10&gt;0,0,GOOGLEFINANCE(""NSE:""&amp;B10,""change"")),0)"),-0.34)</f>
        <v>-0.34</v>
      </c>
      <c r="O10" s="23">
        <f t="shared" si="5"/>
        <v>-27.2</v>
      </c>
      <c r="P10" s="23">
        <f t="shared" si="6"/>
        <v>0</v>
      </c>
      <c r="Q10" s="27">
        <f t="shared" si="7"/>
        <v>0</v>
      </c>
      <c r="R10" s="23"/>
      <c r="S10" s="23"/>
      <c r="T10" s="23"/>
      <c r="U10" s="23"/>
      <c r="V10" s="23"/>
      <c r="W10" s="23"/>
      <c r="X10" s="23"/>
      <c r="Y10" s="23"/>
      <c r="Z10" s="27"/>
      <c r="AA10" s="23"/>
      <c r="AB10" s="42" t="s">
        <v>110</v>
      </c>
      <c r="AC10" s="40" t="s">
        <v>102</v>
      </c>
      <c r="AE10" s="9"/>
    </row>
    <row r="11" ht="22.5" customHeight="1">
      <c r="A11" s="22">
        <v>10.0</v>
      </c>
      <c r="B11" s="44" t="s">
        <v>120</v>
      </c>
      <c r="C11" s="24" t="s">
        <v>114</v>
      </c>
      <c r="D11" s="25"/>
      <c r="E11" s="23">
        <v>33.91</v>
      </c>
      <c r="F11" s="45"/>
      <c r="G11" s="23"/>
      <c r="H11" s="26">
        <f>IFERROR(__xludf.DUMMYFUNCTION("IFERROR(GOOGLEFINANCE(""NSE:""&amp;B11,""price""),"""")"),1.08)</f>
        <v>1.08</v>
      </c>
      <c r="I11" s="22">
        <v>200.0</v>
      </c>
      <c r="J11" s="23">
        <f t="shared" si="1"/>
        <v>6782</v>
      </c>
      <c r="K11" s="23">
        <f t="shared" si="2"/>
        <v>6782</v>
      </c>
      <c r="L11" s="23">
        <f t="shared" si="3"/>
        <v>-6566</v>
      </c>
      <c r="M11" s="27">
        <f t="shared" si="4"/>
        <v>-0.9681509879</v>
      </c>
      <c r="N11" s="23">
        <f>IFERROR(__xludf.DUMMYFUNCTION("IFERROR(IF(G11&gt;0,0,GOOGLEFINANCE(""NSE:""&amp;B11,""change"")),0)"),-0.05)</f>
        <v>-0.05</v>
      </c>
      <c r="O11" s="23">
        <f t="shared" si="5"/>
        <v>-10</v>
      </c>
      <c r="P11" s="23">
        <f t="shared" si="6"/>
        <v>0</v>
      </c>
      <c r="Q11" s="27">
        <f t="shared" si="7"/>
        <v>0</v>
      </c>
      <c r="R11" s="23"/>
      <c r="S11" s="23"/>
      <c r="T11" s="23"/>
      <c r="U11" s="23"/>
      <c r="V11" s="23"/>
      <c r="W11" s="23"/>
      <c r="X11" s="23"/>
      <c r="Y11" s="23"/>
      <c r="Z11" s="27"/>
      <c r="AA11" s="23"/>
      <c r="AC11" s="40" t="s">
        <v>102</v>
      </c>
    </row>
    <row r="12" ht="22.5" customHeight="1">
      <c r="A12" s="22">
        <v>11.0</v>
      </c>
      <c r="B12" s="44" t="s">
        <v>121</v>
      </c>
      <c r="C12" s="24" t="s">
        <v>114</v>
      </c>
      <c r="D12" s="25"/>
      <c r="E12" s="23">
        <v>1154.8</v>
      </c>
      <c r="F12" s="25"/>
      <c r="G12" s="23"/>
      <c r="H12" s="26">
        <f>IFERROR(__xludf.DUMMYFUNCTION("IFERROR(GOOGLEFINANCE(""NSE:""&amp;B12,""price""),"""")"),1185.2)</f>
        <v>1185.2</v>
      </c>
      <c r="I12" s="22">
        <v>12.0</v>
      </c>
      <c r="J12" s="23">
        <f t="shared" si="1"/>
        <v>13857.6</v>
      </c>
      <c r="K12" s="23">
        <f t="shared" si="2"/>
        <v>13857.6</v>
      </c>
      <c r="L12" s="23">
        <f t="shared" si="3"/>
        <v>364.8</v>
      </c>
      <c r="M12" s="27">
        <f t="shared" si="4"/>
        <v>0.02632490475</v>
      </c>
      <c r="N12" s="23">
        <f>IFERROR(__xludf.DUMMYFUNCTION("IFERROR(IF(G12&gt;0,0,GOOGLEFINANCE(""NSE:""&amp;B12,""change"")),0)"),6.4)</f>
        <v>6.4</v>
      </c>
      <c r="O12" s="23">
        <f t="shared" si="5"/>
        <v>76.8</v>
      </c>
      <c r="P12" s="23">
        <f t="shared" si="6"/>
        <v>0</v>
      </c>
      <c r="Q12" s="27">
        <f t="shared" si="7"/>
        <v>0</v>
      </c>
      <c r="R12" s="23"/>
      <c r="S12" s="23"/>
      <c r="T12" s="23"/>
      <c r="U12" s="23"/>
      <c r="V12" s="23"/>
      <c r="W12" s="23"/>
      <c r="X12" s="23"/>
      <c r="Y12" s="23"/>
      <c r="Z12" s="27"/>
      <c r="AA12" s="23"/>
      <c r="AB12" s="42" t="s">
        <v>113</v>
      </c>
    </row>
    <row r="13" ht="22.5" customHeight="1">
      <c r="A13" s="22">
        <v>12.0</v>
      </c>
      <c r="B13" s="47" t="s">
        <v>69</v>
      </c>
      <c r="C13" s="24" t="s">
        <v>114</v>
      </c>
      <c r="D13" s="25"/>
      <c r="E13" s="23">
        <v>179.29</v>
      </c>
      <c r="F13" s="25"/>
      <c r="G13" s="23"/>
      <c r="H13" s="26">
        <f>IFERROR(__xludf.DUMMYFUNCTION("IFERROR(GOOGLEFINANCE(""NSE:""&amp;B13,""price""),"""")"),170.82)</f>
        <v>170.82</v>
      </c>
      <c r="I13" s="22">
        <v>10.0</v>
      </c>
      <c r="J13" s="23">
        <f t="shared" si="1"/>
        <v>1792.9</v>
      </c>
      <c r="K13" s="23">
        <f t="shared" si="2"/>
        <v>1792.9</v>
      </c>
      <c r="L13" s="23">
        <f t="shared" si="3"/>
        <v>-84.7</v>
      </c>
      <c r="M13" s="27">
        <f t="shared" si="4"/>
        <v>-0.0472418986</v>
      </c>
      <c r="N13" s="23">
        <f>IFERROR(__xludf.DUMMYFUNCTION("IFERROR(IF(G13&gt;0,0,GOOGLEFINANCE(""NSE:""&amp;B13,""change"")),0)"),1.6)</f>
        <v>1.6</v>
      </c>
      <c r="O13" s="23">
        <f t="shared" si="5"/>
        <v>16</v>
      </c>
      <c r="P13" s="23">
        <f t="shared" si="6"/>
        <v>0</v>
      </c>
      <c r="Q13" s="27">
        <f t="shared" si="7"/>
        <v>0</v>
      </c>
      <c r="R13" s="23"/>
      <c r="S13" s="23"/>
      <c r="T13" s="23"/>
      <c r="U13" s="23"/>
      <c r="V13" s="23"/>
      <c r="W13" s="23"/>
      <c r="X13" s="23"/>
      <c r="Y13" s="23"/>
      <c r="Z13" s="27"/>
      <c r="AA13" s="23"/>
      <c r="AC13" s="40" t="s">
        <v>102</v>
      </c>
    </row>
    <row r="14" ht="22.5" customHeight="1">
      <c r="A14" s="22">
        <v>13.0</v>
      </c>
      <c r="B14" s="22" t="s">
        <v>42</v>
      </c>
      <c r="C14" s="24" t="s">
        <v>114</v>
      </c>
      <c r="D14" s="25"/>
      <c r="E14" s="23">
        <v>203.32</v>
      </c>
      <c r="F14" s="25"/>
      <c r="G14" s="23"/>
      <c r="H14" s="26">
        <f>IFERROR(__xludf.DUMMYFUNCTION("IFERROR(GOOGLEFINANCE(""NSE:""&amp;B14,""price""),"""")"),425.5)</f>
        <v>425.5</v>
      </c>
      <c r="I14" s="22">
        <v>1.0</v>
      </c>
      <c r="J14" s="23">
        <f t="shared" si="1"/>
        <v>203.32</v>
      </c>
      <c r="K14" s="23">
        <f t="shared" si="2"/>
        <v>203.32</v>
      </c>
      <c r="L14" s="23">
        <f t="shared" si="3"/>
        <v>222.18</v>
      </c>
      <c r="M14" s="27">
        <f t="shared" si="4"/>
        <v>1.092760181</v>
      </c>
      <c r="N14" s="23">
        <f>IFERROR(__xludf.DUMMYFUNCTION("IFERROR(IF(G14&gt;0,0,GOOGLEFINANCE(""NSE:""&amp;B14,""change"")),0)"),13.8)</f>
        <v>13.8</v>
      </c>
      <c r="O14" s="23">
        <f t="shared" si="5"/>
        <v>13.8</v>
      </c>
      <c r="P14" s="23">
        <f t="shared" si="6"/>
        <v>0</v>
      </c>
      <c r="Q14" s="27">
        <f t="shared" si="7"/>
        <v>0</v>
      </c>
      <c r="R14" s="23"/>
      <c r="S14" s="23"/>
      <c r="T14" s="23"/>
      <c r="U14" s="23"/>
      <c r="V14" s="23"/>
      <c r="W14" s="23"/>
      <c r="X14" s="23"/>
      <c r="Y14" s="23"/>
      <c r="Z14" s="27"/>
      <c r="AA14" s="23"/>
    </row>
    <row r="15" ht="22.5" customHeight="1">
      <c r="A15" s="22">
        <v>14.0</v>
      </c>
      <c r="B15" s="44" t="s">
        <v>45</v>
      </c>
      <c r="C15" s="24" t="s">
        <v>114</v>
      </c>
      <c r="D15" s="25"/>
      <c r="E15" s="23">
        <v>449.4</v>
      </c>
      <c r="F15" s="25"/>
      <c r="G15" s="23"/>
      <c r="H15" s="26">
        <f>IFERROR(__xludf.DUMMYFUNCTION("IFERROR(GOOGLEFINANCE(""NSE:""&amp;B15,""price""),"""")"),362.6)</f>
        <v>362.6</v>
      </c>
      <c r="I15" s="22">
        <v>1.0</v>
      </c>
      <c r="J15" s="23">
        <f t="shared" si="1"/>
        <v>449.4</v>
      </c>
      <c r="K15" s="23">
        <f t="shared" si="2"/>
        <v>449.4</v>
      </c>
      <c r="L15" s="23">
        <f t="shared" si="3"/>
        <v>-86.8</v>
      </c>
      <c r="M15" s="27">
        <f t="shared" si="4"/>
        <v>-0.1931464174</v>
      </c>
      <c r="N15" s="23">
        <f>IFERROR(__xludf.DUMMYFUNCTION("IFERROR(IF(G15&gt;0,0,GOOGLEFINANCE(""NSE:""&amp;B15,""change"")),0)"),3.45)</f>
        <v>3.45</v>
      </c>
      <c r="O15" s="23">
        <f t="shared" si="5"/>
        <v>3.45</v>
      </c>
      <c r="P15" s="23">
        <f t="shared" si="6"/>
        <v>0</v>
      </c>
      <c r="Q15" s="27">
        <f t="shared" si="7"/>
        <v>0</v>
      </c>
      <c r="R15" s="23"/>
      <c r="S15" s="23"/>
      <c r="T15" s="23"/>
      <c r="U15" s="23"/>
      <c r="V15" s="23"/>
      <c r="W15" s="23"/>
      <c r="X15" s="23"/>
      <c r="Y15" s="23"/>
      <c r="Z15" s="27"/>
      <c r="AA15" s="23"/>
    </row>
    <row r="16" ht="22.5" customHeight="1">
      <c r="A16" s="22">
        <v>15.0</v>
      </c>
      <c r="B16" s="48"/>
      <c r="C16" s="49"/>
      <c r="D16" s="25"/>
      <c r="E16" s="23"/>
      <c r="F16" s="25"/>
      <c r="G16" s="23"/>
      <c r="H16" s="26" t="str">
        <f>IFERROR(__xludf.DUMMYFUNCTION("IFERROR(GOOGLEFINANCE(""NSE:""&amp;B16,""price""),"""")"),"")</f>
        <v/>
      </c>
      <c r="I16" s="22"/>
      <c r="J16" s="23">
        <f t="shared" si="1"/>
        <v>0</v>
      </c>
      <c r="K16" s="23">
        <f t="shared" si="2"/>
        <v>0</v>
      </c>
      <c r="L16" s="23">
        <f t="shared" si="3"/>
        <v>0</v>
      </c>
      <c r="M16" s="27">
        <f t="shared" si="4"/>
        <v>0</v>
      </c>
      <c r="N16" s="23">
        <f>IFERROR(__xludf.DUMMYFUNCTION("IFERROR(IF(G16&gt;0,0,GOOGLEFINANCE(""NSE:""&amp;B16,""change"")),0)"),0.0)</f>
        <v>0</v>
      </c>
      <c r="O16" s="23">
        <f t="shared" si="5"/>
        <v>0</v>
      </c>
      <c r="P16" s="23">
        <f t="shared" si="6"/>
        <v>0</v>
      </c>
      <c r="Q16" s="27">
        <f t="shared" si="7"/>
        <v>0</v>
      </c>
      <c r="R16" s="23"/>
      <c r="S16" s="23"/>
      <c r="T16" s="23"/>
      <c r="U16" s="23"/>
      <c r="V16" s="23"/>
      <c r="W16" s="23"/>
      <c r="X16" s="23"/>
      <c r="Y16" s="23"/>
      <c r="Z16" s="27"/>
      <c r="AA16" s="23"/>
    </row>
    <row r="17" ht="22.5" customHeight="1">
      <c r="A17" s="22">
        <v>16.0</v>
      </c>
      <c r="B17" s="48"/>
      <c r="C17" s="49"/>
      <c r="D17" s="25"/>
      <c r="E17" s="23"/>
      <c r="F17" s="25"/>
      <c r="G17" s="23"/>
      <c r="H17" s="26" t="str">
        <f>IFERROR(__xludf.DUMMYFUNCTION("IFERROR(GOOGLEFINANCE(""NSE:""&amp;B17,""price""),"""")"),"")</f>
        <v/>
      </c>
      <c r="I17" s="22"/>
      <c r="J17" s="23">
        <f t="shared" si="1"/>
        <v>0</v>
      </c>
      <c r="K17" s="23">
        <f t="shared" si="2"/>
        <v>0</v>
      </c>
      <c r="L17" s="23">
        <f t="shared" si="3"/>
        <v>0</v>
      </c>
      <c r="M17" s="27">
        <f t="shared" si="4"/>
        <v>0</v>
      </c>
      <c r="N17" s="23">
        <f>IFERROR(__xludf.DUMMYFUNCTION("IFERROR(IF(G17&gt;0,0,GOOGLEFINANCE(""NSE:""&amp;B17,""change"")),0)"),0.0)</f>
        <v>0</v>
      </c>
      <c r="O17" s="23">
        <f t="shared" si="5"/>
        <v>0</v>
      </c>
      <c r="P17" s="23">
        <f t="shared" si="6"/>
        <v>0</v>
      </c>
      <c r="Q17" s="27">
        <f t="shared" si="7"/>
        <v>0</v>
      </c>
      <c r="R17" s="23"/>
      <c r="S17" s="23"/>
      <c r="T17" s="23"/>
      <c r="U17" s="23"/>
      <c r="V17" s="23"/>
      <c r="W17" s="23"/>
      <c r="X17" s="23"/>
      <c r="Y17" s="23"/>
      <c r="Z17" s="27"/>
      <c r="AA17" s="23"/>
    </row>
    <row r="18" ht="22.5" customHeight="1">
      <c r="A18" s="22">
        <v>17.0</v>
      </c>
      <c r="B18" s="47"/>
      <c r="C18" s="49"/>
      <c r="D18" s="25"/>
      <c r="E18" s="23"/>
      <c r="F18" s="25"/>
      <c r="G18" s="23"/>
      <c r="H18" s="26" t="str">
        <f>IFERROR(__xludf.DUMMYFUNCTION("IFERROR(GOOGLEFINANCE(""NSE:""&amp;B18,""price""),"""")"),"")</f>
        <v/>
      </c>
      <c r="I18" s="22"/>
      <c r="J18" s="23">
        <f t="shared" si="1"/>
        <v>0</v>
      </c>
      <c r="K18" s="23">
        <f t="shared" si="2"/>
        <v>0</v>
      </c>
      <c r="L18" s="23">
        <f t="shared" si="3"/>
        <v>0</v>
      </c>
      <c r="M18" s="27">
        <f t="shared" si="4"/>
        <v>0</v>
      </c>
      <c r="N18" s="23">
        <f>IFERROR(__xludf.DUMMYFUNCTION("IFERROR(IF(G18&gt;0,0,GOOGLEFINANCE(""NSE:""&amp;B18,""change"")),0)"),0.0)</f>
        <v>0</v>
      </c>
      <c r="O18" s="23">
        <f t="shared" si="5"/>
        <v>0</v>
      </c>
      <c r="P18" s="23">
        <f t="shared" si="6"/>
        <v>0</v>
      </c>
      <c r="Q18" s="27">
        <f t="shared" si="7"/>
        <v>0</v>
      </c>
      <c r="R18" s="23"/>
      <c r="S18" s="23"/>
      <c r="T18" s="23"/>
      <c r="U18" s="23"/>
      <c r="V18" s="23"/>
      <c r="W18" s="23"/>
      <c r="X18" s="23"/>
      <c r="Y18" s="23"/>
      <c r="Z18" s="27"/>
      <c r="AA18" s="23"/>
    </row>
    <row r="19" ht="22.5" customHeight="1">
      <c r="A19" s="22">
        <v>18.0</v>
      </c>
      <c r="B19" s="48"/>
      <c r="C19" s="49"/>
      <c r="D19" s="25"/>
      <c r="E19" s="23"/>
      <c r="F19" s="25"/>
      <c r="G19" s="23"/>
      <c r="H19" s="26" t="str">
        <f>IFERROR(__xludf.DUMMYFUNCTION("IFERROR(GOOGLEFINANCE(""NSE:""&amp;B19,""price""),"""")"),"")</f>
        <v/>
      </c>
      <c r="I19" s="22"/>
      <c r="J19" s="23">
        <f t="shared" si="1"/>
        <v>0</v>
      </c>
      <c r="K19" s="23">
        <f t="shared" si="2"/>
        <v>0</v>
      </c>
      <c r="L19" s="23">
        <f t="shared" si="3"/>
        <v>0</v>
      </c>
      <c r="M19" s="27">
        <f t="shared" si="4"/>
        <v>0</v>
      </c>
      <c r="N19" s="23">
        <f>IFERROR(__xludf.DUMMYFUNCTION("IFERROR(IF(G19&gt;0,0,GOOGLEFINANCE(""NSE:""&amp;B19,""change"")),0)"),0.0)</f>
        <v>0</v>
      </c>
      <c r="O19" s="23">
        <f t="shared" si="5"/>
        <v>0</v>
      </c>
      <c r="P19" s="23">
        <f t="shared" si="6"/>
        <v>0</v>
      </c>
      <c r="Q19" s="27">
        <f t="shared" si="7"/>
        <v>0</v>
      </c>
      <c r="R19" s="23"/>
      <c r="S19" s="23"/>
      <c r="T19" s="23"/>
      <c r="U19" s="23"/>
      <c r="V19" s="23"/>
      <c r="W19" s="23"/>
      <c r="X19" s="23"/>
      <c r="Y19" s="23"/>
      <c r="Z19" s="27"/>
      <c r="AA19" s="23"/>
    </row>
    <row r="20" ht="22.5" customHeight="1">
      <c r="A20" s="22">
        <v>19.0</v>
      </c>
      <c r="B20" s="23"/>
      <c r="C20" s="49"/>
      <c r="D20" s="25"/>
      <c r="E20" s="23"/>
      <c r="F20" s="25"/>
      <c r="G20" s="23"/>
      <c r="H20" s="26" t="str">
        <f>IFERROR(__xludf.DUMMYFUNCTION("IFERROR(GOOGLEFINANCE(""NSE:""&amp;B20,""price""),"""")"),"")</f>
        <v/>
      </c>
      <c r="I20" s="22"/>
      <c r="J20" s="23">
        <f t="shared" si="1"/>
        <v>0</v>
      </c>
      <c r="K20" s="23">
        <f t="shared" si="2"/>
        <v>0</v>
      </c>
      <c r="L20" s="23">
        <f t="shared" si="3"/>
        <v>0</v>
      </c>
      <c r="M20" s="27">
        <f t="shared" si="4"/>
        <v>0</v>
      </c>
      <c r="N20" s="23">
        <f>IFERROR(__xludf.DUMMYFUNCTION("IFERROR(IF(G20&gt;0,0,GOOGLEFINANCE(""NSE:""&amp;B20,""change"")),0)"),0.0)</f>
        <v>0</v>
      </c>
      <c r="O20" s="23">
        <f t="shared" si="5"/>
        <v>0</v>
      </c>
      <c r="P20" s="23">
        <f t="shared" si="6"/>
        <v>0</v>
      </c>
      <c r="Q20" s="27">
        <f t="shared" si="7"/>
        <v>0</v>
      </c>
      <c r="R20" s="23"/>
      <c r="S20" s="23"/>
      <c r="T20" s="23"/>
      <c r="U20" s="23"/>
      <c r="V20" s="23"/>
      <c r="W20" s="23"/>
      <c r="X20" s="23"/>
      <c r="Y20" s="23"/>
      <c r="Z20" s="27"/>
      <c r="AA20" s="23"/>
    </row>
    <row r="21" ht="22.5" customHeight="1">
      <c r="A21" s="22">
        <v>20.0</v>
      </c>
      <c r="B21" s="23"/>
      <c r="C21" s="54"/>
      <c r="D21" s="25"/>
      <c r="E21" s="23"/>
      <c r="F21" s="25"/>
      <c r="G21" s="23"/>
      <c r="H21" s="26" t="str">
        <f>IFERROR(__xludf.DUMMYFUNCTION("IFERROR(GOOGLEFINANCE(""NSE:""&amp;B21,""price""),"""")"),"")</f>
        <v/>
      </c>
      <c r="I21" s="22"/>
      <c r="J21" s="23">
        <f t="shared" si="1"/>
        <v>0</v>
      </c>
      <c r="K21" s="23">
        <f t="shared" si="2"/>
        <v>0</v>
      </c>
      <c r="L21" s="23">
        <f t="shared" si="3"/>
        <v>0</v>
      </c>
      <c r="M21" s="27">
        <f t="shared" si="4"/>
        <v>0</v>
      </c>
      <c r="N21" s="23">
        <f>IFERROR(__xludf.DUMMYFUNCTION("IFERROR(IF(G21&gt;0,0,GOOGLEFINANCE(""NSE:""&amp;B21,""change"")),0)"),0.0)</f>
        <v>0</v>
      </c>
      <c r="O21" s="23">
        <f t="shared" si="5"/>
        <v>0</v>
      </c>
      <c r="P21" s="23">
        <f t="shared" si="6"/>
        <v>0</v>
      </c>
      <c r="Q21" s="27">
        <f t="shared" si="7"/>
        <v>0</v>
      </c>
      <c r="R21" s="23"/>
      <c r="S21" s="23"/>
      <c r="T21" s="23"/>
      <c r="U21" s="23"/>
      <c r="V21" s="23"/>
      <c r="W21" s="23"/>
      <c r="X21" s="23"/>
      <c r="Y21" s="23"/>
      <c r="Z21" s="27"/>
      <c r="AA21" s="23"/>
    </row>
    <row r="22" ht="22.5" customHeight="1">
      <c r="A22" s="22">
        <v>21.0</v>
      </c>
      <c r="B22" s="23"/>
      <c r="C22" s="49"/>
      <c r="D22" s="25"/>
      <c r="E22" s="23"/>
      <c r="F22" s="25"/>
      <c r="G22" s="23"/>
      <c r="H22" s="26" t="str">
        <f>IFERROR(__xludf.DUMMYFUNCTION("IFERROR(GOOGLEFINANCE(""NSE:""&amp;B22,""price""),"""")"),"")</f>
        <v/>
      </c>
      <c r="I22" s="22"/>
      <c r="J22" s="23">
        <f t="shared" si="1"/>
        <v>0</v>
      </c>
      <c r="K22" s="23">
        <f t="shared" si="2"/>
        <v>0</v>
      </c>
      <c r="L22" s="23">
        <f t="shared" si="3"/>
        <v>0</v>
      </c>
      <c r="M22" s="27">
        <f t="shared" si="4"/>
        <v>0</v>
      </c>
      <c r="N22" s="23">
        <f>IFERROR(__xludf.DUMMYFUNCTION("IFERROR(IF(G22&gt;0,0,GOOGLEFINANCE(""NSE:""&amp;B22,""change"")),0)"),0.0)</f>
        <v>0</v>
      </c>
      <c r="O22" s="23">
        <f t="shared" si="5"/>
        <v>0</v>
      </c>
      <c r="P22" s="23">
        <f t="shared" si="6"/>
        <v>0</v>
      </c>
      <c r="Q22" s="27">
        <f t="shared" si="7"/>
        <v>0</v>
      </c>
      <c r="R22" s="23"/>
      <c r="S22" s="23"/>
      <c r="T22" s="23"/>
      <c r="U22" s="23"/>
      <c r="V22" s="23"/>
      <c r="W22" s="23"/>
      <c r="X22" s="23"/>
      <c r="Y22" s="23"/>
      <c r="Z22" s="27"/>
      <c r="AA22" s="23"/>
    </row>
    <row r="23" ht="22.5" customHeight="1">
      <c r="A23" s="22">
        <v>22.0</v>
      </c>
      <c r="B23" s="23"/>
      <c r="C23" s="49"/>
      <c r="D23" s="25"/>
      <c r="E23" s="23"/>
      <c r="F23" s="25"/>
      <c r="G23" s="23"/>
      <c r="H23" s="26" t="str">
        <f>IFERROR(__xludf.DUMMYFUNCTION("IFERROR(GOOGLEFINANCE(""NSE:""&amp;B23,""price""),"""")"),"")</f>
        <v/>
      </c>
      <c r="I23" s="22"/>
      <c r="J23" s="23">
        <f t="shared" si="1"/>
        <v>0</v>
      </c>
      <c r="K23" s="23">
        <f t="shared" si="2"/>
        <v>0</v>
      </c>
      <c r="L23" s="23">
        <f t="shared" si="3"/>
        <v>0</v>
      </c>
      <c r="M23" s="27">
        <f t="shared" si="4"/>
        <v>0</v>
      </c>
      <c r="N23" s="23">
        <f>IFERROR(__xludf.DUMMYFUNCTION("IFERROR(IF(G23&gt;0,0,GOOGLEFINANCE(""NSE:""&amp;B23,""change"")),0)"),0.0)</f>
        <v>0</v>
      </c>
      <c r="O23" s="23">
        <f t="shared" si="5"/>
        <v>0</v>
      </c>
      <c r="P23" s="23">
        <f t="shared" si="6"/>
        <v>0</v>
      </c>
      <c r="Q23" s="27">
        <f t="shared" si="7"/>
        <v>0</v>
      </c>
      <c r="R23" s="23"/>
      <c r="S23" s="23"/>
      <c r="T23" s="23"/>
      <c r="U23" s="23"/>
      <c r="V23" s="23"/>
      <c r="W23" s="23"/>
      <c r="X23" s="23"/>
      <c r="Y23" s="23"/>
      <c r="Z23" s="27"/>
      <c r="AA23" s="23"/>
    </row>
    <row r="24" ht="22.5" customHeight="1">
      <c r="A24" s="22">
        <v>23.0</v>
      </c>
      <c r="B24" s="23"/>
      <c r="C24" s="54"/>
      <c r="D24" s="25"/>
      <c r="E24" s="23"/>
      <c r="F24" s="25"/>
      <c r="G24" s="23"/>
      <c r="H24" s="26" t="str">
        <f>IFERROR(__xludf.DUMMYFUNCTION("IFERROR(GOOGLEFINANCE(""NSE:""&amp;B24,""price""),"""")"),"")</f>
        <v/>
      </c>
      <c r="I24" s="22"/>
      <c r="J24" s="23">
        <f t="shared" si="1"/>
        <v>0</v>
      </c>
      <c r="K24" s="23">
        <f t="shared" si="2"/>
        <v>0</v>
      </c>
      <c r="L24" s="23">
        <f t="shared" si="3"/>
        <v>0</v>
      </c>
      <c r="M24" s="27">
        <f t="shared" si="4"/>
        <v>0</v>
      </c>
      <c r="N24" s="23">
        <f>IFERROR(__xludf.DUMMYFUNCTION("IFERROR(IF(G24&gt;0,0,GOOGLEFINANCE(""NSE:""&amp;B24,""change"")),0)"),0.0)</f>
        <v>0</v>
      </c>
      <c r="O24" s="23">
        <f t="shared" si="5"/>
        <v>0</v>
      </c>
      <c r="P24" s="23">
        <f t="shared" si="6"/>
        <v>0</v>
      </c>
      <c r="Q24" s="27">
        <f t="shared" si="7"/>
        <v>0</v>
      </c>
      <c r="R24" s="23"/>
      <c r="S24" s="23"/>
      <c r="T24" s="23"/>
      <c r="U24" s="23"/>
      <c r="V24" s="23"/>
      <c r="W24" s="23"/>
      <c r="X24" s="23"/>
      <c r="Y24" s="23"/>
      <c r="Z24" s="27"/>
      <c r="AA24" s="23"/>
    </row>
    <row r="25" ht="22.5" customHeight="1">
      <c r="A25" s="22">
        <v>24.0</v>
      </c>
      <c r="B25" s="23"/>
      <c r="C25" s="49"/>
      <c r="D25" s="25"/>
      <c r="E25" s="23"/>
      <c r="F25" s="25"/>
      <c r="G25" s="23"/>
      <c r="H25" s="26" t="str">
        <f>IFERROR(__xludf.DUMMYFUNCTION("IFERROR(GOOGLEFINANCE(""NSE:""&amp;B25,""price""),"""")"),"")</f>
        <v/>
      </c>
      <c r="I25" s="22"/>
      <c r="J25" s="23">
        <f t="shared" si="1"/>
        <v>0</v>
      </c>
      <c r="K25" s="23">
        <f t="shared" si="2"/>
        <v>0</v>
      </c>
      <c r="L25" s="23">
        <f t="shared" si="3"/>
        <v>0</v>
      </c>
      <c r="M25" s="27">
        <f t="shared" si="4"/>
        <v>0</v>
      </c>
      <c r="N25" s="23">
        <f>IFERROR(__xludf.DUMMYFUNCTION("IFERROR(IF(G25&gt;0,0,GOOGLEFINANCE(""NSE:""&amp;B25,""change"")),0)"),0.0)</f>
        <v>0</v>
      </c>
      <c r="O25" s="23">
        <f t="shared" si="5"/>
        <v>0</v>
      </c>
      <c r="P25" s="23">
        <f t="shared" si="6"/>
        <v>0</v>
      </c>
      <c r="Q25" s="27">
        <f t="shared" si="7"/>
        <v>0</v>
      </c>
      <c r="R25" s="23"/>
      <c r="S25" s="23"/>
      <c r="T25" s="23"/>
      <c r="U25" s="23"/>
      <c r="V25" s="23"/>
      <c r="W25" s="23"/>
      <c r="X25" s="23"/>
      <c r="Y25" s="23"/>
      <c r="Z25" s="27"/>
      <c r="AA25" s="23"/>
      <c r="AL25" s="8"/>
    </row>
    <row r="26" ht="22.5" customHeight="1">
      <c r="A26" s="22">
        <v>25.0</v>
      </c>
      <c r="B26" s="23"/>
      <c r="C26" s="49"/>
      <c r="D26" s="25"/>
      <c r="E26" s="23"/>
      <c r="F26" s="25"/>
      <c r="G26" s="23"/>
      <c r="H26" s="26" t="str">
        <f>IFERROR(__xludf.DUMMYFUNCTION("IFERROR(GOOGLEFINANCE(""NSE:""&amp;B26,""price""),"""")"),"")</f>
        <v/>
      </c>
      <c r="I26" s="22"/>
      <c r="J26" s="23">
        <f t="shared" si="1"/>
        <v>0</v>
      </c>
      <c r="K26" s="23">
        <f t="shared" si="2"/>
        <v>0</v>
      </c>
      <c r="L26" s="23">
        <f t="shared" si="3"/>
        <v>0</v>
      </c>
      <c r="M26" s="27">
        <f t="shared" si="4"/>
        <v>0</v>
      </c>
      <c r="N26" s="23">
        <f>IFERROR(__xludf.DUMMYFUNCTION("IFERROR(IF(G26&gt;0,0,GOOGLEFINANCE(""NSE:""&amp;B26,""change"")),0)"),0.0)</f>
        <v>0</v>
      </c>
      <c r="O26" s="23">
        <f t="shared" si="5"/>
        <v>0</v>
      </c>
      <c r="P26" s="23">
        <f t="shared" si="6"/>
        <v>0</v>
      </c>
      <c r="Q26" s="27">
        <f t="shared" si="7"/>
        <v>0</v>
      </c>
      <c r="R26" s="23"/>
      <c r="S26" s="23"/>
      <c r="T26" s="23"/>
      <c r="U26" s="23"/>
      <c r="V26" s="23"/>
      <c r="W26" s="23"/>
      <c r="X26" s="23"/>
      <c r="Y26" s="23"/>
      <c r="Z26" s="27"/>
      <c r="AA26" s="23"/>
    </row>
    <row r="27" ht="22.5" customHeight="1">
      <c r="A27" s="22">
        <v>26.0</v>
      </c>
      <c r="B27" s="23"/>
      <c r="C27" s="49"/>
      <c r="D27" s="25"/>
      <c r="E27" s="23"/>
      <c r="F27" s="25"/>
      <c r="G27" s="23"/>
      <c r="H27" s="26" t="str">
        <f>IFERROR(__xludf.DUMMYFUNCTION("IFERROR(GOOGLEFINANCE(""NSE:""&amp;B27,""price""),"""")"),"")</f>
        <v/>
      </c>
      <c r="I27" s="22"/>
      <c r="J27" s="23">
        <f t="shared" si="1"/>
        <v>0</v>
      </c>
      <c r="K27" s="23">
        <f t="shared" si="2"/>
        <v>0</v>
      </c>
      <c r="L27" s="23">
        <f t="shared" si="3"/>
        <v>0</v>
      </c>
      <c r="M27" s="27">
        <f t="shared" si="4"/>
        <v>0</v>
      </c>
      <c r="N27" s="23">
        <f>IFERROR(__xludf.DUMMYFUNCTION("IFERROR(IF(G27&gt;0,0,GOOGLEFINANCE(""NSE:""&amp;B27,""change"")),0)"),0.0)</f>
        <v>0</v>
      </c>
      <c r="O27" s="23">
        <f t="shared" si="5"/>
        <v>0</v>
      </c>
      <c r="P27" s="23">
        <f t="shared" si="6"/>
        <v>0</v>
      </c>
      <c r="Q27" s="27">
        <f t="shared" si="7"/>
        <v>0</v>
      </c>
      <c r="R27" s="23"/>
      <c r="S27" s="23"/>
      <c r="T27" s="23"/>
      <c r="U27" s="23"/>
      <c r="V27" s="23"/>
      <c r="W27" s="23"/>
      <c r="X27" s="23"/>
      <c r="Y27" s="23"/>
      <c r="Z27" s="27"/>
      <c r="AA27" s="23"/>
    </row>
    <row r="28" ht="22.5" customHeight="1">
      <c r="A28" s="22">
        <v>27.0</v>
      </c>
      <c r="B28" s="23"/>
      <c r="C28" s="49"/>
      <c r="D28" s="25"/>
      <c r="E28" s="23"/>
      <c r="F28" s="25"/>
      <c r="G28" s="23"/>
      <c r="H28" s="26" t="str">
        <f>IFERROR(__xludf.DUMMYFUNCTION("IFERROR(GOOGLEFINANCE(""NSE:""&amp;B28,""price""),"""")"),"")</f>
        <v/>
      </c>
      <c r="I28" s="22"/>
      <c r="J28" s="23">
        <f t="shared" si="1"/>
        <v>0</v>
      </c>
      <c r="K28" s="23">
        <f t="shared" si="2"/>
        <v>0</v>
      </c>
      <c r="L28" s="23">
        <f t="shared" si="3"/>
        <v>0</v>
      </c>
      <c r="M28" s="27">
        <f t="shared" si="4"/>
        <v>0</v>
      </c>
      <c r="N28" s="23">
        <f>IFERROR(__xludf.DUMMYFUNCTION("IFERROR(IF(G28&gt;0,0,GOOGLEFINANCE(""NSE:""&amp;B28,""change"")),0)"),0.0)</f>
        <v>0</v>
      </c>
      <c r="O28" s="23">
        <f t="shared" si="5"/>
        <v>0</v>
      </c>
      <c r="P28" s="23">
        <f t="shared" si="6"/>
        <v>0</v>
      </c>
      <c r="Q28" s="27">
        <f t="shared" si="7"/>
        <v>0</v>
      </c>
      <c r="R28" s="23"/>
      <c r="S28" s="23"/>
      <c r="T28" s="23"/>
      <c r="U28" s="23"/>
      <c r="V28" s="23"/>
      <c r="W28" s="23"/>
      <c r="X28" s="23"/>
      <c r="Y28" s="23"/>
      <c r="Z28" s="27"/>
      <c r="AA28" s="23"/>
    </row>
    <row r="29" ht="22.5" customHeight="1">
      <c r="A29" s="22">
        <v>28.0</v>
      </c>
      <c r="B29" s="23"/>
      <c r="C29" s="49"/>
      <c r="D29" s="25"/>
      <c r="E29" s="23"/>
      <c r="F29" s="25"/>
      <c r="G29" s="23"/>
      <c r="H29" s="26" t="str">
        <f>IFERROR(__xludf.DUMMYFUNCTION("IFERROR(GOOGLEFINANCE(""NSE:""&amp;B29,""price""),"""")"),"")</f>
        <v/>
      </c>
      <c r="I29" s="22"/>
      <c r="J29" s="23">
        <f t="shared" si="1"/>
        <v>0</v>
      </c>
      <c r="K29" s="23">
        <f t="shared" si="2"/>
        <v>0</v>
      </c>
      <c r="L29" s="23">
        <f t="shared" si="3"/>
        <v>0</v>
      </c>
      <c r="M29" s="27">
        <f t="shared" si="4"/>
        <v>0</v>
      </c>
      <c r="N29" s="23">
        <f>IFERROR(__xludf.DUMMYFUNCTION("IFERROR(IF(G29&gt;0,0,GOOGLEFINANCE(""NSE:""&amp;B29,""change"")),0)"),0.0)</f>
        <v>0</v>
      </c>
      <c r="O29" s="23">
        <f t="shared" si="5"/>
        <v>0</v>
      </c>
      <c r="P29" s="23">
        <f t="shared" si="6"/>
        <v>0</v>
      </c>
      <c r="Q29" s="27">
        <f t="shared" si="7"/>
        <v>0</v>
      </c>
      <c r="R29" s="23"/>
      <c r="S29" s="23"/>
      <c r="T29" s="23"/>
      <c r="U29" s="23"/>
      <c r="V29" s="23"/>
      <c r="W29" s="23"/>
      <c r="X29" s="23"/>
      <c r="Y29" s="23"/>
      <c r="Z29" s="27"/>
      <c r="AA29" s="23"/>
    </row>
    <row r="30" ht="22.5" customHeight="1">
      <c r="A30" s="22">
        <v>29.0</v>
      </c>
      <c r="B30" s="23"/>
      <c r="C30" s="49"/>
      <c r="D30" s="25"/>
      <c r="E30" s="23"/>
      <c r="F30" s="25"/>
      <c r="G30" s="23"/>
      <c r="H30" s="26" t="str">
        <f>IFERROR(__xludf.DUMMYFUNCTION("IFERROR(GOOGLEFINANCE(""NSE:""&amp;B30,""price""),"""")"),"")</f>
        <v/>
      </c>
      <c r="I30" s="22"/>
      <c r="J30" s="23">
        <f t="shared" si="1"/>
        <v>0</v>
      </c>
      <c r="K30" s="23">
        <f t="shared" si="2"/>
        <v>0</v>
      </c>
      <c r="L30" s="23">
        <f t="shared" si="3"/>
        <v>0</v>
      </c>
      <c r="M30" s="27">
        <f t="shared" si="4"/>
        <v>0</v>
      </c>
      <c r="N30" s="23">
        <f>IFERROR(__xludf.DUMMYFUNCTION("IFERROR(IF(G30&gt;0,0,GOOGLEFINANCE(""NSE:""&amp;B30,""change"")),0)"),0.0)</f>
        <v>0</v>
      </c>
      <c r="O30" s="23">
        <f t="shared" si="5"/>
        <v>0</v>
      </c>
      <c r="P30" s="23">
        <f t="shared" si="6"/>
        <v>0</v>
      </c>
      <c r="Q30" s="27">
        <f t="shared" si="7"/>
        <v>0</v>
      </c>
      <c r="R30" s="23"/>
      <c r="S30" s="23"/>
      <c r="T30" s="23"/>
      <c r="U30" s="23"/>
      <c r="V30" s="23"/>
      <c r="W30" s="23"/>
      <c r="X30" s="23"/>
      <c r="Y30" s="23"/>
      <c r="Z30" s="27"/>
      <c r="AA30" s="23"/>
    </row>
    <row r="31" ht="22.5" customHeight="1">
      <c r="A31" s="22">
        <v>30.0</v>
      </c>
      <c r="B31" s="23"/>
      <c r="C31" s="49"/>
      <c r="D31" s="25"/>
      <c r="E31" s="23"/>
      <c r="F31" s="25"/>
      <c r="G31" s="23"/>
      <c r="H31" s="26" t="str">
        <f>IFERROR(__xludf.DUMMYFUNCTION("IFERROR(GOOGLEFINANCE(""NSE:""&amp;B31,""price""),"""")"),"")</f>
        <v/>
      </c>
      <c r="I31" s="22"/>
      <c r="J31" s="23">
        <f t="shared" si="1"/>
        <v>0</v>
      </c>
      <c r="K31" s="23">
        <f t="shared" si="2"/>
        <v>0</v>
      </c>
      <c r="L31" s="23">
        <f t="shared" si="3"/>
        <v>0</v>
      </c>
      <c r="M31" s="27">
        <f t="shared" si="4"/>
        <v>0</v>
      </c>
      <c r="N31" s="23">
        <f>IFERROR(__xludf.DUMMYFUNCTION("IFERROR(IF(G31&gt;0,0,GOOGLEFINANCE(""NSE:""&amp;B31,""change"")),0)"),0.0)</f>
        <v>0</v>
      </c>
      <c r="O31" s="23">
        <f t="shared" si="5"/>
        <v>0</v>
      </c>
      <c r="P31" s="23">
        <f t="shared" si="6"/>
        <v>0</v>
      </c>
      <c r="Q31" s="27">
        <f t="shared" si="7"/>
        <v>0</v>
      </c>
      <c r="R31" s="23"/>
      <c r="S31" s="23"/>
      <c r="T31" s="23"/>
      <c r="U31" s="23"/>
      <c r="V31" s="23"/>
      <c r="W31" s="23"/>
      <c r="X31" s="23"/>
      <c r="Y31" s="23"/>
      <c r="Z31" s="27"/>
      <c r="AA31" s="23"/>
    </row>
    <row r="32" ht="22.5" customHeight="1">
      <c r="A32" s="22">
        <v>31.0</v>
      </c>
      <c r="B32" s="23"/>
      <c r="C32" s="49"/>
      <c r="D32" s="25"/>
      <c r="E32" s="23"/>
      <c r="F32" s="25"/>
      <c r="G32" s="23"/>
      <c r="H32" s="26" t="str">
        <f>IFERROR(__xludf.DUMMYFUNCTION("IFERROR(GOOGLEFINANCE(""NSE:""&amp;B32,""price""),"""")"),"")</f>
        <v/>
      </c>
      <c r="I32" s="22"/>
      <c r="J32" s="23">
        <f t="shared" si="1"/>
        <v>0</v>
      </c>
      <c r="K32" s="23">
        <f t="shared" si="2"/>
        <v>0</v>
      </c>
      <c r="L32" s="23">
        <f t="shared" si="3"/>
        <v>0</v>
      </c>
      <c r="M32" s="27">
        <f t="shared" si="4"/>
        <v>0</v>
      </c>
      <c r="N32" s="23">
        <f>IFERROR(__xludf.DUMMYFUNCTION("IFERROR(IF(G32&gt;0,0,GOOGLEFINANCE(""NSE:""&amp;B32,""change"")),0)"),0.0)</f>
        <v>0</v>
      </c>
      <c r="O32" s="23">
        <f t="shared" si="5"/>
        <v>0</v>
      </c>
      <c r="P32" s="23">
        <f t="shared" si="6"/>
        <v>0</v>
      </c>
      <c r="Q32" s="27">
        <f t="shared" si="7"/>
        <v>0</v>
      </c>
      <c r="R32" s="23"/>
      <c r="S32" s="23"/>
      <c r="T32" s="23"/>
      <c r="U32" s="23"/>
      <c r="V32" s="23"/>
      <c r="W32" s="23"/>
      <c r="X32" s="23"/>
      <c r="Y32" s="23"/>
      <c r="Z32" s="27"/>
      <c r="AA32" s="23"/>
    </row>
    <row r="33" ht="22.5" customHeight="1">
      <c r="A33" s="22">
        <v>32.0</v>
      </c>
      <c r="B33" s="23"/>
      <c r="C33" s="49"/>
      <c r="D33" s="25"/>
      <c r="E33" s="23"/>
      <c r="F33" s="25"/>
      <c r="G33" s="23"/>
      <c r="H33" s="26" t="str">
        <f>IFERROR(__xludf.DUMMYFUNCTION("IFERROR(GOOGLEFINANCE(""NSE:""&amp;B33,""price""),"""")"),"")</f>
        <v/>
      </c>
      <c r="I33" s="22"/>
      <c r="J33" s="23">
        <f t="shared" si="1"/>
        <v>0</v>
      </c>
      <c r="K33" s="23">
        <f t="shared" si="2"/>
        <v>0</v>
      </c>
      <c r="L33" s="23">
        <f t="shared" si="3"/>
        <v>0</v>
      </c>
      <c r="M33" s="27">
        <f t="shared" si="4"/>
        <v>0</v>
      </c>
      <c r="N33" s="23">
        <f>IFERROR(__xludf.DUMMYFUNCTION("IFERROR(IF(G33&gt;0,0,GOOGLEFINANCE(""NSE:""&amp;B33,""change"")),0)"),0.0)</f>
        <v>0</v>
      </c>
      <c r="O33" s="23">
        <f t="shared" si="5"/>
        <v>0</v>
      </c>
      <c r="P33" s="23">
        <f t="shared" si="6"/>
        <v>0</v>
      </c>
      <c r="Q33" s="27">
        <f t="shared" si="7"/>
        <v>0</v>
      </c>
    </row>
    <row r="34" ht="22.5" customHeight="1">
      <c r="A34" s="22">
        <v>33.0</v>
      </c>
      <c r="B34" s="23"/>
      <c r="C34" s="49"/>
      <c r="D34" s="25"/>
      <c r="E34" s="23"/>
      <c r="F34" s="25"/>
      <c r="G34" s="23"/>
      <c r="H34" s="26" t="str">
        <f>IFERROR(__xludf.DUMMYFUNCTION("IFERROR(GOOGLEFINANCE(""NSE:""&amp;B34,""price""),"""")"),"")</f>
        <v/>
      </c>
      <c r="I34" s="22"/>
      <c r="J34" s="23">
        <f t="shared" si="1"/>
        <v>0</v>
      </c>
      <c r="K34" s="23">
        <f t="shared" si="2"/>
        <v>0</v>
      </c>
      <c r="L34" s="23">
        <f t="shared" si="3"/>
        <v>0</v>
      </c>
      <c r="M34" s="27">
        <f t="shared" si="4"/>
        <v>0</v>
      </c>
      <c r="N34" s="23">
        <f>IFERROR(__xludf.DUMMYFUNCTION("IFERROR(IF(G34&gt;0,0,GOOGLEFINANCE(""NSE:""&amp;B34,""change"")),0)"),0.0)</f>
        <v>0</v>
      </c>
      <c r="O34" s="23">
        <f t="shared" si="5"/>
        <v>0</v>
      </c>
      <c r="P34" s="23">
        <f t="shared" si="6"/>
        <v>0</v>
      </c>
      <c r="Q34" s="27">
        <f t="shared" si="7"/>
        <v>0</v>
      </c>
      <c r="R34" s="23"/>
      <c r="S34" s="23"/>
      <c r="T34" s="23"/>
      <c r="U34" s="23"/>
      <c r="V34" s="23"/>
      <c r="W34" s="23"/>
      <c r="X34" s="23"/>
      <c r="Y34" s="23"/>
      <c r="Z34" s="27"/>
      <c r="AA34" s="23"/>
    </row>
    <row r="35" ht="22.5" customHeight="1">
      <c r="A35" s="22">
        <v>34.0</v>
      </c>
      <c r="B35" s="23"/>
      <c r="C35" s="49"/>
      <c r="D35" s="25"/>
      <c r="E35" s="23"/>
      <c r="F35" s="25"/>
      <c r="G35" s="23"/>
      <c r="H35" s="26" t="str">
        <f>IFERROR(__xludf.DUMMYFUNCTION("IFERROR(GOOGLEFINANCE(""NSE:""&amp;B35,""price""),"""")"),"")</f>
        <v/>
      </c>
      <c r="I35" s="22"/>
      <c r="J35" s="23">
        <f t="shared" si="1"/>
        <v>0</v>
      </c>
      <c r="K35" s="23">
        <f t="shared" si="2"/>
        <v>0</v>
      </c>
      <c r="L35" s="23">
        <f t="shared" si="3"/>
        <v>0</v>
      </c>
      <c r="M35" s="27">
        <f t="shared" si="4"/>
        <v>0</v>
      </c>
      <c r="N35" s="23">
        <f>IFERROR(__xludf.DUMMYFUNCTION("IFERROR(IF(G35&gt;0,0,GOOGLEFINANCE(""NSE:""&amp;B35,""change"")),0)"),0.0)</f>
        <v>0</v>
      </c>
      <c r="O35" s="23">
        <f t="shared" si="5"/>
        <v>0</v>
      </c>
      <c r="P35" s="23">
        <f t="shared" si="6"/>
        <v>0</v>
      </c>
      <c r="Q35" s="27">
        <f t="shared" si="7"/>
        <v>0</v>
      </c>
      <c r="R35" s="23"/>
      <c r="S35" s="23"/>
      <c r="T35" s="23"/>
      <c r="U35" s="23"/>
      <c r="V35" s="23"/>
      <c r="W35" s="23"/>
      <c r="X35" s="23"/>
      <c r="Y35" s="23"/>
      <c r="Z35" s="27"/>
      <c r="AA35" s="23"/>
    </row>
    <row r="36" ht="22.5" customHeight="1">
      <c r="A36" s="22">
        <v>35.0</v>
      </c>
      <c r="B36" s="23"/>
      <c r="C36" s="49"/>
      <c r="D36" s="25"/>
      <c r="E36" s="23"/>
      <c r="F36" s="25"/>
      <c r="G36" s="23"/>
      <c r="H36" s="26" t="str">
        <f>IFERROR(__xludf.DUMMYFUNCTION("IFERROR(GOOGLEFINANCE(""NSE:""&amp;B36,""price""),"""")"),"")</f>
        <v/>
      </c>
      <c r="I36" s="22"/>
      <c r="J36" s="23">
        <f t="shared" si="1"/>
        <v>0</v>
      </c>
      <c r="K36" s="23">
        <f t="shared" si="2"/>
        <v>0</v>
      </c>
      <c r="L36" s="23">
        <f t="shared" si="3"/>
        <v>0</v>
      </c>
      <c r="M36" s="27">
        <f t="shared" si="4"/>
        <v>0</v>
      </c>
      <c r="N36" s="23">
        <f>IFERROR(__xludf.DUMMYFUNCTION("IFERROR(IF(G36&gt;0,0,GOOGLEFINANCE(""NSE:""&amp;B36,""change"")),0)"),0.0)</f>
        <v>0</v>
      </c>
      <c r="O36" s="23">
        <f t="shared" si="5"/>
        <v>0</v>
      </c>
      <c r="P36" s="23">
        <f t="shared" si="6"/>
        <v>0</v>
      </c>
      <c r="Q36" s="27">
        <f t="shared" si="7"/>
        <v>0</v>
      </c>
      <c r="R36" s="23"/>
      <c r="S36" s="23"/>
      <c r="T36" s="23"/>
      <c r="U36" s="23"/>
      <c r="V36" s="23"/>
      <c r="W36" s="23"/>
      <c r="X36" s="23"/>
      <c r="Y36" s="23"/>
      <c r="Z36" s="27"/>
      <c r="AA36" s="23"/>
    </row>
    <row r="37" ht="22.5" customHeight="1">
      <c r="A37" s="22">
        <v>36.0</v>
      </c>
      <c r="B37" s="23"/>
      <c r="C37" s="49"/>
      <c r="D37" s="25"/>
      <c r="E37" s="23"/>
      <c r="F37" s="25"/>
      <c r="G37" s="23"/>
      <c r="H37" s="26" t="str">
        <f>IFERROR(__xludf.DUMMYFUNCTION("IFERROR(GOOGLEFINANCE(""NSE:""&amp;B37,""price""),"""")"),"")</f>
        <v/>
      </c>
      <c r="I37" s="22"/>
      <c r="J37" s="23">
        <f t="shared" si="1"/>
        <v>0</v>
      </c>
      <c r="K37" s="23">
        <f t="shared" si="2"/>
        <v>0</v>
      </c>
      <c r="L37" s="23">
        <f t="shared" si="3"/>
        <v>0</v>
      </c>
      <c r="M37" s="27">
        <f t="shared" si="4"/>
        <v>0</v>
      </c>
      <c r="N37" s="23">
        <f>IFERROR(__xludf.DUMMYFUNCTION("IFERROR(IF(G37&gt;0,0,GOOGLEFINANCE(""NSE:""&amp;B37,""change"")),0)"),0.0)</f>
        <v>0</v>
      </c>
      <c r="O37" s="23">
        <f t="shared" si="5"/>
        <v>0</v>
      </c>
      <c r="P37" s="23">
        <f t="shared" si="6"/>
        <v>0</v>
      </c>
      <c r="Q37" s="27">
        <f t="shared" si="7"/>
        <v>0</v>
      </c>
      <c r="R37" s="23"/>
      <c r="S37" s="23"/>
      <c r="T37" s="23"/>
      <c r="U37" s="23"/>
      <c r="V37" s="23"/>
      <c r="W37" s="23"/>
      <c r="X37" s="23"/>
      <c r="Y37" s="23"/>
      <c r="Z37" s="27"/>
      <c r="AA37" s="23"/>
    </row>
    <row r="38" ht="22.5" customHeight="1">
      <c r="A38" s="22">
        <v>37.0</v>
      </c>
      <c r="B38" s="23"/>
      <c r="C38" s="49"/>
      <c r="D38" s="25"/>
      <c r="E38" s="23"/>
      <c r="F38" s="25"/>
      <c r="G38" s="23"/>
      <c r="H38" s="26" t="str">
        <f>IFERROR(__xludf.DUMMYFUNCTION("IFERROR(GOOGLEFINANCE(""NSE:""&amp;B38,""price""),"""")"),"")</f>
        <v/>
      </c>
      <c r="I38" s="22"/>
      <c r="J38" s="23">
        <f t="shared" si="1"/>
        <v>0</v>
      </c>
      <c r="K38" s="23">
        <f t="shared" si="2"/>
        <v>0</v>
      </c>
      <c r="L38" s="23">
        <f t="shared" si="3"/>
        <v>0</v>
      </c>
      <c r="M38" s="27">
        <f t="shared" si="4"/>
        <v>0</v>
      </c>
      <c r="N38" s="23">
        <f>IFERROR(__xludf.DUMMYFUNCTION("IFERROR(IF(G38&gt;0,0,GOOGLEFINANCE(""NSE:""&amp;B38,""change"")),0)"),0.0)</f>
        <v>0</v>
      </c>
      <c r="O38" s="23">
        <f t="shared" si="5"/>
        <v>0</v>
      </c>
      <c r="P38" s="23">
        <f t="shared" si="6"/>
        <v>0</v>
      </c>
      <c r="Q38" s="27">
        <f t="shared" si="7"/>
        <v>0</v>
      </c>
      <c r="R38" s="23"/>
      <c r="S38" s="23"/>
      <c r="T38" s="23"/>
      <c r="U38" s="23"/>
      <c r="V38" s="23"/>
      <c r="W38" s="23"/>
      <c r="X38" s="23"/>
      <c r="Y38" s="23"/>
      <c r="Z38" s="27"/>
      <c r="AA38" s="23"/>
    </row>
    <row r="39" ht="22.5" customHeight="1">
      <c r="A39" s="22">
        <v>38.0</v>
      </c>
      <c r="B39" s="23"/>
      <c r="C39" s="49"/>
      <c r="D39" s="25"/>
      <c r="E39" s="23"/>
      <c r="F39" s="25"/>
      <c r="G39" s="23"/>
      <c r="H39" s="26" t="str">
        <f>IFERROR(__xludf.DUMMYFUNCTION("IFERROR(GOOGLEFINANCE(""NSE:""&amp;B39,""price""),"""")"),"")</f>
        <v/>
      </c>
      <c r="I39" s="22"/>
      <c r="J39" s="23">
        <f t="shared" si="1"/>
        <v>0</v>
      </c>
      <c r="K39" s="23">
        <f t="shared" si="2"/>
        <v>0</v>
      </c>
      <c r="L39" s="23">
        <f t="shared" si="3"/>
        <v>0</v>
      </c>
      <c r="M39" s="27">
        <f t="shared" si="4"/>
        <v>0</v>
      </c>
      <c r="N39" s="23">
        <f>IFERROR(__xludf.DUMMYFUNCTION("IFERROR(IF(G39&gt;0,0,GOOGLEFINANCE(""NSE:""&amp;B39,""change"")),0)"),0.0)</f>
        <v>0</v>
      </c>
      <c r="O39" s="23">
        <f t="shared" si="5"/>
        <v>0</v>
      </c>
      <c r="P39" s="23">
        <f t="shared" si="6"/>
        <v>0</v>
      </c>
      <c r="Q39" s="27">
        <f t="shared" si="7"/>
        <v>0</v>
      </c>
      <c r="R39" s="23"/>
      <c r="S39" s="23"/>
      <c r="T39" s="23"/>
      <c r="U39" s="23"/>
      <c r="V39" s="23"/>
      <c r="W39" s="23"/>
      <c r="X39" s="23"/>
      <c r="Y39" s="23"/>
      <c r="Z39" s="27"/>
      <c r="AA39" s="23"/>
    </row>
    <row r="40" ht="22.5" customHeight="1">
      <c r="A40" s="22">
        <v>39.0</v>
      </c>
      <c r="B40" s="23"/>
      <c r="C40" s="49"/>
      <c r="D40" s="25"/>
      <c r="E40" s="23"/>
      <c r="F40" s="25"/>
      <c r="G40" s="23"/>
      <c r="H40" s="26" t="str">
        <f>IFERROR(__xludf.DUMMYFUNCTION("IFERROR(GOOGLEFINANCE(""NSE:""&amp;B40,""price""),"""")"),"")</f>
        <v/>
      </c>
      <c r="I40" s="22"/>
      <c r="J40" s="23">
        <f t="shared" si="1"/>
        <v>0</v>
      </c>
      <c r="K40" s="23">
        <f t="shared" si="2"/>
        <v>0</v>
      </c>
      <c r="L40" s="23">
        <f t="shared" si="3"/>
        <v>0</v>
      </c>
      <c r="M40" s="27">
        <f t="shared" si="4"/>
        <v>0</v>
      </c>
      <c r="N40" s="23">
        <f>IFERROR(__xludf.DUMMYFUNCTION("IFERROR(IF(G40&gt;0,0,GOOGLEFINANCE(""NSE:""&amp;B40,""change"")),0)"),0.0)</f>
        <v>0</v>
      </c>
      <c r="O40" s="23">
        <f t="shared" si="5"/>
        <v>0</v>
      </c>
      <c r="P40" s="23">
        <f t="shared" si="6"/>
        <v>0</v>
      </c>
      <c r="Q40" s="27">
        <f t="shared" si="7"/>
        <v>0</v>
      </c>
      <c r="R40" s="23"/>
      <c r="S40" s="23"/>
      <c r="T40" s="23"/>
      <c r="U40" s="23"/>
      <c r="V40" s="23"/>
      <c r="W40" s="23"/>
      <c r="X40" s="23"/>
      <c r="Y40" s="23"/>
      <c r="Z40" s="27"/>
      <c r="AA40" s="23"/>
    </row>
    <row r="41" ht="22.5" customHeight="1">
      <c r="A41" s="22">
        <v>40.0</v>
      </c>
      <c r="B41" s="23"/>
      <c r="C41" s="49"/>
      <c r="D41" s="25"/>
      <c r="E41" s="23"/>
      <c r="F41" s="25"/>
      <c r="G41" s="23"/>
      <c r="H41" s="26" t="str">
        <f>IFERROR(__xludf.DUMMYFUNCTION("IFERROR(GOOGLEFINANCE(""NSE:""&amp;B41,""price""),"""")"),"")</f>
        <v/>
      </c>
      <c r="I41" s="22"/>
      <c r="J41" s="23">
        <f t="shared" si="1"/>
        <v>0</v>
      </c>
      <c r="K41" s="23">
        <f t="shared" si="2"/>
        <v>0</v>
      </c>
      <c r="L41" s="23">
        <f t="shared" si="3"/>
        <v>0</v>
      </c>
      <c r="M41" s="27">
        <f t="shared" si="4"/>
        <v>0</v>
      </c>
      <c r="N41" s="23">
        <f>IFERROR(__xludf.DUMMYFUNCTION("IFERROR(IF(G41&gt;0,0,GOOGLEFINANCE(""NSE:""&amp;B41,""change"")),0)"),0.0)</f>
        <v>0</v>
      </c>
      <c r="O41" s="23">
        <f t="shared" si="5"/>
        <v>0</v>
      </c>
      <c r="P41" s="23">
        <f t="shared" si="6"/>
        <v>0</v>
      </c>
      <c r="Q41" s="27">
        <f t="shared" si="7"/>
        <v>0</v>
      </c>
      <c r="R41" s="23"/>
      <c r="S41" s="23"/>
      <c r="T41" s="23"/>
      <c r="U41" s="23"/>
      <c r="V41" s="23"/>
      <c r="W41" s="23"/>
      <c r="X41" s="23"/>
      <c r="Y41" s="23"/>
      <c r="Z41" s="27"/>
      <c r="AA41" s="23"/>
    </row>
    <row r="42" ht="22.5" customHeight="1">
      <c r="A42" s="22">
        <v>41.0</v>
      </c>
      <c r="B42" s="23"/>
      <c r="C42" s="49"/>
      <c r="D42" s="25"/>
      <c r="E42" s="23"/>
      <c r="F42" s="25"/>
      <c r="G42" s="23"/>
      <c r="H42" s="26" t="str">
        <f>IFERROR(__xludf.DUMMYFUNCTION("IFERROR(GOOGLEFINANCE(""NSE:""&amp;B42,""price""),"""")"),"")</f>
        <v/>
      </c>
      <c r="I42" s="22"/>
      <c r="J42" s="23">
        <f t="shared" si="1"/>
        <v>0</v>
      </c>
      <c r="K42" s="23">
        <f t="shared" si="2"/>
        <v>0</v>
      </c>
      <c r="L42" s="23">
        <f t="shared" si="3"/>
        <v>0</v>
      </c>
      <c r="M42" s="27">
        <f t="shared" si="4"/>
        <v>0</v>
      </c>
      <c r="N42" s="23">
        <f>IFERROR(__xludf.DUMMYFUNCTION("IFERROR(IF(G42&gt;0,0,GOOGLEFINANCE(""NSE:""&amp;B42,""change"")),0)"),0.0)</f>
        <v>0</v>
      </c>
      <c r="O42" s="23">
        <f t="shared" si="5"/>
        <v>0</v>
      </c>
      <c r="P42" s="23">
        <f t="shared" si="6"/>
        <v>0</v>
      </c>
      <c r="Q42" s="27">
        <f t="shared" si="7"/>
        <v>0</v>
      </c>
      <c r="R42" s="23"/>
      <c r="S42" s="23"/>
      <c r="T42" s="23"/>
      <c r="U42" s="23"/>
      <c r="V42" s="23"/>
      <c r="W42" s="23"/>
      <c r="X42" s="23"/>
      <c r="Y42" s="23"/>
      <c r="Z42" s="27"/>
      <c r="AA42" s="23"/>
    </row>
    <row r="43" ht="22.5" customHeight="1">
      <c r="A43" s="22">
        <v>42.0</v>
      </c>
      <c r="B43" s="23"/>
      <c r="C43" s="49"/>
      <c r="D43" s="25"/>
      <c r="E43" s="23"/>
      <c r="F43" s="22"/>
      <c r="G43" s="23"/>
      <c r="H43" s="26" t="str">
        <f>IFERROR(__xludf.DUMMYFUNCTION("IFERROR(GOOGLEFINANCE(""NSE:""&amp;B43,""price""),"""")"),"")</f>
        <v/>
      </c>
      <c r="I43" s="22"/>
      <c r="J43" s="23">
        <f t="shared" si="1"/>
        <v>0</v>
      </c>
      <c r="K43" s="23">
        <f t="shared" si="2"/>
        <v>0</v>
      </c>
      <c r="L43" s="23">
        <f t="shared" si="3"/>
        <v>0</v>
      </c>
      <c r="M43" s="27">
        <f t="shared" si="4"/>
        <v>0</v>
      </c>
      <c r="N43" s="23">
        <f>IFERROR(__xludf.DUMMYFUNCTION("IFERROR(IF(G43&gt;0,0,GOOGLEFINANCE(""NSE:""&amp;B43,""change"")),0)"),0.0)</f>
        <v>0</v>
      </c>
      <c r="O43" s="23">
        <f t="shared" si="5"/>
        <v>0</v>
      </c>
      <c r="P43" s="23">
        <f t="shared" si="6"/>
        <v>0</v>
      </c>
      <c r="Q43" s="27">
        <f t="shared" si="7"/>
        <v>0</v>
      </c>
      <c r="R43" s="23"/>
      <c r="S43" s="23"/>
      <c r="T43" s="23"/>
      <c r="U43" s="23"/>
      <c r="V43" s="23"/>
      <c r="W43" s="23"/>
      <c r="X43" s="23"/>
      <c r="Y43" s="23"/>
      <c r="Z43" s="27"/>
      <c r="AA43" s="23"/>
    </row>
    <row r="44" ht="22.5" customHeight="1">
      <c r="A44" s="22">
        <v>43.0</v>
      </c>
      <c r="B44" s="23"/>
      <c r="C44" s="49"/>
      <c r="D44" s="25"/>
      <c r="E44" s="23"/>
      <c r="F44" s="25"/>
      <c r="G44" s="23"/>
      <c r="H44" s="26" t="str">
        <f>IFERROR(__xludf.DUMMYFUNCTION("IFERROR(GOOGLEFINANCE(""NSE:""&amp;B44,""price""),"""")"),"")</f>
        <v/>
      </c>
      <c r="I44" s="22"/>
      <c r="J44" s="23">
        <f t="shared" si="1"/>
        <v>0</v>
      </c>
      <c r="K44" s="23">
        <f t="shared" si="2"/>
        <v>0</v>
      </c>
      <c r="L44" s="23">
        <f t="shared" si="3"/>
        <v>0</v>
      </c>
      <c r="M44" s="27">
        <f t="shared" si="4"/>
        <v>0</v>
      </c>
      <c r="N44" s="23">
        <f>IFERROR(__xludf.DUMMYFUNCTION("IFERROR(IF(G44&gt;0,0,GOOGLEFINANCE(""NSE:""&amp;B44,""change"")),0)"),0.0)</f>
        <v>0</v>
      </c>
      <c r="O44" s="23">
        <f t="shared" si="5"/>
        <v>0</v>
      </c>
      <c r="P44" s="23">
        <f t="shared" si="6"/>
        <v>0</v>
      </c>
      <c r="Q44" s="27">
        <f t="shared" si="7"/>
        <v>0</v>
      </c>
      <c r="R44" s="23"/>
      <c r="S44" s="23"/>
      <c r="T44" s="23"/>
      <c r="U44" s="23"/>
      <c r="V44" s="23"/>
      <c r="W44" s="23"/>
      <c r="X44" s="23"/>
      <c r="Y44" s="23"/>
      <c r="Z44" s="27"/>
      <c r="AA44" s="23"/>
    </row>
    <row r="45" ht="22.5" customHeight="1">
      <c r="A45" s="22">
        <v>44.0</v>
      </c>
      <c r="B45" s="23"/>
      <c r="C45" s="49"/>
      <c r="D45" s="25"/>
      <c r="E45" s="23"/>
      <c r="F45" s="25"/>
      <c r="G45" s="23"/>
      <c r="H45" s="26" t="str">
        <f>IFERROR(__xludf.DUMMYFUNCTION("IFERROR(GOOGLEFINANCE(""NSE:""&amp;B45,""price""),"""")"),"")</f>
        <v/>
      </c>
      <c r="I45" s="22"/>
      <c r="J45" s="23">
        <f t="shared" si="1"/>
        <v>0</v>
      </c>
      <c r="K45" s="23">
        <f t="shared" si="2"/>
        <v>0</v>
      </c>
      <c r="L45" s="23">
        <f t="shared" si="3"/>
        <v>0</v>
      </c>
      <c r="M45" s="27">
        <f t="shared" si="4"/>
        <v>0</v>
      </c>
      <c r="N45" s="23">
        <f>IFERROR(__xludf.DUMMYFUNCTION("IFERROR(IF(G45&gt;0,0,GOOGLEFINANCE(""NSE:""&amp;B45,""change"")),0)"),0.0)</f>
        <v>0</v>
      </c>
      <c r="O45" s="23">
        <f t="shared" si="5"/>
        <v>0</v>
      </c>
      <c r="P45" s="23">
        <f t="shared" si="6"/>
        <v>0</v>
      </c>
      <c r="Q45" s="27">
        <f t="shared" si="7"/>
        <v>0</v>
      </c>
      <c r="R45" s="23"/>
      <c r="S45" s="23"/>
      <c r="T45" s="23"/>
      <c r="U45" s="23"/>
      <c r="V45" s="23"/>
      <c r="W45" s="23"/>
      <c r="X45" s="23"/>
      <c r="Y45" s="23"/>
      <c r="Z45" s="27"/>
      <c r="AA45" s="23"/>
    </row>
    <row r="46" ht="22.5" customHeight="1">
      <c r="A46" s="22">
        <v>45.0</v>
      </c>
      <c r="B46" s="23"/>
      <c r="C46" s="49"/>
      <c r="D46" s="25"/>
      <c r="E46" s="23"/>
      <c r="F46" s="25"/>
      <c r="G46" s="23"/>
      <c r="H46" s="26" t="str">
        <f>IFERROR(__xludf.DUMMYFUNCTION("IFERROR(GOOGLEFINANCE(""NSE:""&amp;B46,""price""),"""")"),"")</f>
        <v/>
      </c>
      <c r="I46" s="22"/>
      <c r="J46" s="23">
        <f t="shared" si="1"/>
        <v>0</v>
      </c>
      <c r="K46" s="23">
        <f t="shared" si="2"/>
        <v>0</v>
      </c>
      <c r="L46" s="23">
        <f t="shared" si="3"/>
        <v>0</v>
      </c>
      <c r="M46" s="27">
        <f t="shared" si="4"/>
        <v>0</v>
      </c>
      <c r="N46" s="23">
        <f>IFERROR(__xludf.DUMMYFUNCTION("IFERROR(IF(G46&gt;0,0,GOOGLEFINANCE(""NSE:""&amp;B46,""change"")),0)"),0.0)</f>
        <v>0</v>
      </c>
      <c r="O46" s="23">
        <f t="shared" si="5"/>
        <v>0</v>
      </c>
      <c r="P46" s="23">
        <f t="shared" si="6"/>
        <v>0</v>
      </c>
      <c r="Q46" s="27">
        <f t="shared" si="7"/>
        <v>0</v>
      </c>
      <c r="R46" s="23"/>
      <c r="S46" s="23"/>
      <c r="T46" s="23"/>
      <c r="U46" s="23"/>
      <c r="V46" s="23"/>
      <c r="W46" s="23"/>
      <c r="X46" s="23"/>
      <c r="Y46" s="23"/>
      <c r="Z46" s="27"/>
      <c r="AA46" s="23"/>
    </row>
    <row r="47" ht="22.5" customHeight="1">
      <c r="A47" s="22">
        <v>46.0</v>
      </c>
      <c r="B47" s="23"/>
      <c r="C47" s="49"/>
      <c r="D47" s="25"/>
      <c r="E47" s="23"/>
      <c r="F47" s="25"/>
      <c r="G47" s="23"/>
      <c r="H47" s="26" t="str">
        <f>IFERROR(__xludf.DUMMYFUNCTION("IFERROR(GOOGLEFINANCE(""NSE:""&amp;B47,""price""),"""")"),"")</f>
        <v/>
      </c>
      <c r="I47" s="22"/>
      <c r="J47" s="23">
        <f t="shared" si="1"/>
        <v>0</v>
      </c>
      <c r="K47" s="23">
        <f t="shared" si="2"/>
        <v>0</v>
      </c>
      <c r="L47" s="23">
        <f t="shared" si="3"/>
        <v>0</v>
      </c>
      <c r="M47" s="27">
        <f t="shared" si="4"/>
        <v>0</v>
      </c>
      <c r="N47" s="23">
        <f>IFERROR(__xludf.DUMMYFUNCTION("IFERROR(IF(G47&gt;0,0,GOOGLEFINANCE(""NSE:""&amp;B47,""change"")),0)"),0.0)</f>
        <v>0</v>
      </c>
      <c r="O47" s="23">
        <f t="shared" si="5"/>
        <v>0</v>
      </c>
      <c r="P47" s="23">
        <f t="shared" si="6"/>
        <v>0</v>
      </c>
      <c r="Q47" s="27">
        <f t="shared" si="7"/>
        <v>0</v>
      </c>
      <c r="R47" s="23"/>
      <c r="S47" s="23"/>
      <c r="T47" s="23"/>
      <c r="U47" s="23"/>
      <c r="V47" s="23"/>
      <c r="W47" s="23"/>
      <c r="X47" s="23"/>
      <c r="Y47" s="23"/>
      <c r="Z47" s="27"/>
      <c r="AA47" s="23"/>
    </row>
    <row r="48" ht="22.5" customHeight="1">
      <c r="A48" s="22">
        <v>47.0</v>
      </c>
      <c r="B48" s="23"/>
      <c r="C48" s="49"/>
      <c r="D48" s="25"/>
      <c r="E48" s="23"/>
      <c r="F48" s="25"/>
      <c r="G48" s="23"/>
      <c r="H48" s="26" t="str">
        <f>IFERROR(__xludf.DUMMYFUNCTION("IFERROR(GOOGLEFINANCE(""NSE:""&amp;B48,""price""),"""")"),"")</f>
        <v/>
      </c>
      <c r="I48" s="22"/>
      <c r="J48" s="23">
        <f t="shared" si="1"/>
        <v>0</v>
      </c>
      <c r="K48" s="23">
        <f t="shared" si="2"/>
        <v>0</v>
      </c>
      <c r="L48" s="23">
        <f t="shared" si="3"/>
        <v>0</v>
      </c>
      <c r="M48" s="27">
        <f t="shared" si="4"/>
        <v>0</v>
      </c>
      <c r="N48" s="23">
        <f>IFERROR(__xludf.DUMMYFUNCTION("IFERROR(IF(G48&gt;0,0,GOOGLEFINANCE(""NSE:""&amp;B48,""change"")),0)"),0.0)</f>
        <v>0</v>
      </c>
      <c r="O48" s="23">
        <f t="shared" si="5"/>
        <v>0</v>
      </c>
      <c r="P48" s="23">
        <f t="shared" si="6"/>
        <v>0</v>
      </c>
      <c r="Q48" s="27">
        <f t="shared" si="7"/>
        <v>0</v>
      </c>
      <c r="R48" s="23"/>
      <c r="S48" s="23"/>
      <c r="T48" s="23"/>
      <c r="U48" s="23"/>
      <c r="V48" s="23"/>
      <c r="W48" s="23"/>
      <c r="X48" s="23"/>
      <c r="Y48" s="23"/>
      <c r="Z48" s="27"/>
      <c r="AA48" s="23"/>
    </row>
    <row r="49" ht="22.5" customHeight="1">
      <c r="A49" s="22">
        <v>48.0</v>
      </c>
      <c r="B49" s="23"/>
      <c r="C49" s="49"/>
      <c r="D49" s="25"/>
      <c r="E49" s="23"/>
      <c r="F49" s="25"/>
      <c r="G49" s="23"/>
      <c r="H49" s="26" t="str">
        <f>IFERROR(__xludf.DUMMYFUNCTION("IFERROR(GOOGLEFINANCE(""NSE:""&amp;B49,""price""),"""")"),"")</f>
        <v/>
      </c>
      <c r="I49" s="22"/>
      <c r="J49" s="23">
        <f t="shared" si="1"/>
        <v>0</v>
      </c>
      <c r="K49" s="23">
        <f t="shared" si="2"/>
        <v>0</v>
      </c>
      <c r="L49" s="23">
        <f t="shared" si="3"/>
        <v>0</v>
      </c>
      <c r="M49" s="27">
        <f t="shared" si="4"/>
        <v>0</v>
      </c>
      <c r="N49" s="23">
        <f>IFERROR(__xludf.DUMMYFUNCTION("IFERROR(IF(G49&gt;0,0,GOOGLEFINANCE(""NSE:""&amp;B49,""change"")),0)"),0.0)</f>
        <v>0</v>
      </c>
      <c r="O49" s="23">
        <f t="shared" si="5"/>
        <v>0</v>
      </c>
      <c r="P49" s="23">
        <f t="shared" si="6"/>
        <v>0</v>
      </c>
      <c r="Q49" s="27">
        <f t="shared" si="7"/>
        <v>0</v>
      </c>
      <c r="R49" s="23"/>
      <c r="S49" s="23"/>
      <c r="T49" s="23"/>
      <c r="U49" s="23"/>
      <c r="V49" s="23"/>
      <c r="W49" s="23"/>
      <c r="X49" s="23"/>
      <c r="Y49" s="23"/>
      <c r="Z49" s="27"/>
      <c r="AA49" s="23"/>
    </row>
    <row r="50" ht="22.5" customHeight="1">
      <c r="A50" s="22">
        <v>49.0</v>
      </c>
      <c r="B50" s="23"/>
      <c r="C50" s="49"/>
      <c r="D50" s="25"/>
      <c r="E50" s="23"/>
      <c r="F50" s="22"/>
      <c r="G50" s="23"/>
      <c r="H50" s="26" t="str">
        <f>IFERROR(__xludf.DUMMYFUNCTION("IFERROR(GOOGLEFINANCE(""NSE:""&amp;B50,""price""),"""")"),"")</f>
        <v/>
      </c>
      <c r="I50" s="22"/>
      <c r="J50" s="23">
        <f t="shared" si="1"/>
        <v>0</v>
      </c>
      <c r="K50" s="23">
        <f t="shared" si="2"/>
        <v>0</v>
      </c>
      <c r="L50" s="23">
        <f t="shared" si="3"/>
        <v>0</v>
      </c>
      <c r="M50" s="27">
        <f t="shared" si="4"/>
        <v>0</v>
      </c>
      <c r="N50" s="23">
        <f>IFERROR(__xludf.DUMMYFUNCTION("IFERROR(IF(G50&gt;0,0,GOOGLEFINANCE(""NSE:""&amp;B50,""change"")),0)"),0.0)</f>
        <v>0</v>
      </c>
      <c r="O50" s="23">
        <f t="shared" si="5"/>
        <v>0</v>
      </c>
      <c r="P50" s="23">
        <f t="shared" si="6"/>
        <v>0</v>
      </c>
      <c r="Q50" s="27">
        <f t="shared" si="7"/>
        <v>0</v>
      </c>
      <c r="R50" s="23"/>
      <c r="S50" s="23"/>
      <c r="T50" s="23"/>
      <c r="U50" s="23"/>
      <c r="V50" s="23"/>
      <c r="W50" s="23"/>
      <c r="X50" s="23"/>
      <c r="Y50" s="23"/>
      <c r="Z50" s="27"/>
      <c r="AA50" s="23"/>
    </row>
    <row r="51" ht="22.5" customHeight="1">
      <c r="A51" s="22">
        <v>50.0</v>
      </c>
      <c r="B51" s="50"/>
      <c r="C51" s="51"/>
      <c r="D51" s="52"/>
      <c r="E51" s="50"/>
      <c r="F51" s="52"/>
      <c r="G51" s="50"/>
      <c r="H51" s="26" t="str">
        <f>IFERROR(__xludf.DUMMYFUNCTION("IFERROR(GOOGLEFINANCE(""NSE:""&amp;B51,""price""),"""")"),"")</f>
        <v/>
      </c>
      <c r="I51" s="22"/>
      <c r="J51" s="23">
        <f t="shared" si="1"/>
        <v>0</v>
      </c>
      <c r="K51" s="23">
        <f t="shared" si="2"/>
        <v>0</v>
      </c>
      <c r="L51" s="23">
        <f t="shared" si="3"/>
        <v>0</v>
      </c>
      <c r="M51" s="27">
        <f t="shared" si="4"/>
        <v>0</v>
      </c>
      <c r="N51" s="23">
        <f>IFERROR(__xludf.DUMMYFUNCTION("IFERROR(IF(G51&gt;0,0,GOOGLEFINANCE(""NSE:""&amp;B51,""change"")),0)"),0.0)</f>
        <v>0</v>
      </c>
      <c r="O51" s="23">
        <f t="shared" si="5"/>
        <v>0</v>
      </c>
      <c r="P51" s="23">
        <f t="shared" si="6"/>
        <v>0</v>
      </c>
      <c r="Q51" s="27">
        <f t="shared" si="7"/>
        <v>0</v>
      </c>
      <c r="R51" s="23"/>
      <c r="S51" s="23"/>
      <c r="T51" s="23"/>
      <c r="U51" s="23"/>
      <c r="V51" s="23"/>
      <c r="W51" s="23"/>
      <c r="X51" s="23"/>
      <c r="Y51" s="23"/>
      <c r="Z51" s="27"/>
      <c r="AA51" s="23"/>
    </row>
    <row r="52" ht="22.5" customHeight="1">
      <c r="A52" s="22">
        <v>51.0</v>
      </c>
      <c r="B52" s="23"/>
      <c r="C52" s="49"/>
      <c r="D52" s="25"/>
      <c r="E52" s="23"/>
      <c r="F52" s="25"/>
      <c r="G52" s="23"/>
      <c r="H52" s="26" t="str">
        <f>IFERROR(__xludf.DUMMYFUNCTION("IFERROR(GOOGLEFINANCE(""NSE:""&amp;B52,""price""),"""")"),"")</f>
        <v/>
      </c>
      <c r="I52" s="22"/>
      <c r="J52" s="23">
        <f t="shared" si="1"/>
        <v>0</v>
      </c>
      <c r="K52" s="23">
        <f t="shared" si="2"/>
        <v>0</v>
      </c>
      <c r="L52" s="23">
        <f t="shared" si="3"/>
        <v>0</v>
      </c>
      <c r="M52" s="27">
        <f t="shared" si="4"/>
        <v>0</v>
      </c>
      <c r="N52" s="23">
        <f>IFERROR(__xludf.DUMMYFUNCTION("IFERROR(IF(G52&gt;0,0,GOOGLEFINANCE(""NSE:""&amp;B52,""change"")),0)"),0.0)</f>
        <v>0</v>
      </c>
      <c r="O52" s="23">
        <f t="shared" si="5"/>
        <v>0</v>
      </c>
      <c r="P52" s="23">
        <f t="shared" si="6"/>
        <v>0</v>
      </c>
      <c r="Q52" s="27">
        <f t="shared" si="7"/>
        <v>0</v>
      </c>
      <c r="R52" s="23"/>
      <c r="S52" s="23"/>
      <c r="T52" s="23"/>
      <c r="U52" s="23"/>
      <c r="V52" s="23"/>
      <c r="W52" s="23"/>
      <c r="X52" s="23"/>
      <c r="Y52" s="23"/>
      <c r="Z52" s="27"/>
      <c r="AA52" s="23"/>
    </row>
    <row r="53" ht="22.5" customHeight="1">
      <c r="A53" s="22">
        <v>52.0</v>
      </c>
      <c r="B53" s="50"/>
      <c r="C53" s="51"/>
      <c r="D53" s="52"/>
      <c r="E53" s="50"/>
      <c r="F53" s="52"/>
      <c r="G53" s="50"/>
      <c r="H53" s="26" t="str">
        <f>IFERROR(__xludf.DUMMYFUNCTION("IFERROR(GOOGLEFINANCE(""NSE:""&amp;B53,""price""),"""")"),"")</f>
        <v/>
      </c>
      <c r="I53" s="22"/>
      <c r="J53" s="23">
        <f t="shared" si="1"/>
        <v>0</v>
      </c>
      <c r="K53" s="23">
        <f t="shared" si="2"/>
        <v>0</v>
      </c>
      <c r="L53" s="23">
        <f t="shared" si="3"/>
        <v>0</v>
      </c>
      <c r="M53" s="27">
        <f t="shared" si="4"/>
        <v>0</v>
      </c>
      <c r="N53" s="23">
        <f>IFERROR(__xludf.DUMMYFUNCTION("IFERROR(IF(G53&gt;0,0,GOOGLEFINANCE(""NSE:""&amp;B53,""change"")),0)"),0.0)</f>
        <v>0</v>
      </c>
      <c r="O53" s="23">
        <f t="shared" si="5"/>
        <v>0</v>
      </c>
      <c r="P53" s="23">
        <f t="shared" si="6"/>
        <v>0</v>
      </c>
      <c r="Q53" s="27">
        <f t="shared" si="7"/>
        <v>0</v>
      </c>
      <c r="R53" s="50"/>
      <c r="S53" s="50"/>
      <c r="T53" s="50"/>
      <c r="U53" s="50"/>
      <c r="V53" s="50"/>
      <c r="W53" s="50"/>
      <c r="X53" s="50"/>
      <c r="Y53" s="50"/>
      <c r="Z53" s="53"/>
      <c r="AA53" s="50"/>
    </row>
  </sheetData>
  <conditionalFormatting sqref="L2:Q53 Y2:Z53 AI3:AJ14 AM3:AO10 AE4:AE6 AE8:AE10">
    <cfRule type="cellIs" dxfId="0" priority="1" operator="lessThan">
      <formula>0</formula>
    </cfRule>
  </conditionalFormatting>
  <conditionalFormatting sqref="L2:Q53 Y2:Z53 AI3:AJ14 AM3:AO10 AE4:AE6 AE8:AE10">
    <cfRule type="cellIs" dxfId="1" priority="2" operator="greaterThan">
      <formula>0</formula>
    </cfRule>
  </conditionalFormatting>
  <dataValidations>
    <dataValidation type="custom" allowBlank="1" showDropDown="1" sqref="D2:D53">
      <formula1>OR(NOT(ISERROR(DATEVALUE(D2))), AND(ISNUMBER(D2), LEFT(CELL("format", D2))="D"))</formula1>
    </dataValidation>
    <dataValidation type="custom" allowBlank="1" showDropDown="1" sqref="E2:E53 G2:H53 J2:Q53">
      <formula1>AND(ISNUMBER(E2),(NOT(OR(NOT(ISERROR(DATEVALUE(E2))), AND(ISNUMBER(E2), LEFT(CELL("format", E2))="D")))))</formula1>
    </dataValidation>
    <dataValidation type="list" allowBlank="1" sqref="C2:C53">
      <formula1>"DHAN,RAM,KAMAL,ESPRESSO,FYERS,Paytm,ANGELONE,Dashrathlal"</formula1>
    </dataValidation>
  </dataValidations>
  <drawing r:id="rId4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5.0"/>
    <col customWidth="1" min="4" max="4" width="15.5"/>
    <col customWidth="1" min="5" max="5" width="11.63"/>
    <col customWidth="1" min="6" max="6" width="12.13"/>
    <col customWidth="1" min="7" max="7" width="11.5"/>
    <col customWidth="1" min="8" max="8" width="11.63"/>
    <col customWidth="1" min="9" max="9" width="8.13"/>
    <col customWidth="1" min="10" max="10" width="15.13"/>
    <col customWidth="1" min="11" max="11" width="15.5"/>
    <col customWidth="1" min="12" max="12" width="19.75"/>
    <col customWidth="1" min="13" max="15" width="14.5"/>
    <col customWidth="1" min="16" max="16" width="18.25"/>
    <col customWidth="1" min="17" max="17" width="14.5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25.25"/>
    <col customWidth="1" min="29" max="30" width="17.88"/>
    <col customWidth="1" min="35" max="36" width="13.88"/>
  </cols>
  <sheetData>
    <row r="1" ht="22.5" customHeight="1">
      <c r="A1" s="18" t="s">
        <v>72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6</v>
      </c>
      <c r="M1" s="18" t="s">
        <v>82</v>
      </c>
      <c r="N1" s="18" t="s">
        <v>83</v>
      </c>
      <c r="O1" s="18" t="s">
        <v>84</v>
      </c>
      <c r="P1" s="18" t="s">
        <v>5</v>
      </c>
      <c r="Q1" s="18" t="s">
        <v>85</v>
      </c>
      <c r="R1" s="18" t="s">
        <v>86</v>
      </c>
      <c r="S1" s="18" t="s">
        <v>87</v>
      </c>
      <c r="T1" s="18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18" t="s">
        <v>93</v>
      </c>
      <c r="Z1" s="18" t="s">
        <v>94</v>
      </c>
      <c r="AA1" s="18" t="s">
        <v>95</v>
      </c>
      <c r="AB1" s="19" t="s">
        <v>96</v>
      </c>
      <c r="AC1" s="20"/>
      <c r="AD1" s="21"/>
    </row>
    <row r="2" ht="22.5" customHeight="1">
      <c r="A2" s="22">
        <v>1.0</v>
      </c>
      <c r="B2" s="23" t="s">
        <v>15</v>
      </c>
      <c r="C2" s="24" t="s">
        <v>104</v>
      </c>
      <c r="D2" s="25">
        <v>45951.0</v>
      </c>
      <c r="E2" s="23">
        <v>20.13</v>
      </c>
      <c r="F2" s="25"/>
      <c r="G2" s="23">
        <v>0.0</v>
      </c>
      <c r="H2" s="26">
        <f>IFERROR(__xludf.DUMMYFUNCTION("IFERROR(GOOGLEFINANCE(""NSE:""&amp;B2,""price""),"""")"),21.49)</f>
        <v>21.49</v>
      </c>
      <c r="I2" s="22">
        <v>51.0</v>
      </c>
      <c r="J2" s="23">
        <f t="shared" ref="J2:J53" si="1">E2*I2</f>
        <v>1026.63</v>
      </c>
      <c r="K2" s="23">
        <f t="shared" ref="K2:K53" si="2">IF(G2&gt;0,(E2+G2)*I2,E2*I2)</f>
        <v>1026.63</v>
      </c>
      <c r="L2" s="23">
        <f t="shared" ref="L2:L53" si="3">IF(G2&gt;0,0,(H2-E2)*I2)</f>
        <v>69.36</v>
      </c>
      <c r="M2" s="27">
        <f t="shared" ref="M2:M53" si="4">IFERROR(IF(G2&gt;0,0,(H2-E2)/E2),0)</f>
        <v>0.06756085445</v>
      </c>
      <c r="N2" s="23">
        <f>IFERROR(__xludf.DUMMYFUNCTION("IFERROR(IF(G2&gt;0,0,GOOGLEFINANCE(""NSE:""&amp;B2,""change"")),)"),0.34)</f>
        <v>0.34</v>
      </c>
      <c r="O2" s="23">
        <f t="shared" ref="O2:O53" si="5">I2*N2</f>
        <v>17.34</v>
      </c>
      <c r="P2" s="23">
        <f t="shared" ref="P2:P53" si="6">IF(G2=0,0,(G2-E2)*I2)</f>
        <v>0</v>
      </c>
      <c r="Q2" s="27">
        <f t="shared" ref="Q2:Q53" si="7">IF(G2&gt;0,(G2-E2)/E2,0)</f>
        <v>0</v>
      </c>
      <c r="R2" s="23">
        <f t="shared" ref="R2:R6" si="8">0.001*K2</f>
        <v>1.02663</v>
      </c>
      <c r="S2" s="23">
        <f t="shared" ref="S2:S6" si="9">0.0000325*K2</f>
        <v>0.033365475</v>
      </c>
      <c r="T2" s="23">
        <f t="shared" ref="T2:T9" si="10">0.18*S2</f>
        <v>0.0060057855</v>
      </c>
      <c r="U2" s="28">
        <f t="shared" ref="U2:U6" si="11">0.0000005*K2</f>
        <v>0.000513315</v>
      </c>
      <c r="V2" s="23">
        <f t="shared" ref="V2:V9" si="12">R2+S2+T2+U2</f>
        <v>1.066514576</v>
      </c>
      <c r="W2" s="23">
        <f t="shared" ref="W2:W4" si="13">IF(G2&gt;0,15.34,0)</f>
        <v>0</v>
      </c>
      <c r="X2" s="23">
        <f t="shared" ref="X2:X9" si="14">V2+W2</f>
        <v>1.066514576</v>
      </c>
      <c r="Y2" s="23">
        <f t="shared" ref="Y2:Y4" si="15">IF(G2&gt;0,P2-X2,0)</f>
        <v>0</v>
      </c>
      <c r="Z2" s="27">
        <f t="shared" ref="Z2:Z6" si="16">Y2/J2</f>
        <v>0</v>
      </c>
      <c r="AA2" s="29">
        <f>sum($AE$2,Y2)</f>
        <v>50000</v>
      </c>
      <c r="AB2" s="30"/>
      <c r="AC2" s="31"/>
      <c r="AD2" s="32" t="s">
        <v>98</v>
      </c>
      <c r="AE2" s="9">
        <v>50000.0</v>
      </c>
    </row>
    <row r="3" ht="22.5" customHeight="1">
      <c r="A3" s="22">
        <v>2.0</v>
      </c>
      <c r="B3" s="23" t="s">
        <v>27</v>
      </c>
      <c r="C3" s="24" t="s">
        <v>104</v>
      </c>
      <c r="D3" s="25">
        <v>45233.0</v>
      </c>
      <c r="E3" s="23">
        <v>74.9</v>
      </c>
      <c r="F3" s="25"/>
      <c r="G3" s="23">
        <v>0.0</v>
      </c>
      <c r="H3" s="26">
        <f>IFERROR(__xludf.DUMMYFUNCTION("IFERROR(GOOGLEFINANCE(""NSE:""&amp;B3,""price""),"""")"),116.72)</f>
        <v>116.72</v>
      </c>
      <c r="I3" s="22">
        <v>200.0</v>
      </c>
      <c r="J3" s="23">
        <f t="shared" si="1"/>
        <v>14980</v>
      </c>
      <c r="K3" s="23">
        <f t="shared" si="2"/>
        <v>14980</v>
      </c>
      <c r="L3" s="23">
        <f t="shared" si="3"/>
        <v>8364</v>
      </c>
      <c r="M3" s="27">
        <f t="shared" si="4"/>
        <v>0.5583444593</v>
      </c>
      <c r="N3" s="23">
        <f>IFERROR(__xludf.DUMMYFUNCTION("IFERROR(IF(G3&gt;0,0,GOOGLEFINANCE(""NSE:""&amp;B3,""change"")),0)"),0.58)</f>
        <v>0.58</v>
      </c>
      <c r="O3" s="23">
        <f t="shared" si="5"/>
        <v>116</v>
      </c>
      <c r="P3" s="23">
        <f t="shared" si="6"/>
        <v>0</v>
      </c>
      <c r="Q3" s="27">
        <f t="shared" si="7"/>
        <v>0</v>
      </c>
      <c r="R3" s="23">
        <f t="shared" si="8"/>
        <v>14.98</v>
      </c>
      <c r="S3" s="23">
        <f t="shared" si="9"/>
        <v>0.48685</v>
      </c>
      <c r="T3" s="23">
        <f t="shared" si="10"/>
        <v>0.087633</v>
      </c>
      <c r="U3" s="23">
        <f t="shared" si="11"/>
        <v>0.00749</v>
      </c>
      <c r="V3" s="23">
        <f t="shared" si="12"/>
        <v>15.561973</v>
      </c>
      <c r="W3" s="23">
        <f t="shared" si="13"/>
        <v>0</v>
      </c>
      <c r="X3" s="23">
        <f t="shared" si="14"/>
        <v>15.561973</v>
      </c>
      <c r="Y3" s="23">
        <f t="shared" si="15"/>
        <v>0</v>
      </c>
      <c r="Z3" s="27">
        <f t="shared" si="16"/>
        <v>0</v>
      </c>
      <c r="AA3" s="29">
        <f t="shared" ref="AA3:AA9" si="17">sum(AA2,Y3)</f>
        <v>50000</v>
      </c>
      <c r="AB3" s="30"/>
      <c r="AC3" s="31"/>
      <c r="AD3" s="32" t="s">
        <v>99</v>
      </c>
      <c r="AE3" s="33">
        <f>AE2+AE4</f>
        <v>50000</v>
      </c>
    </row>
    <row r="4" ht="22.5" customHeight="1">
      <c r="A4" s="22">
        <v>3.0</v>
      </c>
      <c r="B4" s="23" t="s">
        <v>122</v>
      </c>
      <c r="C4" s="24" t="s">
        <v>104</v>
      </c>
      <c r="D4" s="25">
        <v>44951.0</v>
      </c>
      <c r="E4" s="23">
        <v>10.8</v>
      </c>
      <c r="F4" s="25"/>
      <c r="G4" s="23">
        <v>0.0</v>
      </c>
      <c r="H4" s="26">
        <f>IFERROR(__xludf.DUMMYFUNCTION("IFERROR(GOOGLEFINANCE(""NSE:""&amp;B4,""price""),"""")"),12.02)</f>
        <v>12.02</v>
      </c>
      <c r="I4" s="22">
        <v>225.0</v>
      </c>
      <c r="J4" s="23">
        <f t="shared" si="1"/>
        <v>2430</v>
      </c>
      <c r="K4" s="23">
        <f t="shared" si="2"/>
        <v>2430</v>
      </c>
      <c r="L4" s="23">
        <f t="shared" si="3"/>
        <v>274.5</v>
      </c>
      <c r="M4" s="27">
        <f t="shared" si="4"/>
        <v>0.112962963</v>
      </c>
      <c r="N4" s="23">
        <f>IFERROR(__xludf.DUMMYFUNCTION("IFERROR(IF(G4&gt;0,0,GOOGLEFINANCE(""NSE:""&amp;B4,""change"")),0)"),0.17)</f>
        <v>0.17</v>
      </c>
      <c r="O4" s="23">
        <f t="shared" si="5"/>
        <v>38.25</v>
      </c>
      <c r="P4" s="23">
        <f t="shared" si="6"/>
        <v>0</v>
      </c>
      <c r="Q4" s="27">
        <f t="shared" si="7"/>
        <v>0</v>
      </c>
      <c r="R4" s="23">
        <f t="shared" si="8"/>
        <v>2.43</v>
      </c>
      <c r="S4" s="23">
        <f t="shared" si="9"/>
        <v>0.078975</v>
      </c>
      <c r="T4" s="23">
        <f t="shared" si="10"/>
        <v>0.0142155</v>
      </c>
      <c r="U4" s="23">
        <f t="shared" si="11"/>
        <v>0.001215</v>
      </c>
      <c r="V4" s="23">
        <f t="shared" si="12"/>
        <v>2.5244055</v>
      </c>
      <c r="W4" s="23">
        <f t="shared" si="13"/>
        <v>0</v>
      </c>
      <c r="X4" s="23">
        <f t="shared" si="14"/>
        <v>2.5244055</v>
      </c>
      <c r="Y4" s="23">
        <f t="shared" si="15"/>
        <v>0</v>
      </c>
      <c r="Z4" s="27">
        <f t="shared" si="16"/>
        <v>0</v>
      </c>
      <c r="AA4" s="29">
        <f t="shared" si="17"/>
        <v>50000</v>
      </c>
      <c r="AB4" s="30"/>
      <c r="AC4" s="31"/>
      <c r="AD4" s="32" t="s">
        <v>100</v>
      </c>
      <c r="AE4" s="9">
        <f>sum(P2:P53)</f>
        <v>0</v>
      </c>
    </row>
    <row r="5" ht="22.5" customHeight="1">
      <c r="A5" s="22">
        <v>4.0</v>
      </c>
      <c r="B5" s="23" t="s">
        <v>35</v>
      </c>
      <c r="C5" s="24" t="s">
        <v>104</v>
      </c>
      <c r="D5" s="25">
        <v>44504.0</v>
      </c>
      <c r="E5" s="23">
        <v>823.2</v>
      </c>
      <c r="F5" s="25"/>
      <c r="G5" s="23">
        <v>0.0</v>
      </c>
      <c r="H5" s="26">
        <f>IFERROR(__xludf.DUMMYFUNCTION("IFERROR(GOOGLEFINANCE(""NSE:""&amp;B5,""price""),"""")"),680.5)</f>
        <v>680.5</v>
      </c>
      <c r="I5" s="22">
        <v>1.0</v>
      </c>
      <c r="J5" s="23">
        <f t="shared" si="1"/>
        <v>823.2</v>
      </c>
      <c r="K5" s="23">
        <f t="shared" si="2"/>
        <v>823.2</v>
      </c>
      <c r="L5" s="23">
        <f t="shared" si="3"/>
        <v>-142.7</v>
      </c>
      <c r="M5" s="27">
        <f t="shared" si="4"/>
        <v>-0.1733479106</v>
      </c>
      <c r="N5" s="23">
        <f>IFERROR(__xludf.DUMMYFUNCTION("IFERROR(IF(G5&gt;0,0,GOOGLEFINANCE(""NSE:""&amp;B5,""change"")),0)"),-1.15)</f>
        <v>-1.15</v>
      </c>
      <c r="O5" s="23">
        <f t="shared" si="5"/>
        <v>-1.15</v>
      </c>
      <c r="P5" s="23">
        <f t="shared" si="6"/>
        <v>0</v>
      </c>
      <c r="Q5" s="27">
        <f t="shared" si="7"/>
        <v>0</v>
      </c>
      <c r="R5" s="23">
        <f t="shared" si="8"/>
        <v>0.8232</v>
      </c>
      <c r="S5" s="23">
        <f t="shared" si="9"/>
        <v>0.026754</v>
      </c>
      <c r="T5" s="23">
        <f t="shared" si="10"/>
        <v>0.00481572</v>
      </c>
      <c r="U5" s="23">
        <f t="shared" si="11"/>
        <v>0.0004116</v>
      </c>
      <c r="V5" s="23">
        <f t="shared" si="12"/>
        <v>0.85518132</v>
      </c>
      <c r="W5" s="23">
        <f t="shared" ref="W5:W6" si="18">IF(G6&gt;0,15.34,0)</f>
        <v>0</v>
      </c>
      <c r="X5" s="23">
        <f t="shared" si="14"/>
        <v>0.85518132</v>
      </c>
      <c r="Y5" s="23">
        <f t="shared" ref="Y5:Y6" si="19">IF(G6&gt;0,P5-X5,0)</f>
        <v>0</v>
      </c>
      <c r="Z5" s="27">
        <f t="shared" si="16"/>
        <v>0</v>
      </c>
      <c r="AA5" s="29">
        <f t="shared" si="17"/>
        <v>50000</v>
      </c>
      <c r="AB5" s="35"/>
      <c r="AC5" s="36" t="s">
        <v>102</v>
      </c>
      <c r="AD5" s="32" t="s">
        <v>103</v>
      </c>
      <c r="AE5" s="37">
        <f>AE4/AE2</f>
        <v>0</v>
      </c>
    </row>
    <row r="6" ht="22.5" customHeight="1">
      <c r="A6" s="22">
        <v>5.0</v>
      </c>
      <c r="B6" s="38" t="s">
        <v>61</v>
      </c>
      <c r="C6" s="24" t="s">
        <v>104</v>
      </c>
      <c r="D6" s="25">
        <v>45597.0</v>
      </c>
      <c r="E6" s="23">
        <v>102.0</v>
      </c>
      <c r="F6" s="25"/>
      <c r="G6" s="23">
        <v>0.0</v>
      </c>
      <c r="H6" s="26">
        <f>IFERROR(__xludf.DUMMYFUNCTION("IFERROR(GOOGLEFINANCE(""NSE:""&amp;B6,""price""),"""")"),114.45)</f>
        <v>114.45</v>
      </c>
      <c r="I6" s="22">
        <v>51.0</v>
      </c>
      <c r="J6" s="23">
        <f t="shared" si="1"/>
        <v>5202</v>
      </c>
      <c r="K6" s="23">
        <f t="shared" si="2"/>
        <v>5202</v>
      </c>
      <c r="L6" s="23">
        <f t="shared" si="3"/>
        <v>634.95</v>
      </c>
      <c r="M6" s="27">
        <f t="shared" si="4"/>
        <v>0.1220588235</v>
      </c>
      <c r="N6" s="23">
        <f>IFERROR(__xludf.DUMMYFUNCTION("IFERROR(IF(G6&gt;0,0,GOOGLEFINANCE(""NSE:""&amp;B6,""change"")),0)"),0.42)</f>
        <v>0.42</v>
      </c>
      <c r="O6" s="23">
        <f t="shared" si="5"/>
        <v>21.42</v>
      </c>
      <c r="P6" s="23">
        <f t="shared" si="6"/>
        <v>0</v>
      </c>
      <c r="Q6" s="27">
        <f t="shared" si="7"/>
        <v>0</v>
      </c>
      <c r="R6" s="23">
        <f t="shared" si="8"/>
        <v>5.202</v>
      </c>
      <c r="S6" s="23">
        <f t="shared" si="9"/>
        <v>0.169065</v>
      </c>
      <c r="T6" s="23">
        <f t="shared" si="10"/>
        <v>0.0304317</v>
      </c>
      <c r="U6" s="23">
        <f t="shared" si="11"/>
        <v>0.002601</v>
      </c>
      <c r="V6" s="23">
        <f t="shared" si="12"/>
        <v>5.4040977</v>
      </c>
      <c r="W6" s="23">
        <f t="shared" si="18"/>
        <v>0</v>
      </c>
      <c r="X6" s="23">
        <f t="shared" si="14"/>
        <v>5.4040977</v>
      </c>
      <c r="Y6" s="23">
        <f t="shared" si="19"/>
        <v>0</v>
      </c>
      <c r="Z6" s="27">
        <f t="shared" si="16"/>
        <v>0</v>
      </c>
      <c r="AA6" s="29">
        <f t="shared" si="17"/>
        <v>50000</v>
      </c>
      <c r="AB6" s="35"/>
      <c r="AC6" s="31"/>
      <c r="AD6" s="31"/>
      <c r="AE6" s="39"/>
    </row>
    <row r="7" ht="22.5" customHeight="1">
      <c r="A7" s="22">
        <v>6.0</v>
      </c>
      <c r="B7" s="38" t="s">
        <v>123</v>
      </c>
      <c r="C7" s="24" t="s">
        <v>104</v>
      </c>
      <c r="D7" s="25">
        <v>45951.0</v>
      </c>
      <c r="E7" s="23">
        <v>150.0</v>
      </c>
      <c r="F7" s="25"/>
      <c r="G7" s="23">
        <v>0.0</v>
      </c>
      <c r="H7" s="26">
        <f>IFERROR(__xludf.DUMMYFUNCTION("IFERROR(GOOGLEFINANCE(""NSE:""&amp;B7,""price""),"""")"),204.0)</f>
        <v>204</v>
      </c>
      <c r="I7" s="22">
        <v>5.0</v>
      </c>
      <c r="J7" s="23">
        <f t="shared" si="1"/>
        <v>750</v>
      </c>
      <c r="K7" s="23">
        <f t="shared" si="2"/>
        <v>750</v>
      </c>
      <c r="L7" s="23">
        <f t="shared" si="3"/>
        <v>270</v>
      </c>
      <c r="M7" s="27">
        <f t="shared" si="4"/>
        <v>0.36</v>
      </c>
      <c r="N7" s="23">
        <f>IFERROR(__xludf.DUMMYFUNCTION("IFERROR(IF(G7&gt;0,0,GOOGLEFINANCE(""NSE:""&amp;B7,""change"")),0)"),1.46)</f>
        <v>1.46</v>
      </c>
      <c r="O7" s="23">
        <f t="shared" si="5"/>
        <v>7.3</v>
      </c>
      <c r="P7" s="23">
        <f t="shared" si="6"/>
        <v>0</v>
      </c>
      <c r="Q7" s="27">
        <f t="shared" si="7"/>
        <v>0</v>
      </c>
      <c r="R7" s="23" t="str">
        <f t="shared" ref="R7:R9" si="20">0.001*#REF!</f>
        <v>#REF!</v>
      </c>
      <c r="S7" s="23" t="str">
        <f t="shared" ref="S7:S9" si="21">0.0000325*#REF!</f>
        <v>#REF!</v>
      </c>
      <c r="T7" s="23" t="str">
        <f t="shared" si="10"/>
        <v>#REF!</v>
      </c>
      <c r="U7" s="23" t="str">
        <f t="shared" ref="U7:U9" si="22">0.0000005*#REF!</f>
        <v>#REF!</v>
      </c>
      <c r="V7" s="23" t="str">
        <f t="shared" si="12"/>
        <v>#REF!</v>
      </c>
      <c r="W7" s="23" t="str">
        <f t="shared" ref="W7:W9" si="23">IF(#REF!&gt;0,15.34,0)</f>
        <v>#REF!</v>
      </c>
      <c r="X7" s="23" t="str">
        <f t="shared" si="14"/>
        <v>#REF!</v>
      </c>
      <c r="Y7" s="23" t="str">
        <f t="shared" ref="Y7:Y9" si="24">IF(#REF!&gt;0,P7-X7,0)</f>
        <v>#REF!</v>
      </c>
      <c r="Z7" s="27" t="str">
        <f t="shared" ref="Z7:Z9" si="25">Y7/#REF!</f>
        <v>#REF!</v>
      </c>
      <c r="AA7" s="29" t="str">
        <f t="shared" si="17"/>
        <v>#REF!</v>
      </c>
      <c r="AB7" s="35"/>
      <c r="AC7" s="40" t="s">
        <v>105</v>
      </c>
    </row>
    <row r="8" ht="22.5" customHeight="1">
      <c r="A8" s="22">
        <v>7.0</v>
      </c>
      <c r="B8" s="23" t="s">
        <v>43</v>
      </c>
      <c r="C8" s="24" t="s">
        <v>104</v>
      </c>
      <c r="D8" s="25">
        <v>45938.0</v>
      </c>
      <c r="E8" s="23">
        <v>920.0</v>
      </c>
      <c r="F8" s="25"/>
      <c r="G8" s="23">
        <v>0.0</v>
      </c>
      <c r="H8" s="26">
        <f>IFERROR(__xludf.DUMMYFUNCTION("IFERROR(GOOGLEFINANCE(""NSE:""&amp;B8,""price""),"""")"),835.0)</f>
        <v>835</v>
      </c>
      <c r="I8" s="22">
        <v>11.0</v>
      </c>
      <c r="J8" s="23">
        <f t="shared" si="1"/>
        <v>10120</v>
      </c>
      <c r="K8" s="23">
        <f t="shared" si="2"/>
        <v>10120</v>
      </c>
      <c r="L8" s="23">
        <f t="shared" si="3"/>
        <v>-935</v>
      </c>
      <c r="M8" s="27">
        <f t="shared" si="4"/>
        <v>-0.09239130435</v>
      </c>
      <c r="N8" s="23">
        <f>IFERROR(__xludf.DUMMYFUNCTION("IFERROR(IF(G8&gt;0,0,GOOGLEFINANCE(""NSE:""&amp;B8,""change"")),0)"),18.5)</f>
        <v>18.5</v>
      </c>
      <c r="O8" s="23">
        <f t="shared" si="5"/>
        <v>203.5</v>
      </c>
      <c r="P8" s="23">
        <f t="shared" si="6"/>
        <v>0</v>
      </c>
      <c r="Q8" s="27">
        <f t="shared" si="7"/>
        <v>0</v>
      </c>
      <c r="R8" s="23" t="str">
        <f t="shared" si="20"/>
        <v>#REF!</v>
      </c>
      <c r="S8" s="23" t="str">
        <f t="shared" si="21"/>
        <v>#REF!</v>
      </c>
      <c r="T8" s="23" t="str">
        <f t="shared" si="10"/>
        <v>#REF!</v>
      </c>
      <c r="U8" s="23" t="str">
        <f t="shared" si="22"/>
        <v>#REF!</v>
      </c>
      <c r="V8" s="23" t="str">
        <f t="shared" si="12"/>
        <v>#REF!</v>
      </c>
      <c r="W8" s="23" t="str">
        <f t="shared" si="23"/>
        <v>#REF!</v>
      </c>
      <c r="X8" s="23" t="str">
        <f t="shared" si="14"/>
        <v>#REF!</v>
      </c>
      <c r="Y8" s="23" t="str">
        <f t="shared" si="24"/>
        <v>#REF!</v>
      </c>
      <c r="Z8" s="27" t="str">
        <f t="shared" si="25"/>
        <v>#REF!</v>
      </c>
      <c r="AA8" s="29" t="str">
        <f t="shared" si="17"/>
        <v>#REF!</v>
      </c>
      <c r="AC8" s="40" t="s">
        <v>102</v>
      </c>
    </row>
    <row r="9" ht="22.5" customHeight="1">
      <c r="A9" s="22">
        <v>8.0</v>
      </c>
      <c r="B9" s="23" t="s">
        <v>49</v>
      </c>
      <c r="C9" s="24" t="s">
        <v>104</v>
      </c>
      <c r="D9" s="25">
        <v>45887.0</v>
      </c>
      <c r="E9" s="23">
        <v>1402.0</v>
      </c>
      <c r="F9" s="25"/>
      <c r="G9" s="23">
        <v>0.0</v>
      </c>
      <c r="H9" s="26">
        <f>IFERROR(__xludf.DUMMYFUNCTION("IFERROR(GOOGLEFINANCE(""NSE:""&amp;B9,""price""),"""")"),1380.0)</f>
        <v>1380</v>
      </c>
      <c r="I9" s="22">
        <v>5.0</v>
      </c>
      <c r="J9" s="23">
        <f t="shared" si="1"/>
        <v>7010</v>
      </c>
      <c r="K9" s="23">
        <f t="shared" si="2"/>
        <v>7010</v>
      </c>
      <c r="L9" s="23">
        <f t="shared" si="3"/>
        <v>-110</v>
      </c>
      <c r="M9" s="27">
        <f t="shared" si="4"/>
        <v>-0.01569186876</v>
      </c>
      <c r="N9" s="23">
        <f>IFERROR(__xludf.DUMMYFUNCTION("IFERROR(IF(G9&gt;0,0,GOOGLEFINANCE(""NSE:""&amp;B9,""change"")),0)"),-8.0)</f>
        <v>-8</v>
      </c>
      <c r="O9" s="23">
        <f t="shared" si="5"/>
        <v>-40</v>
      </c>
      <c r="P9" s="23">
        <f t="shared" si="6"/>
        <v>0</v>
      </c>
      <c r="Q9" s="27">
        <f t="shared" si="7"/>
        <v>0</v>
      </c>
      <c r="R9" s="23" t="str">
        <f t="shared" si="20"/>
        <v>#REF!</v>
      </c>
      <c r="S9" s="23" t="str">
        <f t="shared" si="21"/>
        <v>#REF!</v>
      </c>
      <c r="T9" s="23" t="str">
        <f t="shared" si="10"/>
        <v>#REF!</v>
      </c>
      <c r="U9" s="23" t="str">
        <f t="shared" si="22"/>
        <v>#REF!</v>
      </c>
      <c r="V9" s="23" t="str">
        <f t="shared" si="12"/>
        <v>#REF!</v>
      </c>
      <c r="W9" s="23" t="str">
        <f t="shared" si="23"/>
        <v>#REF!</v>
      </c>
      <c r="X9" s="23" t="str">
        <f t="shared" si="14"/>
        <v>#REF!</v>
      </c>
      <c r="Y9" s="23" t="str">
        <f t="shared" si="24"/>
        <v>#REF!</v>
      </c>
      <c r="Z9" s="27" t="str">
        <f t="shared" si="25"/>
        <v>#REF!</v>
      </c>
      <c r="AA9" s="29" t="str">
        <f t="shared" si="17"/>
        <v>#REF!</v>
      </c>
      <c r="AC9" s="40" t="s">
        <v>102</v>
      </c>
    </row>
    <row r="10" ht="22.5" customHeight="1">
      <c r="A10" s="22">
        <v>9.0</v>
      </c>
      <c r="B10" s="23" t="s">
        <v>124</v>
      </c>
      <c r="C10" s="24" t="s">
        <v>104</v>
      </c>
      <c r="D10" s="25">
        <v>44048.0</v>
      </c>
      <c r="E10" s="23">
        <v>12.85</v>
      </c>
      <c r="F10" s="25"/>
      <c r="G10" s="23">
        <v>0.0</v>
      </c>
      <c r="H10" s="26">
        <f>IFERROR(__xludf.DUMMYFUNCTION("IFERROR(GOOGLEFINANCE(""NSE:""&amp;B10,""price""),"""")"),21.74)</f>
        <v>21.74</v>
      </c>
      <c r="I10" s="22">
        <v>75.0</v>
      </c>
      <c r="J10" s="23">
        <f t="shared" si="1"/>
        <v>963.75</v>
      </c>
      <c r="K10" s="23">
        <f t="shared" si="2"/>
        <v>963.75</v>
      </c>
      <c r="L10" s="23">
        <f t="shared" si="3"/>
        <v>666.75</v>
      </c>
      <c r="M10" s="27">
        <f t="shared" si="4"/>
        <v>0.6918287938</v>
      </c>
      <c r="N10" s="23">
        <f>IFERROR(__xludf.DUMMYFUNCTION("IFERROR(IF(G10&gt;0,0,GOOGLEFINANCE(""NSE:""&amp;B10,""change"")),0)"),-0.04)</f>
        <v>-0.04</v>
      </c>
      <c r="O10" s="23">
        <f t="shared" si="5"/>
        <v>-3</v>
      </c>
      <c r="P10" s="23">
        <f t="shared" si="6"/>
        <v>0</v>
      </c>
      <c r="Q10" s="27">
        <f t="shared" si="7"/>
        <v>0</v>
      </c>
      <c r="R10" s="23"/>
      <c r="S10" s="23"/>
      <c r="T10" s="23"/>
      <c r="U10" s="23"/>
      <c r="V10" s="23"/>
      <c r="W10" s="23"/>
      <c r="X10" s="23"/>
      <c r="Y10" s="23"/>
      <c r="Z10" s="27"/>
      <c r="AA10" s="23"/>
      <c r="AC10" s="40" t="s">
        <v>102</v>
      </c>
      <c r="AE10" s="9"/>
    </row>
    <row r="11" ht="22.5" customHeight="1">
      <c r="A11" s="22">
        <v>10.0</v>
      </c>
      <c r="B11" s="44"/>
      <c r="C11" s="24" t="s">
        <v>104</v>
      </c>
      <c r="D11" s="25"/>
      <c r="E11" s="23"/>
      <c r="F11" s="45"/>
      <c r="G11" s="23"/>
      <c r="H11" s="26" t="str">
        <f>IFERROR(__xludf.DUMMYFUNCTION("IFERROR(GOOGLEFINANCE(""NSE:""&amp;B11,""price""),"""")"),"")</f>
        <v/>
      </c>
      <c r="I11" s="22"/>
      <c r="J11" s="23">
        <f t="shared" si="1"/>
        <v>0</v>
      </c>
      <c r="K11" s="23">
        <f t="shared" si="2"/>
        <v>0</v>
      </c>
      <c r="L11" s="23">
        <f t="shared" si="3"/>
        <v>0</v>
      </c>
      <c r="M11" s="27">
        <f t="shared" si="4"/>
        <v>0</v>
      </c>
      <c r="N11" s="23">
        <f>IFERROR(__xludf.DUMMYFUNCTION("IFERROR(IF(G11&gt;0,0,GOOGLEFINANCE(""NSE:""&amp;B11,""change"")),0)"),0.0)</f>
        <v>0</v>
      </c>
      <c r="O11" s="23">
        <f t="shared" si="5"/>
        <v>0</v>
      </c>
      <c r="P11" s="23">
        <f t="shared" si="6"/>
        <v>0</v>
      </c>
      <c r="Q11" s="27">
        <f t="shared" si="7"/>
        <v>0</v>
      </c>
      <c r="R11" s="23"/>
      <c r="S11" s="23"/>
      <c r="T11" s="23"/>
      <c r="U11" s="23"/>
      <c r="V11" s="23"/>
      <c r="W11" s="23"/>
      <c r="X11" s="23"/>
      <c r="Y11" s="23"/>
      <c r="Z11" s="27"/>
      <c r="AA11" s="23"/>
      <c r="AC11" s="40" t="s">
        <v>102</v>
      </c>
    </row>
    <row r="12" ht="22.5" customHeight="1">
      <c r="A12" s="22">
        <v>11.0</v>
      </c>
      <c r="B12" s="44"/>
      <c r="C12" s="24" t="s">
        <v>104</v>
      </c>
      <c r="D12" s="25"/>
      <c r="E12" s="23"/>
      <c r="F12" s="25"/>
      <c r="G12" s="23"/>
      <c r="H12" s="26" t="str">
        <f>IFERROR(__xludf.DUMMYFUNCTION("IFERROR(GOOGLEFINANCE(""NSE:""&amp;B12,""price""),"""")"),"")</f>
        <v/>
      </c>
      <c r="I12" s="22"/>
      <c r="J12" s="23">
        <f t="shared" si="1"/>
        <v>0</v>
      </c>
      <c r="K12" s="23">
        <f t="shared" si="2"/>
        <v>0</v>
      </c>
      <c r="L12" s="23">
        <f t="shared" si="3"/>
        <v>0</v>
      </c>
      <c r="M12" s="27">
        <f t="shared" si="4"/>
        <v>0</v>
      </c>
      <c r="N12" s="23">
        <f>IFERROR(__xludf.DUMMYFUNCTION("IFERROR(IF(G12&gt;0,0,GOOGLEFINANCE(""NSE:""&amp;B12,""change"")),0)"),0.0)</f>
        <v>0</v>
      </c>
      <c r="O12" s="23">
        <f t="shared" si="5"/>
        <v>0</v>
      </c>
      <c r="P12" s="23">
        <f t="shared" si="6"/>
        <v>0</v>
      </c>
      <c r="Q12" s="27">
        <f t="shared" si="7"/>
        <v>0</v>
      </c>
      <c r="R12" s="23"/>
      <c r="S12" s="23"/>
      <c r="T12" s="23"/>
      <c r="U12" s="23"/>
      <c r="V12" s="23"/>
      <c r="W12" s="23"/>
      <c r="X12" s="23"/>
      <c r="Y12" s="23"/>
      <c r="Z12" s="27"/>
      <c r="AA12" s="23"/>
    </row>
    <row r="13" ht="22.5" customHeight="1">
      <c r="A13" s="22">
        <v>12.0</v>
      </c>
      <c r="B13" s="47"/>
      <c r="C13" s="24" t="s">
        <v>104</v>
      </c>
      <c r="D13" s="25"/>
      <c r="E13" s="23"/>
      <c r="F13" s="25"/>
      <c r="G13" s="23"/>
      <c r="H13" s="26" t="str">
        <f>IFERROR(__xludf.DUMMYFUNCTION("IFERROR(GOOGLEFINANCE(""NSE:""&amp;B13,""price""),"""")"),"")</f>
        <v/>
      </c>
      <c r="I13" s="22"/>
      <c r="J13" s="23">
        <f t="shared" si="1"/>
        <v>0</v>
      </c>
      <c r="K13" s="23">
        <f t="shared" si="2"/>
        <v>0</v>
      </c>
      <c r="L13" s="23">
        <f t="shared" si="3"/>
        <v>0</v>
      </c>
      <c r="M13" s="27">
        <f t="shared" si="4"/>
        <v>0</v>
      </c>
      <c r="N13" s="23">
        <f>IFERROR(__xludf.DUMMYFUNCTION("IFERROR(IF(G13&gt;0,0,GOOGLEFINANCE(""NSE:""&amp;B13,""change"")),0)"),0.0)</f>
        <v>0</v>
      </c>
      <c r="O13" s="23">
        <f t="shared" si="5"/>
        <v>0</v>
      </c>
      <c r="P13" s="23">
        <f t="shared" si="6"/>
        <v>0</v>
      </c>
      <c r="Q13" s="27">
        <f t="shared" si="7"/>
        <v>0</v>
      </c>
      <c r="R13" s="23"/>
      <c r="S13" s="23"/>
      <c r="T13" s="23"/>
      <c r="U13" s="23"/>
      <c r="V13" s="23"/>
      <c r="W13" s="23"/>
      <c r="X13" s="23"/>
      <c r="Y13" s="23"/>
      <c r="Z13" s="27"/>
      <c r="AA13" s="23"/>
      <c r="AC13" s="40" t="s">
        <v>102</v>
      </c>
    </row>
    <row r="14" ht="22.5" customHeight="1">
      <c r="A14" s="22">
        <v>13.0</v>
      </c>
      <c r="B14" s="22"/>
      <c r="C14" s="24" t="s">
        <v>104</v>
      </c>
      <c r="D14" s="25"/>
      <c r="E14" s="23"/>
      <c r="F14" s="25"/>
      <c r="G14" s="23"/>
      <c r="H14" s="26" t="str">
        <f>IFERROR(__xludf.DUMMYFUNCTION("IFERROR(GOOGLEFINANCE(""NSE:""&amp;B14,""price""),"""")"),"")</f>
        <v/>
      </c>
      <c r="I14" s="22"/>
      <c r="J14" s="23">
        <f t="shared" si="1"/>
        <v>0</v>
      </c>
      <c r="K14" s="23">
        <f t="shared" si="2"/>
        <v>0</v>
      </c>
      <c r="L14" s="23">
        <f t="shared" si="3"/>
        <v>0</v>
      </c>
      <c r="M14" s="27">
        <f t="shared" si="4"/>
        <v>0</v>
      </c>
      <c r="N14" s="23">
        <f>IFERROR(__xludf.DUMMYFUNCTION("IFERROR(IF(G14&gt;0,0,GOOGLEFINANCE(""NSE:""&amp;B14,""change"")),0)"),0.0)</f>
        <v>0</v>
      </c>
      <c r="O14" s="23">
        <f t="shared" si="5"/>
        <v>0</v>
      </c>
      <c r="P14" s="23">
        <f t="shared" si="6"/>
        <v>0</v>
      </c>
      <c r="Q14" s="27">
        <f t="shared" si="7"/>
        <v>0</v>
      </c>
      <c r="R14" s="23"/>
      <c r="S14" s="23"/>
      <c r="T14" s="23"/>
      <c r="U14" s="23"/>
      <c r="V14" s="23"/>
      <c r="W14" s="23"/>
      <c r="X14" s="23"/>
      <c r="Y14" s="23"/>
      <c r="Z14" s="27"/>
      <c r="AA14" s="23"/>
    </row>
    <row r="15" ht="22.5" customHeight="1">
      <c r="A15" s="22">
        <v>14.0</v>
      </c>
      <c r="B15" s="44"/>
      <c r="C15" s="24" t="s">
        <v>104</v>
      </c>
      <c r="D15" s="25"/>
      <c r="E15" s="23"/>
      <c r="F15" s="25"/>
      <c r="G15" s="23"/>
      <c r="H15" s="26" t="str">
        <f>IFERROR(__xludf.DUMMYFUNCTION("IFERROR(GOOGLEFINANCE(""NSE:""&amp;B15,""price""),"""")"),"")</f>
        <v/>
      </c>
      <c r="I15" s="22"/>
      <c r="J15" s="23">
        <f t="shared" si="1"/>
        <v>0</v>
      </c>
      <c r="K15" s="23">
        <f t="shared" si="2"/>
        <v>0</v>
      </c>
      <c r="L15" s="23">
        <f t="shared" si="3"/>
        <v>0</v>
      </c>
      <c r="M15" s="27">
        <f t="shared" si="4"/>
        <v>0</v>
      </c>
      <c r="N15" s="23">
        <f>IFERROR(__xludf.DUMMYFUNCTION("IFERROR(IF(G15&gt;0,0,GOOGLEFINANCE(""NSE:""&amp;B15,""change"")),0)"),0.0)</f>
        <v>0</v>
      </c>
      <c r="O15" s="23">
        <f t="shared" si="5"/>
        <v>0</v>
      </c>
      <c r="P15" s="23">
        <f t="shared" si="6"/>
        <v>0</v>
      </c>
      <c r="Q15" s="27">
        <f t="shared" si="7"/>
        <v>0</v>
      </c>
      <c r="R15" s="23"/>
      <c r="S15" s="23"/>
      <c r="T15" s="23"/>
      <c r="U15" s="23"/>
      <c r="V15" s="23"/>
      <c r="W15" s="23"/>
      <c r="X15" s="23"/>
      <c r="Y15" s="23"/>
      <c r="Z15" s="27"/>
      <c r="AA15" s="23"/>
    </row>
    <row r="16" ht="22.5" customHeight="1">
      <c r="A16" s="22">
        <v>15.0</v>
      </c>
      <c r="B16" s="48"/>
      <c r="C16" s="49"/>
      <c r="D16" s="25"/>
      <c r="E16" s="23"/>
      <c r="F16" s="25"/>
      <c r="G16" s="23"/>
      <c r="H16" s="26" t="str">
        <f>IFERROR(__xludf.DUMMYFUNCTION("IFERROR(GOOGLEFINANCE(""NSE:""&amp;B16,""price""),"""")"),"")</f>
        <v/>
      </c>
      <c r="I16" s="22"/>
      <c r="J16" s="23">
        <f t="shared" si="1"/>
        <v>0</v>
      </c>
      <c r="K16" s="23">
        <f t="shared" si="2"/>
        <v>0</v>
      </c>
      <c r="L16" s="23">
        <f t="shared" si="3"/>
        <v>0</v>
      </c>
      <c r="M16" s="27">
        <f t="shared" si="4"/>
        <v>0</v>
      </c>
      <c r="N16" s="23">
        <f>IFERROR(__xludf.DUMMYFUNCTION("IFERROR(IF(G16&gt;0,0,GOOGLEFINANCE(""NSE:""&amp;B16,""change"")),0)"),0.0)</f>
        <v>0</v>
      </c>
      <c r="O16" s="23">
        <f t="shared" si="5"/>
        <v>0</v>
      </c>
      <c r="P16" s="23">
        <f t="shared" si="6"/>
        <v>0</v>
      </c>
      <c r="Q16" s="27">
        <f t="shared" si="7"/>
        <v>0</v>
      </c>
      <c r="R16" s="23"/>
      <c r="S16" s="23"/>
      <c r="T16" s="23"/>
      <c r="U16" s="23"/>
      <c r="V16" s="23"/>
      <c r="W16" s="23"/>
      <c r="X16" s="23"/>
      <c r="Y16" s="23"/>
      <c r="Z16" s="27"/>
      <c r="AA16" s="23"/>
    </row>
    <row r="17" ht="22.5" customHeight="1">
      <c r="A17" s="22">
        <v>16.0</v>
      </c>
      <c r="B17" s="48"/>
      <c r="C17" s="49"/>
      <c r="D17" s="25"/>
      <c r="E17" s="23"/>
      <c r="F17" s="25"/>
      <c r="G17" s="23"/>
      <c r="H17" s="26" t="str">
        <f>IFERROR(__xludf.DUMMYFUNCTION("IFERROR(GOOGLEFINANCE(""NSE:""&amp;B17,""price""),"""")"),"")</f>
        <v/>
      </c>
      <c r="I17" s="22"/>
      <c r="J17" s="23">
        <f t="shared" si="1"/>
        <v>0</v>
      </c>
      <c r="K17" s="23">
        <f t="shared" si="2"/>
        <v>0</v>
      </c>
      <c r="L17" s="23">
        <f t="shared" si="3"/>
        <v>0</v>
      </c>
      <c r="M17" s="27">
        <f t="shared" si="4"/>
        <v>0</v>
      </c>
      <c r="N17" s="23">
        <f>IFERROR(__xludf.DUMMYFUNCTION("IFERROR(IF(G17&gt;0,0,GOOGLEFINANCE(""NSE:""&amp;B17,""change"")),0)"),0.0)</f>
        <v>0</v>
      </c>
      <c r="O17" s="23">
        <f t="shared" si="5"/>
        <v>0</v>
      </c>
      <c r="P17" s="23">
        <f t="shared" si="6"/>
        <v>0</v>
      </c>
      <c r="Q17" s="27">
        <f t="shared" si="7"/>
        <v>0</v>
      </c>
      <c r="R17" s="23"/>
      <c r="S17" s="23"/>
      <c r="T17" s="23"/>
      <c r="U17" s="23"/>
      <c r="V17" s="23"/>
      <c r="W17" s="23"/>
      <c r="X17" s="23"/>
      <c r="Y17" s="23"/>
      <c r="Z17" s="27"/>
      <c r="AA17" s="23"/>
    </row>
    <row r="18" ht="22.5" customHeight="1">
      <c r="A18" s="22">
        <v>17.0</v>
      </c>
      <c r="B18" s="47"/>
      <c r="C18" s="49"/>
      <c r="D18" s="25"/>
      <c r="E18" s="23"/>
      <c r="F18" s="25"/>
      <c r="G18" s="23"/>
      <c r="H18" s="26" t="str">
        <f>IFERROR(__xludf.DUMMYFUNCTION("IFERROR(GOOGLEFINANCE(""NSE:""&amp;B18,""price""),"""")"),"")</f>
        <v/>
      </c>
      <c r="I18" s="22"/>
      <c r="J18" s="23">
        <f t="shared" si="1"/>
        <v>0</v>
      </c>
      <c r="K18" s="23">
        <f t="shared" si="2"/>
        <v>0</v>
      </c>
      <c r="L18" s="23">
        <f t="shared" si="3"/>
        <v>0</v>
      </c>
      <c r="M18" s="27">
        <f t="shared" si="4"/>
        <v>0</v>
      </c>
      <c r="N18" s="23">
        <f>IFERROR(__xludf.DUMMYFUNCTION("IFERROR(IF(G18&gt;0,0,GOOGLEFINANCE(""NSE:""&amp;B18,""change"")),0)"),0.0)</f>
        <v>0</v>
      </c>
      <c r="O18" s="23">
        <f t="shared" si="5"/>
        <v>0</v>
      </c>
      <c r="P18" s="23">
        <f t="shared" si="6"/>
        <v>0</v>
      </c>
      <c r="Q18" s="27">
        <f t="shared" si="7"/>
        <v>0</v>
      </c>
      <c r="R18" s="23"/>
      <c r="S18" s="23"/>
      <c r="T18" s="23"/>
      <c r="U18" s="23"/>
      <c r="V18" s="23"/>
      <c r="W18" s="23"/>
      <c r="X18" s="23"/>
      <c r="Y18" s="23"/>
      <c r="Z18" s="27"/>
      <c r="AA18" s="23"/>
    </row>
    <row r="19" ht="22.5" customHeight="1">
      <c r="A19" s="22">
        <v>18.0</v>
      </c>
      <c r="B19" s="48"/>
      <c r="C19" s="49"/>
      <c r="D19" s="25"/>
      <c r="E19" s="23"/>
      <c r="F19" s="25"/>
      <c r="G19" s="23"/>
      <c r="H19" s="26" t="str">
        <f>IFERROR(__xludf.DUMMYFUNCTION("IFERROR(GOOGLEFINANCE(""NSE:""&amp;B19,""price""),"""")"),"")</f>
        <v/>
      </c>
      <c r="I19" s="22"/>
      <c r="J19" s="23">
        <f t="shared" si="1"/>
        <v>0</v>
      </c>
      <c r="K19" s="23">
        <f t="shared" si="2"/>
        <v>0</v>
      </c>
      <c r="L19" s="23">
        <f t="shared" si="3"/>
        <v>0</v>
      </c>
      <c r="M19" s="27">
        <f t="shared" si="4"/>
        <v>0</v>
      </c>
      <c r="N19" s="23">
        <f>IFERROR(__xludf.DUMMYFUNCTION("IFERROR(IF(G19&gt;0,0,GOOGLEFINANCE(""NSE:""&amp;B19,""change"")),0)"),0.0)</f>
        <v>0</v>
      </c>
      <c r="O19" s="23">
        <f t="shared" si="5"/>
        <v>0</v>
      </c>
      <c r="P19" s="23">
        <f t="shared" si="6"/>
        <v>0</v>
      </c>
      <c r="Q19" s="27">
        <f t="shared" si="7"/>
        <v>0</v>
      </c>
      <c r="R19" s="23"/>
      <c r="S19" s="23"/>
      <c r="T19" s="23"/>
      <c r="U19" s="23"/>
      <c r="V19" s="23"/>
      <c r="W19" s="23"/>
      <c r="X19" s="23"/>
      <c r="Y19" s="23"/>
      <c r="Z19" s="27"/>
      <c r="AA19" s="23"/>
    </row>
    <row r="20" ht="22.5" customHeight="1">
      <c r="A20" s="22">
        <v>19.0</v>
      </c>
      <c r="B20" s="23"/>
      <c r="C20" s="49"/>
      <c r="D20" s="25"/>
      <c r="E20" s="23"/>
      <c r="F20" s="25"/>
      <c r="G20" s="23"/>
      <c r="H20" s="26" t="str">
        <f>IFERROR(__xludf.DUMMYFUNCTION("IFERROR(GOOGLEFINANCE(""NSE:""&amp;B20,""price""),"""")"),"")</f>
        <v/>
      </c>
      <c r="I20" s="22"/>
      <c r="J20" s="23">
        <f t="shared" si="1"/>
        <v>0</v>
      </c>
      <c r="K20" s="23">
        <f t="shared" si="2"/>
        <v>0</v>
      </c>
      <c r="L20" s="23">
        <f t="shared" si="3"/>
        <v>0</v>
      </c>
      <c r="M20" s="27">
        <f t="shared" si="4"/>
        <v>0</v>
      </c>
      <c r="N20" s="23">
        <f>IFERROR(__xludf.DUMMYFUNCTION("IFERROR(IF(G20&gt;0,0,GOOGLEFINANCE(""NSE:""&amp;B20,""change"")),0)"),0.0)</f>
        <v>0</v>
      </c>
      <c r="O20" s="23">
        <f t="shared" si="5"/>
        <v>0</v>
      </c>
      <c r="P20" s="23">
        <f t="shared" si="6"/>
        <v>0</v>
      </c>
      <c r="Q20" s="27">
        <f t="shared" si="7"/>
        <v>0</v>
      </c>
      <c r="R20" s="23"/>
      <c r="S20" s="23"/>
      <c r="T20" s="23"/>
      <c r="U20" s="23"/>
      <c r="V20" s="23"/>
      <c r="W20" s="23"/>
      <c r="X20" s="23"/>
      <c r="Y20" s="23"/>
      <c r="Z20" s="27"/>
      <c r="AA20" s="23"/>
    </row>
    <row r="21" ht="22.5" customHeight="1">
      <c r="A21" s="22">
        <v>20.0</v>
      </c>
      <c r="B21" s="23"/>
      <c r="C21" s="54"/>
      <c r="D21" s="25"/>
      <c r="E21" s="23"/>
      <c r="F21" s="25"/>
      <c r="G21" s="23"/>
      <c r="H21" s="26" t="str">
        <f>IFERROR(__xludf.DUMMYFUNCTION("IFERROR(GOOGLEFINANCE(""NSE:""&amp;B21,""price""),"""")"),"")</f>
        <v/>
      </c>
      <c r="I21" s="22"/>
      <c r="J21" s="23">
        <f t="shared" si="1"/>
        <v>0</v>
      </c>
      <c r="K21" s="23">
        <f t="shared" si="2"/>
        <v>0</v>
      </c>
      <c r="L21" s="23">
        <f t="shared" si="3"/>
        <v>0</v>
      </c>
      <c r="M21" s="27">
        <f t="shared" si="4"/>
        <v>0</v>
      </c>
      <c r="N21" s="23">
        <f>IFERROR(__xludf.DUMMYFUNCTION("IFERROR(IF(G21&gt;0,0,GOOGLEFINANCE(""NSE:""&amp;B21,""change"")),0)"),0.0)</f>
        <v>0</v>
      </c>
      <c r="O21" s="23">
        <f t="shared" si="5"/>
        <v>0</v>
      </c>
      <c r="P21" s="23">
        <f t="shared" si="6"/>
        <v>0</v>
      </c>
      <c r="Q21" s="27">
        <f t="shared" si="7"/>
        <v>0</v>
      </c>
      <c r="R21" s="23"/>
      <c r="S21" s="23"/>
      <c r="T21" s="23"/>
      <c r="U21" s="23"/>
      <c r="V21" s="23"/>
      <c r="W21" s="23"/>
      <c r="X21" s="23"/>
      <c r="Y21" s="23"/>
      <c r="Z21" s="27"/>
      <c r="AA21" s="23"/>
    </row>
    <row r="22" ht="22.5" customHeight="1">
      <c r="A22" s="22">
        <v>21.0</v>
      </c>
      <c r="B22" s="23"/>
      <c r="C22" s="49"/>
      <c r="D22" s="25"/>
      <c r="E22" s="23"/>
      <c r="F22" s="25"/>
      <c r="G22" s="23"/>
      <c r="H22" s="26" t="str">
        <f>IFERROR(__xludf.DUMMYFUNCTION("IFERROR(GOOGLEFINANCE(""NSE:""&amp;B22,""price""),"""")"),"")</f>
        <v/>
      </c>
      <c r="I22" s="22"/>
      <c r="J22" s="23">
        <f t="shared" si="1"/>
        <v>0</v>
      </c>
      <c r="K22" s="23">
        <f t="shared" si="2"/>
        <v>0</v>
      </c>
      <c r="L22" s="23">
        <f t="shared" si="3"/>
        <v>0</v>
      </c>
      <c r="M22" s="27">
        <f t="shared" si="4"/>
        <v>0</v>
      </c>
      <c r="N22" s="23">
        <f>IFERROR(__xludf.DUMMYFUNCTION("IFERROR(IF(G22&gt;0,0,GOOGLEFINANCE(""NSE:""&amp;B22,""change"")),0)"),0.0)</f>
        <v>0</v>
      </c>
      <c r="O22" s="23">
        <f t="shared" si="5"/>
        <v>0</v>
      </c>
      <c r="P22" s="23">
        <f t="shared" si="6"/>
        <v>0</v>
      </c>
      <c r="Q22" s="27">
        <f t="shared" si="7"/>
        <v>0</v>
      </c>
      <c r="R22" s="23"/>
      <c r="S22" s="23"/>
      <c r="T22" s="23"/>
      <c r="U22" s="23"/>
      <c r="V22" s="23"/>
      <c r="W22" s="23"/>
      <c r="X22" s="23"/>
      <c r="Y22" s="23"/>
      <c r="Z22" s="27"/>
      <c r="AA22" s="23"/>
    </row>
    <row r="23" ht="22.5" customHeight="1">
      <c r="A23" s="22">
        <v>22.0</v>
      </c>
      <c r="B23" s="23"/>
      <c r="C23" s="49"/>
      <c r="D23" s="25"/>
      <c r="E23" s="23"/>
      <c r="F23" s="25"/>
      <c r="G23" s="23"/>
      <c r="H23" s="26" t="str">
        <f>IFERROR(__xludf.DUMMYFUNCTION("IFERROR(GOOGLEFINANCE(""NSE:""&amp;B23,""price""),"""")"),"")</f>
        <v/>
      </c>
      <c r="I23" s="22"/>
      <c r="J23" s="23">
        <f t="shared" si="1"/>
        <v>0</v>
      </c>
      <c r="K23" s="23">
        <f t="shared" si="2"/>
        <v>0</v>
      </c>
      <c r="L23" s="23">
        <f t="shared" si="3"/>
        <v>0</v>
      </c>
      <c r="M23" s="27">
        <f t="shared" si="4"/>
        <v>0</v>
      </c>
      <c r="N23" s="23">
        <f>IFERROR(__xludf.DUMMYFUNCTION("IFERROR(IF(G23&gt;0,0,GOOGLEFINANCE(""NSE:""&amp;B23,""change"")),0)"),0.0)</f>
        <v>0</v>
      </c>
      <c r="O23" s="23">
        <f t="shared" si="5"/>
        <v>0</v>
      </c>
      <c r="P23" s="23">
        <f t="shared" si="6"/>
        <v>0</v>
      </c>
      <c r="Q23" s="27">
        <f t="shared" si="7"/>
        <v>0</v>
      </c>
      <c r="R23" s="23"/>
      <c r="S23" s="23"/>
      <c r="T23" s="23"/>
      <c r="U23" s="23"/>
      <c r="V23" s="23"/>
      <c r="W23" s="23"/>
      <c r="X23" s="23"/>
      <c r="Y23" s="23"/>
      <c r="Z23" s="27"/>
      <c r="AA23" s="23"/>
    </row>
    <row r="24" ht="22.5" customHeight="1">
      <c r="A24" s="22">
        <v>23.0</v>
      </c>
      <c r="B24" s="23"/>
      <c r="C24" s="54"/>
      <c r="D24" s="25"/>
      <c r="E24" s="23"/>
      <c r="F24" s="25"/>
      <c r="G24" s="23"/>
      <c r="H24" s="26" t="str">
        <f>IFERROR(__xludf.DUMMYFUNCTION("IFERROR(GOOGLEFINANCE(""NSE:""&amp;B24,""price""),"""")"),"")</f>
        <v/>
      </c>
      <c r="I24" s="22"/>
      <c r="J24" s="23">
        <f t="shared" si="1"/>
        <v>0</v>
      </c>
      <c r="K24" s="23">
        <f t="shared" si="2"/>
        <v>0</v>
      </c>
      <c r="L24" s="23">
        <f t="shared" si="3"/>
        <v>0</v>
      </c>
      <c r="M24" s="27">
        <f t="shared" si="4"/>
        <v>0</v>
      </c>
      <c r="N24" s="23">
        <f>IFERROR(__xludf.DUMMYFUNCTION("IFERROR(IF(G24&gt;0,0,GOOGLEFINANCE(""NSE:""&amp;B24,""change"")),0)"),0.0)</f>
        <v>0</v>
      </c>
      <c r="O24" s="23">
        <f t="shared" si="5"/>
        <v>0</v>
      </c>
      <c r="P24" s="23">
        <f t="shared" si="6"/>
        <v>0</v>
      </c>
      <c r="Q24" s="27">
        <f t="shared" si="7"/>
        <v>0</v>
      </c>
      <c r="R24" s="23"/>
      <c r="S24" s="23"/>
      <c r="T24" s="23"/>
      <c r="U24" s="23"/>
      <c r="V24" s="23"/>
      <c r="W24" s="23"/>
      <c r="X24" s="23"/>
      <c r="Y24" s="23"/>
      <c r="Z24" s="27"/>
      <c r="AA24" s="23"/>
    </row>
    <row r="25" ht="22.5" customHeight="1">
      <c r="A25" s="22">
        <v>24.0</v>
      </c>
      <c r="B25" s="23"/>
      <c r="C25" s="49"/>
      <c r="D25" s="25"/>
      <c r="E25" s="23"/>
      <c r="F25" s="25"/>
      <c r="G25" s="23"/>
      <c r="H25" s="26" t="str">
        <f>IFERROR(__xludf.DUMMYFUNCTION("IFERROR(GOOGLEFINANCE(""NSE:""&amp;B25,""price""),"""")"),"")</f>
        <v/>
      </c>
      <c r="I25" s="22"/>
      <c r="J25" s="23">
        <f t="shared" si="1"/>
        <v>0</v>
      </c>
      <c r="K25" s="23">
        <f t="shared" si="2"/>
        <v>0</v>
      </c>
      <c r="L25" s="23">
        <f t="shared" si="3"/>
        <v>0</v>
      </c>
      <c r="M25" s="27">
        <f t="shared" si="4"/>
        <v>0</v>
      </c>
      <c r="N25" s="23">
        <f>IFERROR(__xludf.DUMMYFUNCTION("IFERROR(IF(G25&gt;0,0,GOOGLEFINANCE(""NSE:""&amp;B25,""change"")),0)"),0.0)</f>
        <v>0</v>
      </c>
      <c r="O25" s="23">
        <f t="shared" si="5"/>
        <v>0</v>
      </c>
      <c r="P25" s="23">
        <f t="shared" si="6"/>
        <v>0</v>
      </c>
      <c r="Q25" s="27">
        <f t="shared" si="7"/>
        <v>0</v>
      </c>
      <c r="R25" s="23"/>
      <c r="S25" s="23"/>
      <c r="T25" s="23"/>
      <c r="U25" s="23"/>
      <c r="V25" s="23"/>
      <c r="W25" s="23"/>
      <c r="X25" s="23"/>
      <c r="Y25" s="23"/>
      <c r="Z25" s="27"/>
      <c r="AA25" s="23"/>
      <c r="AL25" s="8"/>
    </row>
    <row r="26" ht="22.5" customHeight="1">
      <c r="A26" s="22">
        <v>25.0</v>
      </c>
      <c r="B26" s="23"/>
      <c r="C26" s="49"/>
      <c r="D26" s="25"/>
      <c r="E26" s="23"/>
      <c r="F26" s="25"/>
      <c r="G26" s="23"/>
      <c r="H26" s="26" t="str">
        <f>IFERROR(__xludf.DUMMYFUNCTION("IFERROR(GOOGLEFINANCE(""NSE:""&amp;B26,""price""),"""")"),"")</f>
        <v/>
      </c>
      <c r="I26" s="22"/>
      <c r="J26" s="23">
        <f t="shared" si="1"/>
        <v>0</v>
      </c>
      <c r="K26" s="23">
        <f t="shared" si="2"/>
        <v>0</v>
      </c>
      <c r="L26" s="23">
        <f t="shared" si="3"/>
        <v>0</v>
      </c>
      <c r="M26" s="27">
        <f t="shared" si="4"/>
        <v>0</v>
      </c>
      <c r="N26" s="23">
        <f>IFERROR(__xludf.DUMMYFUNCTION("IFERROR(IF(G26&gt;0,0,GOOGLEFINANCE(""NSE:""&amp;B26,""change"")),0)"),0.0)</f>
        <v>0</v>
      </c>
      <c r="O26" s="23">
        <f t="shared" si="5"/>
        <v>0</v>
      </c>
      <c r="P26" s="23">
        <f t="shared" si="6"/>
        <v>0</v>
      </c>
      <c r="Q26" s="27">
        <f t="shared" si="7"/>
        <v>0</v>
      </c>
      <c r="R26" s="23"/>
      <c r="S26" s="23"/>
      <c r="T26" s="23"/>
      <c r="U26" s="23"/>
      <c r="V26" s="23"/>
      <c r="W26" s="23"/>
      <c r="X26" s="23"/>
      <c r="Y26" s="23"/>
      <c r="Z26" s="27"/>
      <c r="AA26" s="23"/>
    </row>
    <row r="27" ht="22.5" customHeight="1">
      <c r="A27" s="22">
        <v>26.0</v>
      </c>
      <c r="B27" s="23"/>
      <c r="C27" s="49"/>
      <c r="D27" s="25"/>
      <c r="E27" s="23"/>
      <c r="F27" s="25"/>
      <c r="G27" s="23"/>
      <c r="H27" s="26" t="str">
        <f>IFERROR(__xludf.DUMMYFUNCTION("IFERROR(GOOGLEFINANCE(""NSE:""&amp;B27,""price""),"""")"),"")</f>
        <v/>
      </c>
      <c r="I27" s="22"/>
      <c r="J27" s="23">
        <f t="shared" si="1"/>
        <v>0</v>
      </c>
      <c r="K27" s="23">
        <f t="shared" si="2"/>
        <v>0</v>
      </c>
      <c r="L27" s="23">
        <f t="shared" si="3"/>
        <v>0</v>
      </c>
      <c r="M27" s="27">
        <f t="shared" si="4"/>
        <v>0</v>
      </c>
      <c r="N27" s="23">
        <f>IFERROR(__xludf.DUMMYFUNCTION("IFERROR(IF(G27&gt;0,0,GOOGLEFINANCE(""NSE:""&amp;B27,""change"")),0)"),0.0)</f>
        <v>0</v>
      </c>
      <c r="O27" s="23">
        <f t="shared" si="5"/>
        <v>0</v>
      </c>
      <c r="P27" s="23">
        <f t="shared" si="6"/>
        <v>0</v>
      </c>
      <c r="Q27" s="27">
        <f t="shared" si="7"/>
        <v>0</v>
      </c>
      <c r="R27" s="23"/>
      <c r="S27" s="23"/>
      <c r="T27" s="23"/>
      <c r="U27" s="23"/>
      <c r="V27" s="23"/>
      <c r="W27" s="23"/>
      <c r="X27" s="23"/>
      <c r="Y27" s="23"/>
      <c r="Z27" s="27"/>
      <c r="AA27" s="23"/>
    </row>
    <row r="28" ht="22.5" customHeight="1">
      <c r="A28" s="22">
        <v>27.0</v>
      </c>
      <c r="B28" s="23"/>
      <c r="C28" s="49"/>
      <c r="D28" s="25"/>
      <c r="E28" s="23"/>
      <c r="F28" s="25"/>
      <c r="G28" s="23"/>
      <c r="H28" s="26" t="str">
        <f>IFERROR(__xludf.DUMMYFUNCTION("IFERROR(GOOGLEFINANCE(""NSE:""&amp;B28,""price""),"""")"),"")</f>
        <v/>
      </c>
      <c r="I28" s="22"/>
      <c r="J28" s="23">
        <f t="shared" si="1"/>
        <v>0</v>
      </c>
      <c r="K28" s="23">
        <f t="shared" si="2"/>
        <v>0</v>
      </c>
      <c r="L28" s="23">
        <f t="shared" si="3"/>
        <v>0</v>
      </c>
      <c r="M28" s="27">
        <f t="shared" si="4"/>
        <v>0</v>
      </c>
      <c r="N28" s="23">
        <f>IFERROR(__xludf.DUMMYFUNCTION("IFERROR(IF(G28&gt;0,0,GOOGLEFINANCE(""NSE:""&amp;B28,""change"")),0)"),0.0)</f>
        <v>0</v>
      </c>
      <c r="O28" s="23">
        <f t="shared" si="5"/>
        <v>0</v>
      </c>
      <c r="P28" s="23">
        <f t="shared" si="6"/>
        <v>0</v>
      </c>
      <c r="Q28" s="27">
        <f t="shared" si="7"/>
        <v>0</v>
      </c>
      <c r="R28" s="23"/>
      <c r="S28" s="23"/>
      <c r="T28" s="23"/>
      <c r="U28" s="23"/>
      <c r="V28" s="23"/>
      <c r="W28" s="23"/>
      <c r="X28" s="23"/>
      <c r="Y28" s="23"/>
      <c r="Z28" s="27"/>
      <c r="AA28" s="23"/>
    </row>
    <row r="29" ht="22.5" customHeight="1">
      <c r="A29" s="22">
        <v>28.0</v>
      </c>
      <c r="B29" s="23"/>
      <c r="C29" s="49"/>
      <c r="D29" s="25"/>
      <c r="E29" s="23"/>
      <c r="F29" s="25"/>
      <c r="G29" s="23"/>
      <c r="H29" s="26" t="str">
        <f>IFERROR(__xludf.DUMMYFUNCTION("IFERROR(GOOGLEFINANCE(""NSE:""&amp;B29,""price""),"""")"),"")</f>
        <v/>
      </c>
      <c r="I29" s="22"/>
      <c r="J29" s="23">
        <f t="shared" si="1"/>
        <v>0</v>
      </c>
      <c r="K29" s="23">
        <f t="shared" si="2"/>
        <v>0</v>
      </c>
      <c r="L29" s="23">
        <f t="shared" si="3"/>
        <v>0</v>
      </c>
      <c r="M29" s="27">
        <f t="shared" si="4"/>
        <v>0</v>
      </c>
      <c r="N29" s="23">
        <f>IFERROR(__xludf.DUMMYFUNCTION("IFERROR(IF(G29&gt;0,0,GOOGLEFINANCE(""NSE:""&amp;B29,""change"")),0)"),0.0)</f>
        <v>0</v>
      </c>
      <c r="O29" s="23">
        <f t="shared" si="5"/>
        <v>0</v>
      </c>
      <c r="P29" s="23">
        <f t="shared" si="6"/>
        <v>0</v>
      </c>
      <c r="Q29" s="27">
        <f t="shared" si="7"/>
        <v>0</v>
      </c>
      <c r="R29" s="23"/>
      <c r="S29" s="23"/>
      <c r="T29" s="23"/>
      <c r="U29" s="23"/>
      <c r="V29" s="23"/>
      <c r="W29" s="23"/>
      <c r="X29" s="23"/>
      <c r="Y29" s="23"/>
      <c r="Z29" s="27"/>
      <c r="AA29" s="23"/>
    </row>
    <row r="30" ht="22.5" customHeight="1">
      <c r="A30" s="22">
        <v>29.0</v>
      </c>
      <c r="B30" s="23"/>
      <c r="C30" s="49"/>
      <c r="D30" s="25"/>
      <c r="E30" s="23"/>
      <c r="F30" s="25"/>
      <c r="G30" s="23"/>
      <c r="H30" s="26" t="str">
        <f>IFERROR(__xludf.DUMMYFUNCTION("IFERROR(GOOGLEFINANCE(""NSE:""&amp;B30,""price""),"""")"),"")</f>
        <v/>
      </c>
      <c r="I30" s="22"/>
      <c r="J30" s="23">
        <f t="shared" si="1"/>
        <v>0</v>
      </c>
      <c r="K30" s="23">
        <f t="shared" si="2"/>
        <v>0</v>
      </c>
      <c r="L30" s="23">
        <f t="shared" si="3"/>
        <v>0</v>
      </c>
      <c r="M30" s="27">
        <f t="shared" si="4"/>
        <v>0</v>
      </c>
      <c r="N30" s="23">
        <f>IFERROR(__xludf.DUMMYFUNCTION("IFERROR(IF(G30&gt;0,0,GOOGLEFINANCE(""NSE:""&amp;B30,""change"")),0)"),0.0)</f>
        <v>0</v>
      </c>
      <c r="O30" s="23">
        <f t="shared" si="5"/>
        <v>0</v>
      </c>
      <c r="P30" s="23">
        <f t="shared" si="6"/>
        <v>0</v>
      </c>
      <c r="Q30" s="27">
        <f t="shared" si="7"/>
        <v>0</v>
      </c>
      <c r="R30" s="23"/>
      <c r="S30" s="23"/>
      <c r="T30" s="23"/>
      <c r="U30" s="23"/>
      <c r="V30" s="23"/>
      <c r="W30" s="23"/>
      <c r="X30" s="23"/>
      <c r="Y30" s="23"/>
      <c r="Z30" s="27"/>
      <c r="AA30" s="23"/>
    </row>
    <row r="31" ht="22.5" customHeight="1">
      <c r="A31" s="22">
        <v>30.0</v>
      </c>
      <c r="B31" s="23"/>
      <c r="C31" s="49"/>
      <c r="D31" s="25"/>
      <c r="E31" s="23"/>
      <c r="F31" s="25"/>
      <c r="G31" s="23"/>
      <c r="H31" s="26" t="str">
        <f>IFERROR(__xludf.DUMMYFUNCTION("IFERROR(GOOGLEFINANCE(""NSE:""&amp;B31,""price""),"""")"),"")</f>
        <v/>
      </c>
      <c r="I31" s="22"/>
      <c r="J31" s="23">
        <f t="shared" si="1"/>
        <v>0</v>
      </c>
      <c r="K31" s="23">
        <f t="shared" si="2"/>
        <v>0</v>
      </c>
      <c r="L31" s="23">
        <f t="shared" si="3"/>
        <v>0</v>
      </c>
      <c r="M31" s="27">
        <f t="shared" si="4"/>
        <v>0</v>
      </c>
      <c r="N31" s="23">
        <f>IFERROR(__xludf.DUMMYFUNCTION("IFERROR(IF(G31&gt;0,0,GOOGLEFINANCE(""NSE:""&amp;B31,""change"")),0)"),0.0)</f>
        <v>0</v>
      </c>
      <c r="O31" s="23">
        <f t="shared" si="5"/>
        <v>0</v>
      </c>
      <c r="P31" s="23">
        <f t="shared" si="6"/>
        <v>0</v>
      </c>
      <c r="Q31" s="27">
        <f t="shared" si="7"/>
        <v>0</v>
      </c>
      <c r="R31" s="23"/>
      <c r="S31" s="23"/>
      <c r="T31" s="23"/>
      <c r="U31" s="23"/>
      <c r="V31" s="23"/>
      <c r="W31" s="23"/>
      <c r="X31" s="23"/>
      <c r="Y31" s="23"/>
      <c r="Z31" s="27"/>
      <c r="AA31" s="23"/>
    </row>
    <row r="32" ht="22.5" customHeight="1">
      <c r="A32" s="22">
        <v>31.0</v>
      </c>
      <c r="B32" s="23"/>
      <c r="C32" s="49"/>
      <c r="D32" s="25"/>
      <c r="E32" s="23"/>
      <c r="F32" s="25"/>
      <c r="G32" s="23"/>
      <c r="H32" s="26" t="str">
        <f>IFERROR(__xludf.DUMMYFUNCTION("IFERROR(GOOGLEFINANCE(""NSE:""&amp;B32,""price""),"""")"),"")</f>
        <v/>
      </c>
      <c r="I32" s="22"/>
      <c r="J32" s="23">
        <f t="shared" si="1"/>
        <v>0</v>
      </c>
      <c r="K32" s="23">
        <f t="shared" si="2"/>
        <v>0</v>
      </c>
      <c r="L32" s="23">
        <f t="shared" si="3"/>
        <v>0</v>
      </c>
      <c r="M32" s="27">
        <f t="shared" si="4"/>
        <v>0</v>
      </c>
      <c r="N32" s="23">
        <f>IFERROR(__xludf.DUMMYFUNCTION("IFERROR(IF(G32&gt;0,0,GOOGLEFINANCE(""NSE:""&amp;B32,""change"")),0)"),0.0)</f>
        <v>0</v>
      </c>
      <c r="O32" s="23">
        <f t="shared" si="5"/>
        <v>0</v>
      </c>
      <c r="P32" s="23">
        <f t="shared" si="6"/>
        <v>0</v>
      </c>
      <c r="Q32" s="27">
        <f t="shared" si="7"/>
        <v>0</v>
      </c>
      <c r="R32" s="23"/>
      <c r="S32" s="23"/>
      <c r="T32" s="23"/>
      <c r="U32" s="23"/>
      <c r="V32" s="23"/>
      <c r="W32" s="23"/>
      <c r="X32" s="23"/>
      <c r="Y32" s="23"/>
      <c r="Z32" s="27"/>
      <c r="AA32" s="23"/>
    </row>
    <row r="33" ht="22.5" customHeight="1">
      <c r="A33" s="22">
        <v>32.0</v>
      </c>
      <c r="B33" s="23"/>
      <c r="C33" s="49"/>
      <c r="D33" s="25"/>
      <c r="E33" s="23"/>
      <c r="F33" s="25"/>
      <c r="G33" s="23"/>
      <c r="H33" s="26" t="str">
        <f>IFERROR(__xludf.DUMMYFUNCTION("IFERROR(GOOGLEFINANCE(""NSE:""&amp;B33,""price""),"""")"),"")</f>
        <v/>
      </c>
      <c r="I33" s="22"/>
      <c r="J33" s="23">
        <f t="shared" si="1"/>
        <v>0</v>
      </c>
      <c r="K33" s="23">
        <f t="shared" si="2"/>
        <v>0</v>
      </c>
      <c r="L33" s="23">
        <f t="shared" si="3"/>
        <v>0</v>
      </c>
      <c r="M33" s="27">
        <f t="shared" si="4"/>
        <v>0</v>
      </c>
      <c r="N33" s="23">
        <f>IFERROR(__xludf.DUMMYFUNCTION("IFERROR(IF(G33&gt;0,0,GOOGLEFINANCE(""NSE:""&amp;B33,""change"")),0)"),0.0)</f>
        <v>0</v>
      </c>
      <c r="O33" s="23">
        <f t="shared" si="5"/>
        <v>0</v>
      </c>
      <c r="P33" s="23">
        <f t="shared" si="6"/>
        <v>0</v>
      </c>
      <c r="Q33" s="27">
        <f t="shared" si="7"/>
        <v>0</v>
      </c>
    </row>
    <row r="34" ht="22.5" customHeight="1">
      <c r="A34" s="22">
        <v>33.0</v>
      </c>
      <c r="B34" s="23"/>
      <c r="C34" s="49"/>
      <c r="D34" s="25"/>
      <c r="E34" s="23"/>
      <c r="F34" s="25"/>
      <c r="G34" s="23"/>
      <c r="H34" s="26" t="str">
        <f>IFERROR(__xludf.DUMMYFUNCTION("IFERROR(GOOGLEFINANCE(""NSE:""&amp;B34,""price""),"""")"),"")</f>
        <v/>
      </c>
      <c r="I34" s="22"/>
      <c r="J34" s="23">
        <f t="shared" si="1"/>
        <v>0</v>
      </c>
      <c r="K34" s="23">
        <f t="shared" si="2"/>
        <v>0</v>
      </c>
      <c r="L34" s="23">
        <f t="shared" si="3"/>
        <v>0</v>
      </c>
      <c r="M34" s="27">
        <f t="shared" si="4"/>
        <v>0</v>
      </c>
      <c r="N34" s="23">
        <f>IFERROR(__xludf.DUMMYFUNCTION("IFERROR(IF(G34&gt;0,0,GOOGLEFINANCE(""NSE:""&amp;B34,""change"")),0)"),0.0)</f>
        <v>0</v>
      </c>
      <c r="O34" s="23">
        <f t="shared" si="5"/>
        <v>0</v>
      </c>
      <c r="P34" s="23">
        <f t="shared" si="6"/>
        <v>0</v>
      </c>
      <c r="Q34" s="27">
        <f t="shared" si="7"/>
        <v>0</v>
      </c>
      <c r="R34" s="23"/>
      <c r="S34" s="23"/>
      <c r="T34" s="23"/>
      <c r="U34" s="23"/>
      <c r="V34" s="23"/>
      <c r="W34" s="23"/>
      <c r="X34" s="23"/>
      <c r="Y34" s="23"/>
      <c r="Z34" s="27"/>
      <c r="AA34" s="23"/>
    </row>
    <row r="35" ht="22.5" customHeight="1">
      <c r="A35" s="22">
        <v>34.0</v>
      </c>
      <c r="B35" s="23"/>
      <c r="C35" s="49"/>
      <c r="D35" s="25"/>
      <c r="E35" s="23"/>
      <c r="F35" s="25"/>
      <c r="G35" s="23"/>
      <c r="H35" s="26" t="str">
        <f>IFERROR(__xludf.DUMMYFUNCTION("IFERROR(GOOGLEFINANCE(""NSE:""&amp;B35,""price""),"""")"),"")</f>
        <v/>
      </c>
      <c r="I35" s="22"/>
      <c r="J35" s="23">
        <f t="shared" si="1"/>
        <v>0</v>
      </c>
      <c r="K35" s="23">
        <f t="shared" si="2"/>
        <v>0</v>
      </c>
      <c r="L35" s="23">
        <f t="shared" si="3"/>
        <v>0</v>
      </c>
      <c r="M35" s="27">
        <f t="shared" si="4"/>
        <v>0</v>
      </c>
      <c r="N35" s="23">
        <f>IFERROR(__xludf.DUMMYFUNCTION("IFERROR(IF(G35&gt;0,0,GOOGLEFINANCE(""NSE:""&amp;B35,""change"")),0)"),0.0)</f>
        <v>0</v>
      </c>
      <c r="O35" s="23">
        <f t="shared" si="5"/>
        <v>0</v>
      </c>
      <c r="P35" s="23">
        <f t="shared" si="6"/>
        <v>0</v>
      </c>
      <c r="Q35" s="27">
        <f t="shared" si="7"/>
        <v>0</v>
      </c>
      <c r="R35" s="23"/>
      <c r="S35" s="23"/>
      <c r="T35" s="23"/>
      <c r="U35" s="23"/>
      <c r="V35" s="23"/>
      <c r="W35" s="23"/>
      <c r="X35" s="23"/>
      <c r="Y35" s="23"/>
      <c r="Z35" s="27"/>
      <c r="AA35" s="23"/>
    </row>
    <row r="36" ht="22.5" customHeight="1">
      <c r="A36" s="22">
        <v>35.0</v>
      </c>
      <c r="B36" s="23"/>
      <c r="C36" s="49"/>
      <c r="D36" s="25"/>
      <c r="E36" s="23"/>
      <c r="F36" s="25"/>
      <c r="G36" s="23"/>
      <c r="H36" s="26" t="str">
        <f>IFERROR(__xludf.DUMMYFUNCTION("IFERROR(GOOGLEFINANCE(""NSE:""&amp;B36,""price""),"""")"),"")</f>
        <v/>
      </c>
      <c r="I36" s="22"/>
      <c r="J36" s="23">
        <f t="shared" si="1"/>
        <v>0</v>
      </c>
      <c r="K36" s="23">
        <f t="shared" si="2"/>
        <v>0</v>
      </c>
      <c r="L36" s="23">
        <f t="shared" si="3"/>
        <v>0</v>
      </c>
      <c r="M36" s="27">
        <f t="shared" si="4"/>
        <v>0</v>
      </c>
      <c r="N36" s="23">
        <f>IFERROR(__xludf.DUMMYFUNCTION("IFERROR(IF(G36&gt;0,0,GOOGLEFINANCE(""NSE:""&amp;B36,""change"")),0)"),0.0)</f>
        <v>0</v>
      </c>
      <c r="O36" s="23">
        <f t="shared" si="5"/>
        <v>0</v>
      </c>
      <c r="P36" s="23">
        <f t="shared" si="6"/>
        <v>0</v>
      </c>
      <c r="Q36" s="27">
        <f t="shared" si="7"/>
        <v>0</v>
      </c>
      <c r="R36" s="23"/>
      <c r="S36" s="23"/>
      <c r="T36" s="23"/>
      <c r="U36" s="23"/>
      <c r="V36" s="23"/>
      <c r="W36" s="23"/>
      <c r="X36" s="23"/>
      <c r="Y36" s="23"/>
      <c r="Z36" s="27"/>
      <c r="AA36" s="23"/>
    </row>
    <row r="37" ht="22.5" customHeight="1">
      <c r="A37" s="22">
        <v>36.0</v>
      </c>
      <c r="B37" s="23"/>
      <c r="C37" s="49"/>
      <c r="D37" s="25"/>
      <c r="E37" s="23"/>
      <c r="F37" s="25"/>
      <c r="G37" s="23"/>
      <c r="H37" s="26" t="str">
        <f>IFERROR(__xludf.DUMMYFUNCTION("IFERROR(GOOGLEFINANCE(""NSE:""&amp;B37,""price""),"""")"),"")</f>
        <v/>
      </c>
      <c r="I37" s="22"/>
      <c r="J37" s="23">
        <f t="shared" si="1"/>
        <v>0</v>
      </c>
      <c r="K37" s="23">
        <f t="shared" si="2"/>
        <v>0</v>
      </c>
      <c r="L37" s="23">
        <f t="shared" si="3"/>
        <v>0</v>
      </c>
      <c r="M37" s="27">
        <f t="shared" si="4"/>
        <v>0</v>
      </c>
      <c r="N37" s="23">
        <f>IFERROR(__xludf.DUMMYFUNCTION("IFERROR(IF(G37&gt;0,0,GOOGLEFINANCE(""NSE:""&amp;B37,""change"")),0)"),0.0)</f>
        <v>0</v>
      </c>
      <c r="O37" s="23">
        <f t="shared" si="5"/>
        <v>0</v>
      </c>
      <c r="P37" s="23">
        <f t="shared" si="6"/>
        <v>0</v>
      </c>
      <c r="Q37" s="27">
        <f t="shared" si="7"/>
        <v>0</v>
      </c>
      <c r="R37" s="23"/>
      <c r="S37" s="23"/>
      <c r="T37" s="23"/>
      <c r="U37" s="23"/>
      <c r="V37" s="23"/>
      <c r="W37" s="23"/>
      <c r="X37" s="23"/>
      <c r="Y37" s="23"/>
      <c r="Z37" s="27"/>
      <c r="AA37" s="23"/>
    </row>
    <row r="38" ht="22.5" customHeight="1">
      <c r="A38" s="22">
        <v>37.0</v>
      </c>
      <c r="B38" s="23"/>
      <c r="C38" s="49"/>
      <c r="D38" s="25"/>
      <c r="E38" s="23"/>
      <c r="F38" s="25"/>
      <c r="G38" s="23"/>
      <c r="H38" s="26" t="str">
        <f>IFERROR(__xludf.DUMMYFUNCTION("IFERROR(GOOGLEFINANCE(""NSE:""&amp;B38,""price""),"""")"),"")</f>
        <v/>
      </c>
      <c r="I38" s="22"/>
      <c r="J38" s="23">
        <f t="shared" si="1"/>
        <v>0</v>
      </c>
      <c r="K38" s="23">
        <f t="shared" si="2"/>
        <v>0</v>
      </c>
      <c r="L38" s="23">
        <f t="shared" si="3"/>
        <v>0</v>
      </c>
      <c r="M38" s="27">
        <f t="shared" si="4"/>
        <v>0</v>
      </c>
      <c r="N38" s="23">
        <f>IFERROR(__xludf.DUMMYFUNCTION("IFERROR(IF(G38&gt;0,0,GOOGLEFINANCE(""NSE:""&amp;B38,""change"")),0)"),0.0)</f>
        <v>0</v>
      </c>
      <c r="O38" s="23">
        <f t="shared" si="5"/>
        <v>0</v>
      </c>
      <c r="P38" s="23">
        <f t="shared" si="6"/>
        <v>0</v>
      </c>
      <c r="Q38" s="27">
        <f t="shared" si="7"/>
        <v>0</v>
      </c>
      <c r="R38" s="23"/>
      <c r="S38" s="23"/>
      <c r="T38" s="23"/>
      <c r="U38" s="23"/>
      <c r="V38" s="23"/>
      <c r="W38" s="23"/>
      <c r="X38" s="23"/>
      <c r="Y38" s="23"/>
      <c r="Z38" s="27"/>
      <c r="AA38" s="23"/>
    </row>
    <row r="39" ht="22.5" customHeight="1">
      <c r="A39" s="22">
        <v>38.0</v>
      </c>
      <c r="B39" s="23"/>
      <c r="C39" s="49"/>
      <c r="D39" s="25"/>
      <c r="E39" s="23"/>
      <c r="F39" s="25"/>
      <c r="G39" s="23"/>
      <c r="H39" s="26" t="str">
        <f>IFERROR(__xludf.DUMMYFUNCTION("IFERROR(GOOGLEFINANCE(""NSE:""&amp;B39,""price""),"""")"),"")</f>
        <v/>
      </c>
      <c r="I39" s="22"/>
      <c r="J39" s="23">
        <f t="shared" si="1"/>
        <v>0</v>
      </c>
      <c r="K39" s="23">
        <f t="shared" si="2"/>
        <v>0</v>
      </c>
      <c r="L39" s="23">
        <f t="shared" si="3"/>
        <v>0</v>
      </c>
      <c r="M39" s="27">
        <f t="shared" si="4"/>
        <v>0</v>
      </c>
      <c r="N39" s="23">
        <f>IFERROR(__xludf.DUMMYFUNCTION("IFERROR(IF(G39&gt;0,0,GOOGLEFINANCE(""NSE:""&amp;B39,""change"")),0)"),0.0)</f>
        <v>0</v>
      </c>
      <c r="O39" s="23">
        <f t="shared" si="5"/>
        <v>0</v>
      </c>
      <c r="P39" s="23">
        <f t="shared" si="6"/>
        <v>0</v>
      </c>
      <c r="Q39" s="27">
        <f t="shared" si="7"/>
        <v>0</v>
      </c>
      <c r="R39" s="23"/>
      <c r="S39" s="23"/>
      <c r="T39" s="23"/>
      <c r="U39" s="23"/>
      <c r="V39" s="23"/>
      <c r="W39" s="23"/>
      <c r="X39" s="23"/>
      <c r="Y39" s="23"/>
      <c r="Z39" s="27"/>
      <c r="AA39" s="23"/>
    </row>
    <row r="40" ht="22.5" customHeight="1">
      <c r="A40" s="22">
        <v>39.0</v>
      </c>
      <c r="B40" s="23"/>
      <c r="C40" s="49"/>
      <c r="D40" s="25"/>
      <c r="E40" s="23"/>
      <c r="F40" s="25"/>
      <c r="G40" s="23"/>
      <c r="H40" s="26" t="str">
        <f>IFERROR(__xludf.DUMMYFUNCTION("IFERROR(GOOGLEFINANCE(""NSE:""&amp;B40,""price""),"""")"),"")</f>
        <v/>
      </c>
      <c r="I40" s="22"/>
      <c r="J40" s="23">
        <f t="shared" si="1"/>
        <v>0</v>
      </c>
      <c r="K40" s="23">
        <f t="shared" si="2"/>
        <v>0</v>
      </c>
      <c r="L40" s="23">
        <f t="shared" si="3"/>
        <v>0</v>
      </c>
      <c r="M40" s="27">
        <f t="shared" si="4"/>
        <v>0</v>
      </c>
      <c r="N40" s="23">
        <f>IFERROR(__xludf.DUMMYFUNCTION("IFERROR(IF(G40&gt;0,0,GOOGLEFINANCE(""NSE:""&amp;B40,""change"")),0)"),0.0)</f>
        <v>0</v>
      </c>
      <c r="O40" s="23">
        <f t="shared" si="5"/>
        <v>0</v>
      </c>
      <c r="P40" s="23">
        <f t="shared" si="6"/>
        <v>0</v>
      </c>
      <c r="Q40" s="27">
        <f t="shared" si="7"/>
        <v>0</v>
      </c>
      <c r="R40" s="23"/>
      <c r="S40" s="23"/>
      <c r="T40" s="23"/>
      <c r="U40" s="23"/>
      <c r="V40" s="23"/>
      <c r="W40" s="23"/>
      <c r="X40" s="23"/>
      <c r="Y40" s="23"/>
      <c r="Z40" s="27"/>
      <c r="AA40" s="23"/>
    </row>
    <row r="41" ht="22.5" customHeight="1">
      <c r="A41" s="22">
        <v>40.0</v>
      </c>
      <c r="B41" s="23"/>
      <c r="C41" s="49"/>
      <c r="D41" s="25"/>
      <c r="E41" s="23"/>
      <c r="F41" s="25"/>
      <c r="G41" s="23"/>
      <c r="H41" s="26" t="str">
        <f>IFERROR(__xludf.DUMMYFUNCTION("IFERROR(GOOGLEFINANCE(""NSE:""&amp;B41,""price""),"""")"),"")</f>
        <v/>
      </c>
      <c r="I41" s="22"/>
      <c r="J41" s="23">
        <f t="shared" si="1"/>
        <v>0</v>
      </c>
      <c r="K41" s="23">
        <f t="shared" si="2"/>
        <v>0</v>
      </c>
      <c r="L41" s="23">
        <f t="shared" si="3"/>
        <v>0</v>
      </c>
      <c r="M41" s="27">
        <f t="shared" si="4"/>
        <v>0</v>
      </c>
      <c r="N41" s="23">
        <f>IFERROR(__xludf.DUMMYFUNCTION("IFERROR(IF(G41&gt;0,0,GOOGLEFINANCE(""NSE:""&amp;B41,""change"")),0)"),0.0)</f>
        <v>0</v>
      </c>
      <c r="O41" s="23">
        <f t="shared" si="5"/>
        <v>0</v>
      </c>
      <c r="P41" s="23">
        <f t="shared" si="6"/>
        <v>0</v>
      </c>
      <c r="Q41" s="27">
        <f t="shared" si="7"/>
        <v>0</v>
      </c>
      <c r="R41" s="23"/>
      <c r="S41" s="23"/>
      <c r="T41" s="23"/>
      <c r="U41" s="23"/>
      <c r="V41" s="23"/>
      <c r="W41" s="23"/>
      <c r="X41" s="23"/>
      <c r="Y41" s="23"/>
      <c r="Z41" s="27"/>
      <c r="AA41" s="23"/>
    </row>
    <row r="42" ht="22.5" customHeight="1">
      <c r="A42" s="22">
        <v>41.0</v>
      </c>
      <c r="B42" s="23"/>
      <c r="C42" s="49"/>
      <c r="D42" s="25"/>
      <c r="E42" s="23"/>
      <c r="F42" s="25"/>
      <c r="G42" s="23"/>
      <c r="H42" s="26" t="str">
        <f>IFERROR(__xludf.DUMMYFUNCTION("IFERROR(GOOGLEFINANCE(""NSE:""&amp;B42,""price""),"""")"),"")</f>
        <v/>
      </c>
      <c r="I42" s="22"/>
      <c r="J42" s="23">
        <f t="shared" si="1"/>
        <v>0</v>
      </c>
      <c r="K42" s="23">
        <f t="shared" si="2"/>
        <v>0</v>
      </c>
      <c r="L42" s="23">
        <f t="shared" si="3"/>
        <v>0</v>
      </c>
      <c r="M42" s="27">
        <f t="shared" si="4"/>
        <v>0</v>
      </c>
      <c r="N42" s="23">
        <f>IFERROR(__xludf.DUMMYFUNCTION("IFERROR(IF(G42&gt;0,0,GOOGLEFINANCE(""NSE:""&amp;B42,""change"")),0)"),0.0)</f>
        <v>0</v>
      </c>
      <c r="O42" s="23">
        <f t="shared" si="5"/>
        <v>0</v>
      </c>
      <c r="P42" s="23">
        <f t="shared" si="6"/>
        <v>0</v>
      </c>
      <c r="Q42" s="27">
        <f t="shared" si="7"/>
        <v>0</v>
      </c>
      <c r="R42" s="23"/>
      <c r="S42" s="23"/>
      <c r="T42" s="23"/>
      <c r="U42" s="23"/>
      <c r="V42" s="23"/>
      <c r="W42" s="23"/>
      <c r="X42" s="23"/>
      <c r="Y42" s="23"/>
      <c r="Z42" s="27"/>
      <c r="AA42" s="23"/>
    </row>
    <row r="43" ht="22.5" customHeight="1">
      <c r="A43" s="22">
        <v>42.0</v>
      </c>
      <c r="B43" s="23"/>
      <c r="C43" s="49"/>
      <c r="D43" s="25"/>
      <c r="E43" s="23"/>
      <c r="F43" s="22"/>
      <c r="G43" s="23"/>
      <c r="H43" s="26" t="str">
        <f>IFERROR(__xludf.DUMMYFUNCTION("IFERROR(GOOGLEFINANCE(""NSE:""&amp;B43,""price""),"""")"),"")</f>
        <v/>
      </c>
      <c r="I43" s="22"/>
      <c r="J43" s="23">
        <f t="shared" si="1"/>
        <v>0</v>
      </c>
      <c r="K43" s="23">
        <f t="shared" si="2"/>
        <v>0</v>
      </c>
      <c r="L43" s="23">
        <f t="shared" si="3"/>
        <v>0</v>
      </c>
      <c r="M43" s="27">
        <f t="shared" si="4"/>
        <v>0</v>
      </c>
      <c r="N43" s="23">
        <f>IFERROR(__xludf.DUMMYFUNCTION("IFERROR(IF(G43&gt;0,0,GOOGLEFINANCE(""NSE:""&amp;B43,""change"")),0)"),0.0)</f>
        <v>0</v>
      </c>
      <c r="O43" s="23">
        <f t="shared" si="5"/>
        <v>0</v>
      </c>
      <c r="P43" s="23">
        <f t="shared" si="6"/>
        <v>0</v>
      </c>
      <c r="Q43" s="27">
        <f t="shared" si="7"/>
        <v>0</v>
      </c>
      <c r="R43" s="23"/>
      <c r="S43" s="23"/>
      <c r="T43" s="23"/>
      <c r="U43" s="23"/>
      <c r="V43" s="23"/>
      <c r="W43" s="23"/>
      <c r="X43" s="23"/>
      <c r="Y43" s="23"/>
      <c r="Z43" s="27"/>
      <c r="AA43" s="23"/>
    </row>
    <row r="44" ht="22.5" customHeight="1">
      <c r="A44" s="22">
        <v>43.0</v>
      </c>
      <c r="B44" s="23"/>
      <c r="C44" s="49"/>
      <c r="D44" s="25"/>
      <c r="E44" s="23"/>
      <c r="F44" s="25"/>
      <c r="G44" s="23"/>
      <c r="H44" s="26" t="str">
        <f>IFERROR(__xludf.DUMMYFUNCTION("IFERROR(GOOGLEFINANCE(""NSE:""&amp;B44,""price""),"""")"),"")</f>
        <v/>
      </c>
      <c r="I44" s="22"/>
      <c r="J44" s="23">
        <f t="shared" si="1"/>
        <v>0</v>
      </c>
      <c r="K44" s="23">
        <f t="shared" si="2"/>
        <v>0</v>
      </c>
      <c r="L44" s="23">
        <f t="shared" si="3"/>
        <v>0</v>
      </c>
      <c r="M44" s="27">
        <f t="shared" si="4"/>
        <v>0</v>
      </c>
      <c r="N44" s="23">
        <f>IFERROR(__xludf.DUMMYFUNCTION("IFERROR(IF(G44&gt;0,0,GOOGLEFINANCE(""NSE:""&amp;B44,""change"")),0)"),0.0)</f>
        <v>0</v>
      </c>
      <c r="O44" s="23">
        <f t="shared" si="5"/>
        <v>0</v>
      </c>
      <c r="P44" s="23">
        <f t="shared" si="6"/>
        <v>0</v>
      </c>
      <c r="Q44" s="27">
        <f t="shared" si="7"/>
        <v>0</v>
      </c>
      <c r="R44" s="23"/>
      <c r="S44" s="23"/>
      <c r="T44" s="23"/>
      <c r="U44" s="23"/>
      <c r="V44" s="23"/>
      <c r="W44" s="23"/>
      <c r="X44" s="23"/>
      <c r="Y44" s="23"/>
      <c r="Z44" s="27"/>
      <c r="AA44" s="23"/>
    </row>
    <row r="45" ht="22.5" customHeight="1">
      <c r="A45" s="22">
        <v>44.0</v>
      </c>
      <c r="B45" s="23"/>
      <c r="C45" s="49"/>
      <c r="D45" s="25"/>
      <c r="E45" s="23"/>
      <c r="F45" s="25"/>
      <c r="G45" s="23"/>
      <c r="H45" s="26" t="str">
        <f>IFERROR(__xludf.DUMMYFUNCTION("IFERROR(GOOGLEFINANCE(""NSE:""&amp;B45,""price""),"""")"),"")</f>
        <v/>
      </c>
      <c r="I45" s="22"/>
      <c r="J45" s="23">
        <f t="shared" si="1"/>
        <v>0</v>
      </c>
      <c r="K45" s="23">
        <f t="shared" si="2"/>
        <v>0</v>
      </c>
      <c r="L45" s="23">
        <f t="shared" si="3"/>
        <v>0</v>
      </c>
      <c r="M45" s="27">
        <f t="shared" si="4"/>
        <v>0</v>
      </c>
      <c r="N45" s="23">
        <f>IFERROR(__xludf.DUMMYFUNCTION("IFERROR(IF(G45&gt;0,0,GOOGLEFINANCE(""NSE:""&amp;B45,""change"")),0)"),0.0)</f>
        <v>0</v>
      </c>
      <c r="O45" s="23">
        <f t="shared" si="5"/>
        <v>0</v>
      </c>
      <c r="P45" s="23">
        <f t="shared" si="6"/>
        <v>0</v>
      </c>
      <c r="Q45" s="27">
        <f t="shared" si="7"/>
        <v>0</v>
      </c>
      <c r="R45" s="23"/>
      <c r="S45" s="23"/>
      <c r="T45" s="23"/>
      <c r="U45" s="23"/>
      <c r="V45" s="23"/>
      <c r="W45" s="23"/>
      <c r="X45" s="23"/>
      <c r="Y45" s="23"/>
      <c r="Z45" s="27"/>
      <c r="AA45" s="23"/>
    </row>
    <row r="46" ht="22.5" customHeight="1">
      <c r="A46" s="22">
        <v>45.0</v>
      </c>
      <c r="B46" s="23"/>
      <c r="C46" s="49"/>
      <c r="D46" s="25"/>
      <c r="E46" s="23"/>
      <c r="F46" s="25"/>
      <c r="G46" s="23"/>
      <c r="H46" s="26" t="str">
        <f>IFERROR(__xludf.DUMMYFUNCTION("IFERROR(GOOGLEFINANCE(""NSE:""&amp;B46,""price""),"""")"),"")</f>
        <v/>
      </c>
      <c r="I46" s="22"/>
      <c r="J46" s="23">
        <f t="shared" si="1"/>
        <v>0</v>
      </c>
      <c r="K46" s="23">
        <f t="shared" si="2"/>
        <v>0</v>
      </c>
      <c r="L46" s="23">
        <f t="shared" si="3"/>
        <v>0</v>
      </c>
      <c r="M46" s="27">
        <f t="shared" si="4"/>
        <v>0</v>
      </c>
      <c r="N46" s="23">
        <f>IFERROR(__xludf.DUMMYFUNCTION("IFERROR(IF(G46&gt;0,0,GOOGLEFINANCE(""NSE:""&amp;B46,""change"")),0)"),0.0)</f>
        <v>0</v>
      </c>
      <c r="O46" s="23">
        <f t="shared" si="5"/>
        <v>0</v>
      </c>
      <c r="P46" s="23">
        <f t="shared" si="6"/>
        <v>0</v>
      </c>
      <c r="Q46" s="27">
        <f t="shared" si="7"/>
        <v>0</v>
      </c>
      <c r="R46" s="23"/>
      <c r="S46" s="23"/>
      <c r="T46" s="23"/>
      <c r="U46" s="23"/>
      <c r="V46" s="23"/>
      <c r="W46" s="23"/>
      <c r="X46" s="23"/>
      <c r="Y46" s="23"/>
      <c r="Z46" s="27"/>
      <c r="AA46" s="23"/>
    </row>
    <row r="47" ht="22.5" customHeight="1">
      <c r="A47" s="22">
        <v>46.0</v>
      </c>
      <c r="B47" s="23"/>
      <c r="C47" s="49"/>
      <c r="D47" s="25"/>
      <c r="E47" s="23"/>
      <c r="F47" s="25"/>
      <c r="G47" s="23"/>
      <c r="H47" s="26" t="str">
        <f>IFERROR(__xludf.DUMMYFUNCTION("IFERROR(GOOGLEFINANCE(""NSE:""&amp;B47,""price""),"""")"),"")</f>
        <v/>
      </c>
      <c r="I47" s="22"/>
      <c r="J47" s="23">
        <f t="shared" si="1"/>
        <v>0</v>
      </c>
      <c r="K47" s="23">
        <f t="shared" si="2"/>
        <v>0</v>
      </c>
      <c r="L47" s="23">
        <f t="shared" si="3"/>
        <v>0</v>
      </c>
      <c r="M47" s="27">
        <f t="shared" si="4"/>
        <v>0</v>
      </c>
      <c r="N47" s="23">
        <f>IFERROR(__xludf.DUMMYFUNCTION("IFERROR(IF(G47&gt;0,0,GOOGLEFINANCE(""NSE:""&amp;B47,""change"")),0)"),0.0)</f>
        <v>0</v>
      </c>
      <c r="O47" s="23">
        <f t="shared" si="5"/>
        <v>0</v>
      </c>
      <c r="P47" s="23">
        <f t="shared" si="6"/>
        <v>0</v>
      </c>
      <c r="Q47" s="27">
        <f t="shared" si="7"/>
        <v>0</v>
      </c>
      <c r="R47" s="23"/>
      <c r="S47" s="23"/>
      <c r="T47" s="23"/>
      <c r="U47" s="23"/>
      <c r="V47" s="23"/>
      <c r="W47" s="23"/>
      <c r="X47" s="23"/>
      <c r="Y47" s="23"/>
      <c r="Z47" s="27"/>
      <c r="AA47" s="23"/>
    </row>
    <row r="48" ht="22.5" customHeight="1">
      <c r="A48" s="22">
        <v>47.0</v>
      </c>
      <c r="B48" s="23"/>
      <c r="C48" s="49"/>
      <c r="D48" s="25"/>
      <c r="E48" s="23"/>
      <c r="F48" s="25"/>
      <c r="G48" s="23"/>
      <c r="H48" s="26" t="str">
        <f>IFERROR(__xludf.DUMMYFUNCTION("IFERROR(GOOGLEFINANCE(""NSE:""&amp;B48,""price""),"""")"),"")</f>
        <v/>
      </c>
      <c r="I48" s="22"/>
      <c r="J48" s="23">
        <f t="shared" si="1"/>
        <v>0</v>
      </c>
      <c r="K48" s="23">
        <f t="shared" si="2"/>
        <v>0</v>
      </c>
      <c r="L48" s="23">
        <f t="shared" si="3"/>
        <v>0</v>
      </c>
      <c r="M48" s="27">
        <f t="shared" si="4"/>
        <v>0</v>
      </c>
      <c r="N48" s="23">
        <f>IFERROR(__xludf.DUMMYFUNCTION("IFERROR(IF(G48&gt;0,0,GOOGLEFINANCE(""NSE:""&amp;B48,""change"")),0)"),0.0)</f>
        <v>0</v>
      </c>
      <c r="O48" s="23">
        <f t="shared" si="5"/>
        <v>0</v>
      </c>
      <c r="P48" s="23">
        <f t="shared" si="6"/>
        <v>0</v>
      </c>
      <c r="Q48" s="27">
        <f t="shared" si="7"/>
        <v>0</v>
      </c>
      <c r="R48" s="23"/>
      <c r="S48" s="23"/>
      <c r="T48" s="23"/>
      <c r="U48" s="23"/>
      <c r="V48" s="23"/>
      <c r="W48" s="23"/>
      <c r="X48" s="23"/>
      <c r="Y48" s="23"/>
      <c r="Z48" s="27"/>
      <c r="AA48" s="23"/>
    </row>
    <row r="49" ht="22.5" customHeight="1">
      <c r="A49" s="22">
        <v>48.0</v>
      </c>
      <c r="B49" s="23"/>
      <c r="C49" s="49"/>
      <c r="D49" s="25"/>
      <c r="E49" s="23"/>
      <c r="F49" s="25"/>
      <c r="G49" s="23"/>
      <c r="H49" s="26" t="str">
        <f>IFERROR(__xludf.DUMMYFUNCTION("IFERROR(GOOGLEFINANCE(""NSE:""&amp;B49,""price""),"""")"),"")</f>
        <v/>
      </c>
      <c r="I49" s="22"/>
      <c r="J49" s="23">
        <f t="shared" si="1"/>
        <v>0</v>
      </c>
      <c r="K49" s="23">
        <f t="shared" si="2"/>
        <v>0</v>
      </c>
      <c r="L49" s="23">
        <f t="shared" si="3"/>
        <v>0</v>
      </c>
      <c r="M49" s="27">
        <f t="shared" si="4"/>
        <v>0</v>
      </c>
      <c r="N49" s="23">
        <f>IFERROR(__xludf.DUMMYFUNCTION("IFERROR(IF(G49&gt;0,0,GOOGLEFINANCE(""NSE:""&amp;B49,""change"")),0)"),0.0)</f>
        <v>0</v>
      </c>
      <c r="O49" s="23">
        <f t="shared" si="5"/>
        <v>0</v>
      </c>
      <c r="P49" s="23">
        <f t="shared" si="6"/>
        <v>0</v>
      </c>
      <c r="Q49" s="27">
        <f t="shared" si="7"/>
        <v>0</v>
      </c>
      <c r="R49" s="23"/>
      <c r="S49" s="23"/>
      <c r="T49" s="23"/>
      <c r="U49" s="23"/>
      <c r="V49" s="23"/>
      <c r="W49" s="23"/>
      <c r="X49" s="23"/>
      <c r="Y49" s="23"/>
      <c r="Z49" s="27"/>
      <c r="AA49" s="23"/>
    </row>
    <row r="50" ht="22.5" customHeight="1">
      <c r="A50" s="22">
        <v>49.0</v>
      </c>
      <c r="B50" s="23"/>
      <c r="C50" s="49"/>
      <c r="D50" s="25"/>
      <c r="E50" s="23"/>
      <c r="F50" s="22"/>
      <c r="G50" s="23"/>
      <c r="H50" s="26" t="str">
        <f>IFERROR(__xludf.DUMMYFUNCTION("IFERROR(GOOGLEFINANCE(""NSE:""&amp;B50,""price""),"""")"),"")</f>
        <v/>
      </c>
      <c r="I50" s="22"/>
      <c r="J50" s="23">
        <f t="shared" si="1"/>
        <v>0</v>
      </c>
      <c r="K50" s="23">
        <f t="shared" si="2"/>
        <v>0</v>
      </c>
      <c r="L50" s="23">
        <f t="shared" si="3"/>
        <v>0</v>
      </c>
      <c r="M50" s="27">
        <f t="shared" si="4"/>
        <v>0</v>
      </c>
      <c r="N50" s="23">
        <f>IFERROR(__xludf.DUMMYFUNCTION("IFERROR(IF(G50&gt;0,0,GOOGLEFINANCE(""NSE:""&amp;B50,""change"")),0)"),0.0)</f>
        <v>0</v>
      </c>
      <c r="O50" s="23">
        <f t="shared" si="5"/>
        <v>0</v>
      </c>
      <c r="P50" s="23">
        <f t="shared" si="6"/>
        <v>0</v>
      </c>
      <c r="Q50" s="27">
        <f t="shared" si="7"/>
        <v>0</v>
      </c>
      <c r="R50" s="23"/>
      <c r="S50" s="23"/>
      <c r="T50" s="23"/>
      <c r="U50" s="23"/>
      <c r="V50" s="23"/>
      <c r="W50" s="23"/>
      <c r="X50" s="23"/>
      <c r="Y50" s="23"/>
      <c r="Z50" s="27"/>
      <c r="AA50" s="23"/>
    </row>
    <row r="51" ht="22.5" customHeight="1">
      <c r="A51" s="22">
        <v>50.0</v>
      </c>
      <c r="B51" s="50"/>
      <c r="C51" s="51"/>
      <c r="D51" s="52"/>
      <c r="E51" s="50"/>
      <c r="F51" s="52"/>
      <c r="G51" s="50"/>
      <c r="H51" s="26" t="str">
        <f>IFERROR(__xludf.DUMMYFUNCTION("IFERROR(GOOGLEFINANCE(""NSE:""&amp;B51,""price""),"""")"),"")</f>
        <v/>
      </c>
      <c r="I51" s="22"/>
      <c r="J51" s="23">
        <f t="shared" si="1"/>
        <v>0</v>
      </c>
      <c r="K51" s="23">
        <f t="shared" si="2"/>
        <v>0</v>
      </c>
      <c r="L51" s="23">
        <f t="shared" si="3"/>
        <v>0</v>
      </c>
      <c r="M51" s="27">
        <f t="shared" si="4"/>
        <v>0</v>
      </c>
      <c r="N51" s="23">
        <f>IFERROR(__xludf.DUMMYFUNCTION("IFERROR(IF(G51&gt;0,0,GOOGLEFINANCE(""NSE:""&amp;B51,""change"")),0)"),0.0)</f>
        <v>0</v>
      </c>
      <c r="O51" s="23">
        <f t="shared" si="5"/>
        <v>0</v>
      </c>
      <c r="P51" s="23">
        <f t="shared" si="6"/>
        <v>0</v>
      </c>
      <c r="Q51" s="27">
        <f t="shared" si="7"/>
        <v>0</v>
      </c>
      <c r="R51" s="23"/>
      <c r="S51" s="23"/>
      <c r="T51" s="23"/>
      <c r="U51" s="23"/>
      <c r="V51" s="23"/>
      <c r="W51" s="23"/>
      <c r="X51" s="23"/>
      <c r="Y51" s="23"/>
      <c r="Z51" s="27"/>
      <c r="AA51" s="23"/>
    </row>
    <row r="52" ht="22.5" customHeight="1">
      <c r="A52" s="22">
        <v>51.0</v>
      </c>
      <c r="B52" s="23"/>
      <c r="C52" s="49"/>
      <c r="D52" s="25"/>
      <c r="E52" s="23"/>
      <c r="F52" s="25"/>
      <c r="G52" s="23"/>
      <c r="H52" s="26" t="str">
        <f>IFERROR(__xludf.DUMMYFUNCTION("IFERROR(GOOGLEFINANCE(""NSE:""&amp;B52,""price""),"""")"),"")</f>
        <v/>
      </c>
      <c r="I52" s="22"/>
      <c r="J52" s="23">
        <f t="shared" si="1"/>
        <v>0</v>
      </c>
      <c r="K52" s="23">
        <f t="shared" si="2"/>
        <v>0</v>
      </c>
      <c r="L52" s="23">
        <f t="shared" si="3"/>
        <v>0</v>
      </c>
      <c r="M52" s="27">
        <f t="shared" si="4"/>
        <v>0</v>
      </c>
      <c r="N52" s="23">
        <f>IFERROR(__xludf.DUMMYFUNCTION("IFERROR(IF(G52&gt;0,0,GOOGLEFINANCE(""NSE:""&amp;B52,""change"")),0)"),0.0)</f>
        <v>0</v>
      </c>
      <c r="O52" s="23">
        <f t="shared" si="5"/>
        <v>0</v>
      </c>
      <c r="P52" s="23">
        <f t="shared" si="6"/>
        <v>0</v>
      </c>
      <c r="Q52" s="27">
        <f t="shared" si="7"/>
        <v>0</v>
      </c>
      <c r="R52" s="23"/>
      <c r="S52" s="23"/>
      <c r="T52" s="23"/>
      <c r="U52" s="23"/>
      <c r="V52" s="23"/>
      <c r="W52" s="23"/>
      <c r="X52" s="23"/>
      <c r="Y52" s="23"/>
      <c r="Z52" s="27"/>
      <c r="AA52" s="23"/>
    </row>
    <row r="53" ht="22.5" customHeight="1">
      <c r="A53" s="22">
        <v>52.0</v>
      </c>
      <c r="B53" s="50"/>
      <c r="C53" s="51"/>
      <c r="D53" s="52"/>
      <c r="E53" s="50"/>
      <c r="F53" s="52"/>
      <c r="G53" s="50"/>
      <c r="H53" s="26" t="str">
        <f>IFERROR(__xludf.DUMMYFUNCTION("IFERROR(GOOGLEFINANCE(""NSE:""&amp;B53,""price""),"""")"),"")</f>
        <v/>
      </c>
      <c r="I53" s="22"/>
      <c r="J53" s="23">
        <f t="shared" si="1"/>
        <v>0</v>
      </c>
      <c r="K53" s="23">
        <f t="shared" si="2"/>
        <v>0</v>
      </c>
      <c r="L53" s="23">
        <f t="shared" si="3"/>
        <v>0</v>
      </c>
      <c r="M53" s="27">
        <f t="shared" si="4"/>
        <v>0</v>
      </c>
      <c r="N53" s="23">
        <f>IFERROR(__xludf.DUMMYFUNCTION("IFERROR(IF(G53&gt;0,0,GOOGLEFINANCE(""NSE:""&amp;B53,""change"")),0)"),0.0)</f>
        <v>0</v>
      </c>
      <c r="O53" s="23">
        <f t="shared" si="5"/>
        <v>0</v>
      </c>
      <c r="P53" s="23">
        <f t="shared" si="6"/>
        <v>0</v>
      </c>
      <c r="Q53" s="27">
        <f t="shared" si="7"/>
        <v>0</v>
      </c>
      <c r="R53" s="50"/>
      <c r="S53" s="50"/>
      <c r="T53" s="50"/>
      <c r="U53" s="50"/>
      <c r="V53" s="50"/>
      <c r="W53" s="50"/>
      <c r="X53" s="50"/>
      <c r="Y53" s="50"/>
      <c r="Z53" s="53"/>
      <c r="AA53" s="50"/>
    </row>
  </sheetData>
  <conditionalFormatting sqref="L2:Q53 Y2:Z53 AI3:AJ14 AM3:AO10 AE4:AE6 AE8:AE10">
    <cfRule type="cellIs" dxfId="0" priority="1" operator="lessThan">
      <formula>0</formula>
    </cfRule>
  </conditionalFormatting>
  <conditionalFormatting sqref="L2:Q53 Y2:Z53 AI3:AJ14 AM3:AO10 AE4:AE6 AE8:AE10">
    <cfRule type="cellIs" dxfId="1" priority="2" operator="greaterThan">
      <formula>0</formula>
    </cfRule>
  </conditionalFormatting>
  <dataValidations>
    <dataValidation type="custom" allowBlank="1" showDropDown="1" sqref="D2:D53">
      <formula1>OR(NOT(ISERROR(DATEVALUE(D2))), AND(ISNUMBER(D2), LEFT(CELL("format", D2))="D"))</formula1>
    </dataValidation>
    <dataValidation type="custom" allowBlank="1" showDropDown="1" sqref="E2:E53 G2:H53 J2:Q53">
      <formula1>AND(ISNUMBER(E2),(NOT(OR(NOT(ISERROR(DATEVALUE(E2))), AND(ISNUMBER(E2), LEFT(CELL("format", E2))="D")))))</formula1>
    </dataValidation>
    <dataValidation type="list" allowBlank="1" sqref="C2:C53">
      <formula1>"DHAN,RAM,KAMAL,ESPRESSO,FYERS,Paytm,ANGELONE,Dashrathlal"</formula1>
    </dataValidation>
  </dataValidations>
  <drawing r:id="rId4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0.38"/>
    <col customWidth="1" min="4" max="4" width="15.38"/>
    <col customWidth="1" min="5" max="5" width="11.5"/>
    <col customWidth="1" min="6" max="6" width="12.0"/>
    <col customWidth="1" min="7" max="7" width="11.38"/>
    <col customWidth="1" min="8" max="8" width="11.5"/>
    <col customWidth="1" min="9" max="9" width="5.0"/>
    <col customWidth="1" min="10" max="10" width="15.0"/>
    <col customWidth="1" min="11" max="11" width="19.63"/>
    <col customWidth="1" min="12" max="12" width="14.5"/>
    <col customWidth="1" min="13" max="14" width="14.38"/>
    <col customWidth="1" min="15" max="15" width="18.13"/>
    <col customWidth="1" min="16" max="16" width="14.5"/>
    <col customWidth="1" min="19" max="19" width="10.5"/>
    <col customWidth="1" min="20" max="20" width="11.38"/>
  </cols>
  <sheetData>
    <row r="1" ht="22.5" customHeight="1">
      <c r="A1" s="18" t="s">
        <v>125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6</v>
      </c>
      <c r="L1" s="18" t="s">
        <v>82</v>
      </c>
      <c r="M1" s="18" t="s">
        <v>83</v>
      </c>
      <c r="N1" s="18" t="s">
        <v>84</v>
      </c>
      <c r="O1" s="18" t="s">
        <v>5</v>
      </c>
      <c r="P1" s="18" t="s">
        <v>85</v>
      </c>
    </row>
    <row r="2" ht="22.5" customHeight="1">
      <c r="A2" s="22">
        <v>1.0</v>
      </c>
      <c r="B2" s="23" t="s">
        <v>22</v>
      </c>
      <c r="C2" s="22" t="s">
        <v>2</v>
      </c>
      <c r="D2" s="25"/>
      <c r="E2" s="23">
        <v>179.625</v>
      </c>
      <c r="F2" s="25"/>
      <c r="G2" s="23">
        <v>0.0</v>
      </c>
      <c r="H2" s="26">
        <f>IFERROR(__xludf.DUMMYFUNCTION("GOOGLEFINANCE(""NSE:""&amp;B2,""price"")"),369.7)</f>
        <v>369.7</v>
      </c>
      <c r="I2" s="22">
        <v>60.0</v>
      </c>
      <c r="J2" s="23">
        <f t="shared" ref="J2:J53" si="1">E2*I2</f>
        <v>10777.5</v>
      </c>
      <c r="K2" s="23">
        <f t="shared" ref="K2:K53" si="2">IF(G2&gt;0,0,(H2-E2)*I2)</f>
        <v>11404.5</v>
      </c>
      <c r="L2" s="27">
        <f t="shared" ref="L2:L53" si="3">IFERROR(IF(G2&gt;0,0,(H2-E2)/E2),0)</f>
        <v>1.058176757</v>
      </c>
      <c r="M2" s="23">
        <f>IFERROR(__xludf.DUMMYFUNCTION("IF(G2&gt;0,0, IFNA(GOOGLEFINANCE(""NSE:""&amp;B2,""change""),0))"),-0.2)</f>
        <v>-0.2</v>
      </c>
      <c r="N2" s="23">
        <f t="shared" ref="N2:N53" si="4">M2*I2</f>
        <v>-12</v>
      </c>
      <c r="O2" s="23">
        <f t="shared" ref="O2:O53" si="5">IF(G2=0,0,(G2-E2)*I2)</f>
        <v>0</v>
      </c>
      <c r="P2" s="27">
        <f t="shared" ref="P2:P53" si="6">IF(G2&gt;0,(G2-E2)/E2,0)</f>
        <v>0</v>
      </c>
    </row>
    <row r="3" ht="22.5" customHeight="1">
      <c r="A3" s="22">
        <v>2.0</v>
      </c>
      <c r="B3" s="23" t="s">
        <v>26</v>
      </c>
      <c r="C3" s="22" t="s">
        <v>2</v>
      </c>
      <c r="D3" s="25"/>
      <c r="E3" s="23">
        <v>19.75</v>
      </c>
      <c r="F3" s="25"/>
      <c r="G3" s="23">
        <v>0.0</v>
      </c>
      <c r="H3" s="26">
        <f>IFERROR(__xludf.DUMMYFUNCTION("GOOGLEFINANCE(""NSE:""&amp;B3,""price"")"),91.15)</f>
        <v>91.15</v>
      </c>
      <c r="I3" s="22">
        <v>1.0</v>
      </c>
      <c r="J3" s="23">
        <f t="shared" si="1"/>
        <v>19.75</v>
      </c>
      <c r="K3" s="23">
        <f t="shared" si="2"/>
        <v>71.4</v>
      </c>
      <c r="L3" s="27">
        <f t="shared" si="3"/>
        <v>3.615189873</v>
      </c>
      <c r="M3" s="23">
        <f>IFERROR(__xludf.DUMMYFUNCTION("IF(G3&gt;0,0, IFNA(GOOGLEFINANCE(""NSE:""&amp;B3,""change""),0))"),1.19)</f>
        <v>1.19</v>
      </c>
      <c r="N3" s="23">
        <f t="shared" si="4"/>
        <v>1.19</v>
      </c>
      <c r="O3" s="23">
        <f t="shared" si="5"/>
        <v>0</v>
      </c>
      <c r="P3" s="27">
        <f t="shared" si="6"/>
        <v>0</v>
      </c>
    </row>
    <row r="4" ht="22.5" customHeight="1">
      <c r="A4" s="22">
        <v>3.0</v>
      </c>
      <c r="B4" s="23" t="s">
        <v>34</v>
      </c>
      <c r="C4" s="22" t="s">
        <v>2</v>
      </c>
      <c r="D4" s="25"/>
      <c r="E4" s="23">
        <v>1199.09</v>
      </c>
      <c r="F4" s="25"/>
      <c r="G4" s="23">
        <v>0.0</v>
      </c>
      <c r="H4" s="26">
        <f>IFERROR(__xludf.DUMMYFUNCTION("GOOGLEFINANCE(""NSE:""&amp;B4,""price"")"),1674.8)</f>
        <v>1674.8</v>
      </c>
      <c r="I4" s="22">
        <v>11.0</v>
      </c>
      <c r="J4" s="23">
        <f t="shared" si="1"/>
        <v>13189.99</v>
      </c>
      <c r="K4" s="23">
        <f t="shared" si="2"/>
        <v>5232.81</v>
      </c>
      <c r="L4" s="27">
        <f t="shared" si="3"/>
        <v>0.3967258504</v>
      </c>
      <c r="M4" s="23">
        <f>IFERROR(__xludf.DUMMYFUNCTION("IF(G4&gt;0,0, IFNA(GOOGLEFINANCE(""NSE:""&amp;B4,""change""),0))"),4.5)</f>
        <v>4.5</v>
      </c>
      <c r="N4" s="23">
        <f t="shared" si="4"/>
        <v>49.5</v>
      </c>
      <c r="O4" s="23">
        <f t="shared" si="5"/>
        <v>0</v>
      </c>
      <c r="P4" s="27">
        <f t="shared" si="6"/>
        <v>0</v>
      </c>
    </row>
    <row r="5" ht="22.5" customHeight="1">
      <c r="A5" s="22">
        <v>4.0</v>
      </c>
      <c r="B5" s="38" t="s">
        <v>23</v>
      </c>
      <c r="C5" s="22" t="s">
        <v>2</v>
      </c>
      <c r="D5" s="25"/>
      <c r="E5" s="23">
        <v>702.17</v>
      </c>
      <c r="F5" s="25"/>
      <c r="G5" s="23">
        <v>0.0</v>
      </c>
      <c r="H5" s="26">
        <f>IFERROR(__xludf.DUMMYFUNCTION("GOOGLEFINANCE(""NSE:""&amp;B5,""price"")"),997.0)</f>
        <v>997</v>
      </c>
      <c r="I5" s="22">
        <v>6.0</v>
      </c>
      <c r="J5" s="23">
        <f t="shared" si="1"/>
        <v>4213.02</v>
      </c>
      <c r="K5" s="23">
        <f t="shared" si="2"/>
        <v>1768.98</v>
      </c>
      <c r="L5" s="27">
        <f t="shared" si="3"/>
        <v>0.4198840737</v>
      </c>
      <c r="M5" s="23">
        <f>IFERROR(__xludf.DUMMYFUNCTION("IF(G5&gt;0,0, IFNA(GOOGLEFINANCE(""NSE:""&amp;B5,""change""),0))"),9.3)</f>
        <v>9.3</v>
      </c>
      <c r="N5" s="23">
        <f t="shared" si="4"/>
        <v>55.8</v>
      </c>
      <c r="O5" s="23">
        <f t="shared" si="5"/>
        <v>0</v>
      </c>
      <c r="P5" s="27">
        <f t="shared" si="6"/>
        <v>0</v>
      </c>
    </row>
    <row r="6" ht="22.5" customHeight="1">
      <c r="A6" s="22">
        <v>5.0</v>
      </c>
      <c r="B6" s="38" t="s">
        <v>41</v>
      </c>
      <c r="C6" s="22" t="s">
        <v>2</v>
      </c>
      <c r="D6" s="25"/>
      <c r="E6" s="23">
        <v>663.14</v>
      </c>
      <c r="F6" s="25"/>
      <c r="G6" s="23">
        <v>0.0</v>
      </c>
      <c r="H6" s="26">
        <f>IFERROR(__xludf.DUMMYFUNCTION("GOOGLEFINANCE(""NSE:""&amp;B6,""price"")"),1362.4)</f>
        <v>1362.4</v>
      </c>
      <c r="I6" s="22">
        <v>22.0</v>
      </c>
      <c r="J6" s="23">
        <f t="shared" si="1"/>
        <v>14589.08</v>
      </c>
      <c r="K6" s="23">
        <f t="shared" si="2"/>
        <v>15383.72</v>
      </c>
      <c r="L6" s="27">
        <f t="shared" si="3"/>
        <v>1.054468136</v>
      </c>
      <c r="M6" s="23">
        <f>IFERROR(__xludf.DUMMYFUNCTION("IF(G6&gt;0,0, IFNA(GOOGLEFINANCE(""NSE:""&amp;B6,""change""),0))"),-6.1)</f>
        <v>-6.1</v>
      </c>
      <c r="N6" s="23">
        <f t="shared" si="4"/>
        <v>-134.2</v>
      </c>
      <c r="O6" s="23">
        <f t="shared" si="5"/>
        <v>0</v>
      </c>
      <c r="P6" s="27">
        <f t="shared" si="6"/>
        <v>0</v>
      </c>
    </row>
    <row r="7" ht="22.5" customHeight="1">
      <c r="A7" s="22">
        <v>6.0</v>
      </c>
      <c r="B7" s="23" t="s">
        <v>35</v>
      </c>
      <c r="C7" s="22" t="s">
        <v>2</v>
      </c>
      <c r="D7" s="25"/>
      <c r="E7" s="23">
        <v>753.45</v>
      </c>
      <c r="F7" s="25"/>
      <c r="G7" s="23">
        <v>0.0</v>
      </c>
      <c r="H7" s="26">
        <f>IFERROR(__xludf.DUMMYFUNCTION("GOOGLEFINANCE(""NSE:""&amp;B7,""price"")"),680.5)</f>
        <v>680.5</v>
      </c>
      <c r="I7" s="22">
        <v>15.0</v>
      </c>
      <c r="J7" s="23">
        <f t="shared" si="1"/>
        <v>11301.75</v>
      </c>
      <c r="K7" s="23">
        <f t="shared" si="2"/>
        <v>-1094.25</v>
      </c>
      <c r="L7" s="27">
        <f t="shared" si="3"/>
        <v>-0.09682128874</v>
      </c>
      <c r="M7" s="23">
        <f>IFERROR(__xludf.DUMMYFUNCTION("IF(G7&gt;0,0, IFNA(GOOGLEFINANCE(""NSE:""&amp;B7,""change""),0))"),-1.15)</f>
        <v>-1.15</v>
      </c>
      <c r="N7" s="23">
        <f t="shared" si="4"/>
        <v>-17.25</v>
      </c>
      <c r="O7" s="23">
        <f t="shared" si="5"/>
        <v>0</v>
      </c>
      <c r="P7" s="27">
        <f t="shared" si="6"/>
        <v>0</v>
      </c>
    </row>
    <row r="8" ht="22.5" customHeight="1">
      <c r="A8" s="22">
        <v>7.0</v>
      </c>
      <c r="B8" s="23" t="s">
        <v>52</v>
      </c>
      <c r="C8" s="22" t="s">
        <v>2</v>
      </c>
      <c r="D8" s="25"/>
      <c r="E8" s="23">
        <v>50.0</v>
      </c>
      <c r="F8" s="25"/>
      <c r="G8" s="23">
        <v>0.0</v>
      </c>
      <c r="H8" s="26">
        <f>IFERROR(__xludf.DUMMYFUNCTION("GOOGLEFINANCE(""NSE:""&amp;B8,""price"")"),168.98)</f>
        <v>168.98</v>
      </c>
      <c r="I8" s="22">
        <v>288.0</v>
      </c>
      <c r="J8" s="23">
        <f t="shared" si="1"/>
        <v>14400</v>
      </c>
      <c r="K8" s="23">
        <f t="shared" si="2"/>
        <v>34266.24</v>
      </c>
      <c r="L8" s="27">
        <f t="shared" si="3"/>
        <v>2.3796</v>
      </c>
      <c r="M8" s="23">
        <f>IFERROR(__xludf.DUMMYFUNCTION("IF(G8&gt;0,0, IFNA(GOOGLEFINANCE(""NSE:""&amp;B8,""change""),0))"),2.12)</f>
        <v>2.12</v>
      </c>
      <c r="N8" s="23">
        <f t="shared" si="4"/>
        <v>610.56</v>
      </c>
      <c r="O8" s="23">
        <f t="shared" si="5"/>
        <v>0</v>
      </c>
      <c r="P8" s="27">
        <f t="shared" si="6"/>
        <v>0</v>
      </c>
    </row>
    <row r="9" ht="22.5" customHeight="1">
      <c r="A9" s="22">
        <v>8.0</v>
      </c>
      <c r="B9" s="23" t="s">
        <v>56</v>
      </c>
      <c r="C9" s="22" t="s">
        <v>2</v>
      </c>
      <c r="D9" s="25"/>
      <c r="E9" s="23">
        <v>977.1</v>
      </c>
      <c r="F9" s="25"/>
      <c r="G9" s="23">
        <v>0.0</v>
      </c>
      <c r="H9" s="26">
        <f>IFERROR(__xludf.DUMMYFUNCTION("GOOGLEFINANCE(""NSE:""&amp;B9,""price"")"),776.9)</f>
        <v>776.9</v>
      </c>
      <c r="I9" s="22">
        <v>15.0</v>
      </c>
      <c r="J9" s="23">
        <f t="shared" si="1"/>
        <v>14656.5</v>
      </c>
      <c r="K9" s="23">
        <f t="shared" si="2"/>
        <v>-3003</v>
      </c>
      <c r="L9" s="27">
        <f t="shared" si="3"/>
        <v>-0.2048920274</v>
      </c>
      <c r="M9" s="23">
        <f>IFERROR(__xludf.DUMMYFUNCTION("IF(G9&gt;0,0, IFNA(GOOGLEFINANCE(""NSE:""&amp;B9,""change""),0))"),8.4)</f>
        <v>8.4</v>
      </c>
      <c r="N9" s="23">
        <f t="shared" si="4"/>
        <v>126</v>
      </c>
      <c r="O9" s="23">
        <f t="shared" si="5"/>
        <v>0</v>
      </c>
      <c r="P9" s="27">
        <f t="shared" si="6"/>
        <v>0</v>
      </c>
    </row>
    <row r="10" ht="22.5" customHeight="1">
      <c r="A10" s="22">
        <v>9.0</v>
      </c>
      <c r="B10" s="23" t="s">
        <v>23</v>
      </c>
      <c r="C10" s="22" t="s">
        <v>2</v>
      </c>
      <c r="D10" s="25">
        <v>45054.0</v>
      </c>
      <c r="E10" s="23">
        <v>823.825</v>
      </c>
      <c r="F10" s="25"/>
      <c r="G10" s="23">
        <v>0.0</v>
      </c>
      <c r="H10" s="26">
        <f>IFERROR(__xludf.DUMMYFUNCTION("GOOGLEFINANCE(""NSE:""&amp;B10,""price"")"),997.0)</f>
        <v>997</v>
      </c>
      <c r="I10" s="22">
        <v>3.0</v>
      </c>
      <c r="J10" s="23">
        <f t="shared" si="1"/>
        <v>2471.475</v>
      </c>
      <c r="K10" s="23">
        <f t="shared" si="2"/>
        <v>519.525</v>
      </c>
      <c r="L10" s="27">
        <f t="shared" si="3"/>
        <v>0.2102084787</v>
      </c>
      <c r="M10" s="23">
        <f>IFERROR(__xludf.DUMMYFUNCTION("IF(G10&gt;0,0, IFNA(GOOGLEFINANCE(""NSE:""&amp;B10,""change""),0))"),9.3)</f>
        <v>9.3</v>
      </c>
      <c r="N10" s="23">
        <f t="shared" si="4"/>
        <v>27.9</v>
      </c>
      <c r="O10" s="23">
        <f t="shared" si="5"/>
        <v>0</v>
      </c>
      <c r="P10" s="27">
        <f t="shared" si="6"/>
        <v>0</v>
      </c>
    </row>
    <row r="11" ht="22.5" customHeight="1">
      <c r="A11" s="22">
        <v>10.0</v>
      </c>
      <c r="B11" s="23" t="s">
        <v>55</v>
      </c>
      <c r="C11" s="22" t="s">
        <v>2</v>
      </c>
      <c r="D11" s="25">
        <v>45084.0</v>
      </c>
      <c r="E11" s="23">
        <v>133.5</v>
      </c>
      <c r="F11" s="25">
        <v>45170.0</v>
      </c>
      <c r="G11" s="23">
        <v>217.5</v>
      </c>
      <c r="H11" s="26">
        <f>IFERROR(__xludf.DUMMYFUNCTION("GOOGLEFINANCE(""NSE:""&amp;B11,""price"")"),360.0)</f>
        <v>360</v>
      </c>
      <c r="I11" s="22">
        <v>27.0</v>
      </c>
      <c r="J11" s="23">
        <f t="shared" si="1"/>
        <v>3604.5</v>
      </c>
      <c r="K11" s="23">
        <f t="shared" si="2"/>
        <v>0</v>
      </c>
      <c r="L11" s="27">
        <f t="shared" si="3"/>
        <v>0</v>
      </c>
      <c r="M11" s="23">
        <f>IFERROR(__xludf.DUMMYFUNCTION("IF(G11&gt;0,0, IFNA(GOOGLEFINANCE(""NSE:""&amp;B11,""change""),0))"),0.0)</f>
        <v>0</v>
      </c>
      <c r="N11" s="23">
        <f t="shared" si="4"/>
        <v>0</v>
      </c>
      <c r="O11" s="23">
        <f t="shared" si="5"/>
        <v>2268</v>
      </c>
      <c r="P11" s="27">
        <f t="shared" si="6"/>
        <v>0.6292134831</v>
      </c>
    </row>
    <row r="12" ht="22.5" customHeight="1">
      <c r="A12" s="22">
        <v>11.0</v>
      </c>
      <c r="B12" s="23" t="s">
        <v>55</v>
      </c>
      <c r="C12" s="22" t="s">
        <v>2</v>
      </c>
      <c r="D12" s="25">
        <v>45084.0</v>
      </c>
      <c r="E12" s="23">
        <v>133.5</v>
      </c>
      <c r="F12" s="25">
        <v>45877.0</v>
      </c>
      <c r="G12" s="23">
        <v>353.85</v>
      </c>
      <c r="H12" s="26">
        <f>IFERROR(__xludf.DUMMYFUNCTION("GOOGLEFINANCE(""NSE:""&amp;B12,""price"")"),360.0)</f>
        <v>360</v>
      </c>
      <c r="I12" s="22">
        <v>10.0</v>
      </c>
      <c r="J12" s="23">
        <f t="shared" si="1"/>
        <v>1335</v>
      </c>
      <c r="K12" s="23">
        <f t="shared" si="2"/>
        <v>0</v>
      </c>
      <c r="L12" s="27">
        <f t="shared" si="3"/>
        <v>0</v>
      </c>
      <c r="M12" s="23">
        <f>IFERROR(__xludf.DUMMYFUNCTION("IF(G12&gt;0,0, IFNA(GOOGLEFINANCE(""NSE:""&amp;B12,""change""),0))"),0.0)</f>
        <v>0</v>
      </c>
      <c r="N12" s="23">
        <f t="shared" si="4"/>
        <v>0</v>
      </c>
      <c r="O12" s="23">
        <f t="shared" si="5"/>
        <v>2203.5</v>
      </c>
      <c r="P12" s="27">
        <f t="shared" si="6"/>
        <v>1.650561798</v>
      </c>
    </row>
    <row r="13" ht="22.5" customHeight="1">
      <c r="A13" s="22">
        <v>12.0</v>
      </c>
      <c r="B13" s="23" t="s">
        <v>55</v>
      </c>
      <c r="C13" s="22" t="s">
        <v>2</v>
      </c>
      <c r="D13" s="25">
        <v>45112.0</v>
      </c>
      <c r="E13" s="23">
        <v>129.35</v>
      </c>
      <c r="F13" s="25">
        <v>45877.0</v>
      </c>
      <c r="G13" s="23">
        <v>353.85</v>
      </c>
      <c r="H13" s="26">
        <f>IFERROR(__xludf.DUMMYFUNCTION("GOOGLEFINANCE(""NSE:""&amp;B13,""price"")"),360.0)</f>
        <v>360</v>
      </c>
      <c r="I13" s="22">
        <v>38.0</v>
      </c>
      <c r="J13" s="23">
        <f t="shared" si="1"/>
        <v>4915.3</v>
      </c>
      <c r="K13" s="23">
        <f t="shared" si="2"/>
        <v>0</v>
      </c>
      <c r="L13" s="27">
        <f t="shared" si="3"/>
        <v>0</v>
      </c>
      <c r="M13" s="23">
        <f>IFERROR(__xludf.DUMMYFUNCTION("IF(G13&gt;0,0, IFNA(GOOGLEFINANCE(""NSE:""&amp;B13,""change""),0))"),0.0)</f>
        <v>0</v>
      </c>
      <c r="N13" s="23">
        <f t="shared" si="4"/>
        <v>0</v>
      </c>
      <c r="O13" s="23">
        <f t="shared" si="5"/>
        <v>8531</v>
      </c>
      <c r="P13" s="27">
        <f t="shared" si="6"/>
        <v>1.735601082</v>
      </c>
    </row>
    <row r="14" ht="22.5" customHeight="1">
      <c r="A14" s="22">
        <v>13.0</v>
      </c>
      <c r="B14" s="44" t="s">
        <v>35</v>
      </c>
      <c r="C14" s="22" t="s">
        <v>2</v>
      </c>
      <c r="D14" s="25">
        <v>45149.0</v>
      </c>
      <c r="E14" s="23">
        <v>660.7</v>
      </c>
      <c r="F14" s="25"/>
      <c r="G14" s="23">
        <v>0.0</v>
      </c>
      <c r="H14" s="26">
        <f>IFERROR(__xludf.DUMMYFUNCTION("GOOGLEFINANCE(""NSE:""&amp;B14,""price"")"),680.5)</f>
        <v>680.5</v>
      </c>
      <c r="I14" s="22">
        <v>7.0</v>
      </c>
      <c r="J14" s="23">
        <f t="shared" si="1"/>
        <v>4624.9</v>
      </c>
      <c r="K14" s="23">
        <f t="shared" si="2"/>
        <v>138.6</v>
      </c>
      <c r="L14" s="27">
        <f t="shared" si="3"/>
        <v>0.02996821553</v>
      </c>
      <c r="M14" s="23">
        <f>IFERROR(__xludf.DUMMYFUNCTION("IF(G14&gt;0,0, IFNA(GOOGLEFINANCE(""NSE:""&amp;B14,""change""),0))"),-1.15)</f>
        <v>-1.15</v>
      </c>
      <c r="N14" s="23">
        <f t="shared" si="4"/>
        <v>-8.05</v>
      </c>
      <c r="O14" s="23">
        <f t="shared" si="5"/>
        <v>0</v>
      </c>
      <c r="P14" s="27">
        <f t="shared" si="6"/>
        <v>0</v>
      </c>
    </row>
    <row r="15" ht="22.5" customHeight="1">
      <c r="A15" s="22">
        <v>14.0</v>
      </c>
      <c r="B15" s="23" t="s">
        <v>26</v>
      </c>
      <c r="C15" s="22" t="s">
        <v>2</v>
      </c>
      <c r="D15" s="25">
        <v>45149.0</v>
      </c>
      <c r="E15" s="23">
        <v>47.48</v>
      </c>
      <c r="F15" s="25"/>
      <c r="G15" s="23">
        <v>0.0</v>
      </c>
      <c r="H15" s="26">
        <f>IFERROR(__xludf.DUMMYFUNCTION("GOOGLEFINANCE(""NSE:""&amp;B15,""price"")"),91.15)</f>
        <v>91.15</v>
      </c>
      <c r="I15" s="22">
        <v>7.0</v>
      </c>
      <c r="J15" s="23">
        <f t="shared" si="1"/>
        <v>332.36</v>
      </c>
      <c r="K15" s="23">
        <f t="shared" si="2"/>
        <v>305.69</v>
      </c>
      <c r="L15" s="27">
        <f t="shared" si="3"/>
        <v>0.9197556866</v>
      </c>
      <c r="M15" s="23">
        <f>IFERROR(__xludf.DUMMYFUNCTION("IF(G15&gt;0,0, IFNA(GOOGLEFINANCE(""NSE:""&amp;B15,""change""),0))"),1.19)</f>
        <v>1.19</v>
      </c>
      <c r="N15" s="23">
        <f t="shared" si="4"/>
        <v>8.33</v>
      </c>
      <c r="O15" s="23">
        <f t="shared" si="5"/>
        <v>0</v>
      </c>
      <c r="P15" s="27">
        <f t="shared" si="6"/>
        <v>0</v>
      </c>
    </row>
    <row r="16" ht="22.5" customHeight="1">
      <c r="A16" s="22">
        <v>15.0</v>
      </c>
      <c r="B16" s="22" t="s">
        <v>36</v>
      </c>
      <c r="C16" s="48" t="s">
        <v>2</v>
      </c>
      <c r="D16" s="25">
        <v>45173.0</v>
      </c>
      <c r="E16" s="23">
        <v>261.5</v>
      </c>
      <c r="F16" s="25"/>
      <c r="G16" s="23">
        <v>0.0</v>
      </c>
      <c r="H16" s="26">
        <f>IFERROR(__xludf.DUMMYFUNCTION("GOOGLEFINANCE(""NSE:""&amp;B16,""price"")"),298.5)</f>
        <v>298.5</v>
      </c>
      <c r="I16" s="22">
        <v>22.0</v>
      </c>
      <c r="J16" s="23">
        <f t="shared" si="1"/>
        <v>5753</v>
      </c>
      <c r="K16" s="23">
        <f t="shared" si="2"/>
        <v>814</v>
      </c>
      <c r="L16" s="27">
        <f t="shared" si="3"/>
        <v>0.1414913958</v>
      </c>
      <c r="M16" s="23">
        <f>IFERROR(__xludf.DUMMYFUNCTION("IF(G16&gt;0,0, IFNA(GOOGLEFINANCE(""NSE:""&amp;B16,""change""),0))"),-0.25)</f>
        <v>-0.25</v>
      </c>
      <c r="N16" s="23">
        <f t="shared" si="4"/>
        <v>-5.5</v>
      </c>
      <c r="O16" s="23">
        <f t="shared" si="5"/>
        <v>0</v>
      </c>
      <c r="P16" s="27">
        <f t="shared" si="6"/>
        <v>0</v>
      </c>
    </row>
    <row r="17" ht="22.5" customHeight="1">
      <c r="A17" s="22">
        <v>16.0</v>
      </c>
      <c r="B17" s="23" t="s">
        <v>45</v>
      </c>
      <c r="C17" s="48" t="s">
        <v>2</v>
      </c>
      <c r="D17" s="25">
        <v>45205.0</v>
      </c>
      <c r="E17" s="26">
        <v>459.401625</v>
      </c>
      <c r="F17" s="25"/>
      <c r="G17" s="23">
        <v>0.0</v>
      </c>
      <c r="H17" s="26">
        <f>IFERROR(__xludf.DUMMYFUNCTION("GOOGLEFINANCE(""NSE:""&amp;B17,""price"")"),362.6)</f>
        <v>362.6</v>
      </c>
      <c r="I17" s="22">
        <v>7.0</v>
      </c>
      <c r="J17" s="23">
        <f t="shared" si="1"/>
        <v>3215.811375</v>
      </c>
      <c r="K17" s="23">
        <f t="shared" si="2"/>
        <v>-677.611375</v>
      </c>
      <c r="L17" s="27">
        <f t="shared" si="3"/>
        <v>-0.2107124131</v>
      </c>
      <c r="M17" s="23">
        <f>IFERROR(__xludf.DUMMYFUNCTION("IF(G17&gt;0,0, IFNA(GOOGLEFINANCE(""NSE:""&amp;B17,""change""),0))"),3.45)</f>
        <v>3.45</v>
      </c>
      <c r="N17" s="23">
        <f t="shared" si="4"/>
        <v>24.15</v>
      </c>
      <c r="O17" s="23">
        <f t="shared" si="5"/>
        <v>0</v>
      </c>
      <c r="P17" s="27">
        <f t="shared" si="6"/>
        <v>0</v>
      </c>
    </row>
    <row r="18" ht="22.5" customHeight="1">
      <c r="A18" s="22">
        <v>17.0</v>
      </c>
      <c r="B18" s="23" t="s">
        <v>45</v>
      </c>
      <c r="C18" s="22" t="s">
        <v>2</v>
      </c>
      <c r="D18" s="25">
        <v>45242.0</v>
      </c>
      <c r="E18" s="26">
        <v>450.18261</v>
      </c>
      <c r="F18" s="25"/>
      <c r="G18" s="23">
        <v>0.0</v>
      </c>
      <c r="H18" s="26">
        <f>IFERROR(__xludf.DUMMYFUNCTION("GOOGLEFINANCE(""NSE:""&amp;B18,""price"")"),362.6)</f>
        <v>362.6</v>
      </c>
      <c r="I18" s="22">
        <v>7.0</v>
      </c>
      <c r="J18" s="23">
        <f t="shared" si="1"/>
        <v>3151.27827</v>
      </c>
      <c r="K18" s="23">
        <f t="shared" si="2"/>
        <v>-613.07827</v>
      </c>
      <c r="L18" s="27">
        <f t="shared" si="3"/>
        <v>-0.1945490742</v>
      </c>
      <c r="M18" s="23">
        <f>IFERROR(__xludf.DUMMYFUNCTION("IF(G18&gt;0,0, IFNA(GOOGLEFINANCE(""NSE:""&amp;B18,""change""),0))"),3.45)</f>
        <v>3.45</v>
      </c>
      <c r="N18" s="23">
        <f t="shared" si="4"/>
        <v>24.15</v>
      </c>
      <c r="O18" s="23">
        <f t="shared" si="5"/>
        <v>0</v>
      </c>
      <c r="P18" s="27">
        <f t="shared" si="6"/>
        <v>0</v>
      </c>
    </row>
    <row r="19" ht="22.5" customHeight="1">
      <c r="A19" s="22">
        <v>18.0</v>
      </c>
      <c r="B19" s="22" t="s">
        <v>23</v>
      </c>
      <c r="C19" s="22" t="s">
        <v>2</v>
      </c>
      <c r="D19" s="25">
        <v>45327.0</v>
      </c>
      <c r="E19" s="23">
        <v>721.5</v>
      </c>
      <c r="F19" s="25"/>
      <c r="G19" s="23">
        <v>0.0</v>
      </c>
      <c r="H19" s="26">
        <f>IFERROR(__xludf.DUMMYFUNCTION("GOOGLEFINANCE(""NSE:""&amp;B19,""price"")"),997.0)</f>
        <v>997</v>
      </c>
      <c r="I19" s="22">
        <v>3.0</v>
      </c>
      <c r="J19" s="23">
        <f t="shared" si="1"/>
        <v>2164.5</v>
      </c>
      <c r="K19" s="23">
        <f t="shared" si="2"/>
        <v>826.5</v>
      </c>
      <c r="L19" s="27">
        <f t="shared" si="3"/>
        <v>0.3818433818</v>
      </c>
      <c r="M19" s="23">
        <f>IFERROR(__xludf.DUMMYFUNCTION("IF(G19&gt;0,0, IFNA(GOOGLEFINANCE(""NSE:""&amp;B19,""change""),0))"),9.3)</f>
        <v>9.3</v>
      </c>
      <c r="N19" s="23">
        <f t="shared" si="4"/>
        <v>27.9</v>
      </c>
      <c r="O19" s="23">
        <f t="shared" si="5"/>
        <v>0</v>
      </c>
      <c r="P19" s="27">
        <f t="shared" si="6"/>
        <v>0</v>
      </c>
    </row>
    <row r="20" ht="22.5" customHeight="1">
      <c r="A20" s="22">
        <v>19.0</v>
      </c>
      <c r="B20" s="22" t="s">
        <v>23</v>
      </c>
      <c r="C20" s="22" t="s">
        <v>2</v>
      </c>
      <c r="D20" s="25">
        <v>45385.0</v>
      </c>
      <c r="E20" s="23">
        <v>743.275</v>
      </c>
      <c r="F20" s="25"/>
      <c r="G20" s="23">
        <v>0.0</v>
      </c>
      <c r="H20" s="26">
        <f>IFERROR(__xludf.DUMMYFUNCTION("GOOGLEFINANCE(""NSE:""&amp;B20,""price"")"),997.0)</f>
        <v>997</v>
      </c>
      <c r="I20" s="22">
        <v>3.0</v>
      </c>
      <c r="J20" s="23">
        <f t="shared" si="1"/>
        <v>2229.825</v>
      </c>
      <c r="K20" s="23">
        <f t="shared" si="2"/>
        <v>761.175</v>
      </c>
      <c r="L20" s="27">
        <f t="shared" si="3"/>
        <v>0.3413608691</v>
      </c>
      <c r="M20" s="23">
        <f>IFERROR(__xludf.DUMMYFUNCTION("IF(G20&gt;0,0, IFNA(GOOGLEFINANCE(""NSE:""&amp;B20,""change""),0))"),9.3)</f>
        <v>9.3</v>
      </c>
      <c r="N20" s="23">
        <f t="shared" si="4"/>
        <v>27.9</v>
      </c>
      <c r="O20" s="23">
        <f t="shared" si="5"/>
        <v>0</v>
      </c>
      <c r="P20" s="27">
        <f t="shared" si="6"/>
        <v>0</v>
      </c>
    </row>
    <row r="21" ht="22.5" customHeight="1">
      <c r="A21" s="22">
        <v>20.0</v>
      </c>
      <c r="B21" s="22" t="s">
        <v>35</v>
      </c>
      <c r="C21" s="22" t="s">
        <v>2</v>
      </c>
      <c r="D21" s="25">
        <v>45385.0</v>
      </c>
      <c r="E21" s="23">
        <v>972.6</v>
      </c>
      <c r="F21" s="25"/>
      <c r="G21" s="23">
        <v>0.0</v>
      </c>
      <c r="H21" s="26">
        <f>IFERROR(__xludf.DUMMYFUNCTION("GOOGLEFINANCE(""NSE:""&amp;B21,""price"")"),680.5)</f>
        <v>680.5</v>
      </c>
      <c r="I21" s="22">
        <v>3.0</v>
      </c>
      <c r="J21" s="23">
        <f t="shared" si="1"/>
        <v>2917.8</v>
      </c>
      <c r="K21" s="23">
        <f t="shared" si="2"/>
        <v>-876.3</v>
      </c>
      <c r="L21" s="27">
        <f t="shared" si="3"/>
        <v>-0.300329015</v>
      </c>
      <c r="M21" s="23">
        <f>IFERROR(__xludf.DUMMYFUNCTION("IF(G21&gt;0,0, IFNA(GOOGLEFINANCE(""NSE:""&amp;B21,""change""),0))"),-1.15)</f>
        <v>-1.15</v>
      </c>
      <c r="N21" s="23">
        <f t="shared" si="4"/>
        <v>-3.45</v>
      </c>
      <c r="O21" s="23">
        <f t="shared" si="5"/>
        <v>0</v>
      </c>
      <c r="P21" s="27">
        <f t="shared" si="6"/>
        <v>0</v>
      </c>
    </row>
    <row r="22" ht="22.5" customHeight="1">
      <c r="A22" s="22">
        <v>21.0</v>
      </c>
      <c r="B22" s="23" t="s">
        <v>26</v>
      </c>
      <c r="C22" s="22" t="s">
        <v>2</v>
      </c>
      <c r="D22" s="25">
        <v>45420.0</v>
      </c>
      <c r="E22" s="23">
        <v>86.1</v>
      </c>
      <c r="F22" s="25"/>
      <c r="G22" s="23">
        <v>0.0</v>
      </c>
      <c r="H22" s="26">
        <f>IFERROR(__xludf.DUMMYFUNCTION("GOOGLEFINANCE(""NSE:""&amp;B22,""price"")"),91.15)</f>
        <v>91.15</v>
      </c>
      <c r="I22" s="22">
        <v>57.0</v>
      </c>
      <c r="J22" s="23">
        <f t="shared" si="1"/>
        <v>4907.7</v>
      </c>
      <c r="K22" s="23">
        <f t="shared" si="2"/>
        <v>287.85</v>
      </c>
      <c r="L22" s="27">
        <f t="shared" si="3"/>
        <v>0.05865272938</v>
      </c>
      <c r="M22" s="23">
        <f>IFERROR(__xludf.DUMMYFUNCTION("IF(G22&gt;0,0, IFNA(GOOGLEFINANCE(""NSE:""&amp;B22,""change""),0))"),1.19)</f>
        <v>1.19</v>
      </c>
      <c r="N22" s="23">
        <f t="shared" si="4"/>
        <v>67.83</v>
      </c>
      <c r="O22" s="23">
        <f t="shared" si="5"/>
        <v>0</v>
      </c>
      <c r="P22" s="27">
        <f t="shared" si="6"/>
        <v>0</v>
      </c>
    </row>
    <row r="23" ht="22.5" customHeight="1">
      <c r="A23" s="22">
        <v>22.0</v>
      </c>
      <c r="B23" s="23" t="s">
        <v>30</v>
      </c>
      <c r="C23" s="48" t="s">
        <v>2</v>
      </c>
      <c r="D23" s="25">
        <v>45450.0</v>
      </c>
      <c r="E23" s="23">
        <v>4718.55</v>
      </c>
      <c r="F23" s="25"/>
      <c r="G23" s="23">
        <v>0.0</v>
      </c>
      <c r="H23" s="26">
        <f>IFERROR(__xludf.DUMMYFUNCTION("GOOGLEFINANCE(""NSE:""&amp;B23,""price"")"),4409.8)</f>
        <v>4409.8</v>
      </c>
      <c r="I23" s="22">
        <v>1.0</v>
      </c>
      <c r="J23" s="23">
        <f t="shared" si="1"/>
        <v>4718.55</v>
      </c>
      <c r="K23" s="23">
        <f t="shared" si="2"/>
        <v>-308.75</v>
      </c>
      <c r="L23" s="27">
        <f t="shared" si="3"/>
        <v>-0.06543323691</v>
      </c>
      <c r="M23" s="23">
        <f>IFERROR(__xludf.DUMMYFUNCTION("IF(G23&gt;0,0, IFNA(GOOGLEFINANCE(""NSE:""&amp;B23,""change""),0))"),23.7)</f>
        <v>23.7</v>
      </c>
      <c r="N23" s="23">
        <f t="shared" si="4"/>
        <v>23.7</v>
      </c>
      <c r="O23" s="23">
        <f t="shared" si="5"/>
        <v>0</v>
      </c>
      <c r="P23" s="27">
        <f t="shared" si="6"/>
        <v>0</v>
      </c>
    </row>
    <row r="24" ht="22.5" customHeight="1">
      <c r="A24" s="22">
        <v>24.0</v>
      </c>
      <c r="B24" s="23" t="s">
        <v>22</v>
      </c>
      <c r="C24" s="22" t="s">
        <v>2</v>
      </c>
      <c r="D24" s="25"/>
      <c r="E24" s="23">
        <v>179.625</v>
      </c>
      <c r="F24" s="25"/>
      <c r="G24" s="23">
        <v>0.0</v>
      </c>
      <c r="H24" s="26">
        <f>IFERROR(__xludf.DUMMYFUNCTION("GOOGLEFINANCE(""NSE:""&amp;B24,""price"")"),369.7)</f>
        <v>369.7</v>
      </c>
      <c r="I24" s="22">
        <v>60.0</v>
      </c>
      <c r="J24" s="23">
        <f t="shared" si="1"/>
        <v>10777.5</v>
      </c>
      <c r="K24" s="23">
        <f t="shared" si="2"/>
        <v>11404.5</v>
      </c>
      <c r="L24" s="27">
        <f t="shared" si="3"/>
        <v>1.058176757</v>
      </c>
      <c r="M24" s="23">
        <f>IFERROR(__xludf.DUMMYFUNCTION("IF(G24&gt;0,0, IFNA(GOOGLEFINANCE(""NSE:""&amp;B24,""change""),0))"),-0.2)</f>
        <v>-0.2</v>
      </c>
      <c r="N24" s="23">
        <f t="shared" si="4"/>
        <v>-12</v>
      </c>
      <c r="O24" s="23">
        <f t="shared" si="5"/>
        <v>0</v>
      </c>
      <c r="P24" s="27">
        <f t="shared" si="6"/>
        <v>0</v>
      </c>
    </row>
    <row r="25" ht="22.5" customHeight="1">
      <c r="A25" s="22">
        <v>25.0</v>
      </c>
      <c r="B25" s="23" t="s">
        <v>57</v>
      </c>
      <c r="C25" s="22" t="s">
        <v>2</v>
      </c>
      <c r="D25" s="25">
        <v>45541.0</v>
      </c>
      <c r="E25" s="23">
        <v>615.0</v>
      </c>
      <c r="F25" s="25"/>
      <c r="G25" s="23">
        <v>0.0</v>
      </c>
      <c r="H25" s="26">
        <f>IFERROR(__xludf.DUMMYFUNCTION("GOOGLEFINANCE(""NSE:""&amp;B25,""price"")"),780.7)</f>
        <v>780.7</v>
      </c>
      <c r="I25" s="22">
        <v>8.0</v>
      </c>
      <c r="J25" s="23">
        <f t="shared" si="1"/>
        <v>4920</v>
      </c>
      <c r="K25" s="23">
        <f t="shared" si="2"/>
        <v>1325.6</v>
      </c>
      <c r="L25" s="27">
        <f t="shared" si="3"/>
        <v>0.2694308943</v>
      </c>
      <c r="M25" s="23">
        <f>IFERROR(__xludf.DUMMYFUNCTION("IF(G25&gt;0,0, IFNA(GOOGLEFINANCE(""NSE:""&amp;B25,""change""),0))"),4.15)</f>
        <v>4.15</v>
      </c>
      <c r="N25" s="23">
        <f t="shared" si="4"/>
        <v>33.2</v>
      </c>
      <c r="O25" s="23">
        <f t="shared" si="5"/>
        <v>0</v>
      </c>
      <c r="P25" s="27">
        <f t="shared" si="6"/>
        <v>0</v>
      </c>
    </row>
    <row r="26" ht="22.5" customHeight="1">
      <c r="A26" s="22">
        <v>26.0</v>
      </c>
      <c r="B26" s="23" t="s">
        <v>18</v>
      </c>
      <c r="C26" s="48" t="s">
        <v>2</v>
      </c>
      <c r="D26" s="25">
        <v>45551.0</v>
      </c>
      <c r="E26" s="23">
        <v>70.0</v>
      </c>
      <c r="F26" s="56">
        <v>45982.0</v>
      </c>
      <c r="G26" s="23">
        <v>105.58</v>
      </c>
      <c r="H26" s="26">
        <f>IFERROR(__xludf.DUMMYFUNCTION("GOOGLEFINANCE(""NSE:""&amp;B26,""price"")"),95.75)</f>
        <v>95.75</v>
      </c>
      <c r="I26" s="22">
        <v>114.0</v>
      </c>
      <c r="J26" s="23">
        <f t="shared" si="1"/>
        <v>7980</v>
      </c>
      <c r="K26" s="23">
        <f t="shared" si="2"/>
        <v>0</v>
      </c>
      <c r="L26" s="27">
        <f t="shared" si="3"/>
        <v>0</v>
      </c>
      <c r="M26" s="23">
        <f>IFERROR(__xludf.DUMMYFUNCTION("IF(G26&gt;0,0, IFNA(GOOGLEFINANCE(""NSE:""&amp;B26,""change""),0))"),0.0)</f>
        <v>0</v>
      </c>
      <c r="N26" s="23">
        <f t="shared" si="4"/>
        <v>0</v>
      </c>
      <c r="O26" s="23">
        <f t="shared" si="5"/>
        <v>4056.12</v>
      </c>
      <c r="P26" s="27">
        <f t="shared" si="6"/>
        <v>0.5082857143</v>
      </c>
      <c r="Q26" s="40" t="s">
        <v>127</v>
      </c>
    </row>
    <row r="27" ht="22.5" customHeight="1">
      <c r="A27" s="22">
        <v>27.0</v>
      </c>
      <c r="B27" s="23" t="s">
        <v>18</v>
      </c>
      <c r="C27" s="48" t="s">
        <v>2</v>
      </c>
      <c r="D27" s="25">
        <v>45551.0</v>
      </c>
      <c r="E27" s="23">
        <v>70.0</v>
      </c>
      <c r="F27" s="25"/>
      <c r="G27" s="23">
        <v>154.2</v>
      </c>
      <c r="H27" s="26">
        <f>IFERROR(__xludf.DUMMYFUNCTION("GOOGLEFINANCE(""NSE:""&amp;B27,""price"")"),95.75)</f>
        <v>95.75</v>
      </c>
      <c r="I27" s="22">
        <v>100.0</v>
      </c>
      <c r="J27" s="23">
        <f t="shared" si="1"/>
        <v>7000</v>
      </c>
      <c r="K27" s="23">
        <f t="shared" si="2"/>
        <v>0</v>
      </c>
      <c r="L27" s="27">
        <f t="shared" si="3"/>
        <v>0</v>
      </c>
      <c r="M27" s="23">
        <f>IFERROR(__xludf.DUMMYFUNCTION("IF(G27&gt;0,0, IFNA(GOOGLEFINANCE(""NSE:""&amp;B27,""change""),0))"),0.0)</f>
        <v>0</v>
      </c>
      <c r="N27" s="23">
        <f t="shared" si="4"/>
        <v>0</v>
      </c>
      <c r="O27" s="23">
        <f t="shared" si="5"/>
        <v>8420</v>
      </c>
      <c r="P27" s="27">
        <f t="shared" si="6"/>
        <v>1.202857143</v>
      </c>
      <c r="Q27" s="40" t="s">
        <v>127</v>
      </c>
    </row>
    <row r="28" ht="22.5" customHeight="1">
      <c r="A28" s="22">
        <v>28.0</v>
      </c>
      <c r="B28" s="23" t="s">
        <v>26</v>
      </c>
      <c r="C28" s="22" t="s">
        <v>2</v>
      </c>
      <c r="D28" s="25">
        <v>45597.0</v>
      </c>
      <c r="E28" s="23">
        <v>93.5</v>
      </c>
      <c r="F28" s="25"/>
      <c r="G28" s="23">
        <v>0.0</v>
      </c>
      <c r="H28" s="26">
        <f>IFERROR(__xludf.DUMMYFUNCTION("GOOGLEFINANCE(""NSE:""&amp;B28,""price"")"),91.15)</f>
        <v>91.15</v>
      </c>
      <c r="I28" s="22">
        <v>51.0</v>
      </c>
      <c r="J28" s="23">
        <f t="shared" si="1"/>
        <v>4768.5</v>
      </c>
      <c r="K28" s="23">
        <f t="shared" si="2"/>
        <v>-119.85</v>
      </c>
      <c r="L28" s="27">
        <f t="shared" si="3"/>
        <v>-0.02513368984</v>
      </c>
      <c r="M28" s="23">
        <f>IFERROR(__xludf.DUMMYFUNCTION("IF(G28&gt;0,0, IFNA(GOOGLEFINANCE(""NSE:""&amp;B28,""change""),0))"),1.19)</f>
        <v>1.19</v>
      </c>
      <c r="N28" s="23">
        <f t="shared" si="4"/>
        <v>60.69</v>
      </c>
      <c r="O28" s="23">
        <f t="shared" si="5"/>
        <v>0</v>
      </c>
      <c r="P28" s="27">
        <f t="shared" si="6"/>
        <v>0</v>
      </c>
      <c r="Q28" s="40" t="s">
        <v>128</v>
      </c>
    </row>
    <row r="29" ht="22.5" customHeight="1">
      <c r="A29" s="22">
        <v>29.0</v>
      </c>
      <c r="B29" s="23" t="s">
        <v>47</v>
      </c>
      <c r="C29" s="48" t="s">
        <v>2</v>
      </c>
      <c r="D29" s="25">
        <v>45798.0</v>
      </c>
      <c r="E29" s="23">
        <v>434.0</v>
      </c>
      <c r="F29" s="25"/>
      <c r="G29" s="23">
        <v>0.0</v>
      </c>
      <c r="H29" s="26">
        <f>IFERROR(__xludf.DUMMYFUNCTION("GOOGLEFINANCE(""NSE:""&amp;B29,""price"")"),408.85)</f>
        <v>408.85</v>
      </c>
      <c r="I29" s="22">
        <v>11.0</v>
      </c>
      <c r="J29" s="23">
        <f t="shared" si="1"/>
        <v>4774</v>
      </c>
      <c r="K29" s="23">
        <f t="shared" si="2"/>
        <v>-276.65</v>
      </c>
      <c r="L29" s="27">
        <f t="shared" si="3"/>
        <v>-0.05794930876</v>
      </c>
      <c r="M29" s="23">
        <f>IFERROR(__xludf.DUMMYFUNCTION("IF(G29&gt;0,0, IFNA(GOOGLEFINANCE(""NSE:""&amp;B29,""change""),0))"),6.15)</f>
        <v>6.15</v>
      </c>
      <c r="N29" s="23">
        <f t="shared" si="4"/>
        <v>67.65</v>
      </c>
      <c r="O29" s="23">
        <f t="shared" si="5"/>
        <v>0</v>
      </c>
      <c r="P29" s="27">
        <f t="shared" si="6"/>
        <v>0</v>
      </c>
    </row>
    <row r="30" ht="22.5" customHeight="1">
      <c r="A30" s="22">
        <v>30.0</v>
      </c>
      <c r="B30" s="23" t="s">
        <v>56</v>
      </c>
      <c r="C30" s="48" t="s">
        <v>2</v>
      </c>
      <c r="D30" s="25">
        <v>45812.0</v>
      </c>
      <c r="E30" s="23">
        <v>911.75</v>
      </c>
      <c r="F30" s="25"/>
      <c r="G30" s="23">
        <v>0.0</v>
      </c>
      <c r="H30" s="26">
        <f>IFERROR(__xludf.DUMMYFUNCTION("GOOGLEFINANCE(""NSE:""&amp;B30,""price"")"),776.9)</f>
        <v>776.9</v>
      </c>
      <c r="I30" s="22">
        <v>5.0</v>
      </c>
      <c r="J30" s="23">
        <f t="shared" si="1"/>
        <v>4558.75</v>
      </c>
      <c r="K30" s="23">
        <f t="shared" si="2"/>
        <v>-674.25</v>
      </c>
      <c r="L30" s="27">
        <f t="shared" si="3"/>
        <v>-0.1479023855</v>
      </c>
      <c r="M30" s="23">
        <f>IFERROR(__xludf.DUMMYFUNCTION("IF(G30&gt;0,0, IFNA(GOOGLEFINANCE(""NSE:""&amp;B30,""change""),0))"),8.4)</f>
        <v>8.4</v>
      </c>
      <c r="N30" s="23">
        <f t="shared" si="4"/>
        <v>42</v>
      </c>
      <c r="O30" s="23">
        <f t="shared" si="5"/>
        <v>0</v>
      </c>
      <c r="P30" s="27">
        <f t="shared" si="6"/>
        <v>0</v>
      </c>
    </row>
    <row r="31" ht="22.5" customHeight="1">
      <c r="A31" s="22">
        <v>31.0</v>
      </c>
      <c r="B31" s="23" t="s">
        <v>14</v>
      </c>
      <c r="C31" s="48" t="s">
        <v>2</v>
      </c>
      <c r="D31" s="25">
        <v>45877.0</v>
      </c>
      <c r="E31" s="23">
        <v>2500.0</v>
      </c>
      <c r="F31" s="25"/>
      <c r="G31" s="23">
        <v>0.0</v>
      </c>
      <c r="H31" s="26">
        <f>IFERROR(__xludf.DUMMYFUNCTION("IFNA(GOOGLEFINANCE(""NSE:""&amp;B31,""price""),)"),2808.0)</f>
        <v>2808</v>
      </c>
      <c r="I31" s="22">
        <v>4.0</v>
      </c>
      <c r="J31" s="23">
        <f t="shared" si="1"/>
        <v>10000</v>
      </c>
      <c r="K31" s="23">
        <f t="shared" si="2"/>
        <v>1232</v>
      </c>
      <c r="L31" s="27">
        <f t="shared" si="3"/>
        <v>0.1232</v>
      </c>
      <c r="M31" s="23">
        <f>IFERROR(__xludf.DUMMYFUNCTION("IF(G31&gt;0,0, IFNA(GOOGLEFINANCE(""NSE:""&amp;B31,""change""),0))"),0.4)</f>
        <v>0.4</v>
      </c>
      <c r="N31" s="23">
        <f t="shared" si="4"/>
        <v>1.6</v>
      </c>
      <c r="O31" s="23">
        <f t="shared" si="5"/>
        <v>0</v>
      </c>
      <c r="P31" s="27">
        <f t="shared" si="6"/>
        <v>0</v>
      </c>
    </row>
    <row r="32" ht="22.5" customHeight="1">
      <c r="A32" s="22">
        <v>32.0</v>
      </c>
      <c r="B32" s="38" t="s">
        <v>23</v>
      </c>
      <c r="C32" s="22" t="s">
        <v>2</v>
      </c>
      <c r="D32" s="25">
        <v>45895.0</v>
      </c>
      <c r="E32" s="23">
        <v>702.165</v>
      </c>
      <c r="F32" s="25"/>
      <c r="G32" s="23">
        <v>0.0</v>
      </c>
      <c r="H32" s="26">
        <f>IFERROR(__xludf.DUMMYFUNCTION("IFNA(GOOGLEFINANCE(""NSE:""&amp;B32,""price""),)"),997.0)</f>
        <v>997</v>
      </c>
      <c r="I32" s="22">
        <v>6.0</v>
      </c>
      <c r="J32" s="23">
        <f t="shared" si="1"/>
        <v>4212.99</v>
      </c>
      <c r="K32" s="23">
        <f t="shared" si="2"/>
        <v>1769.01</v>
      </c>
      <c r="L32" s="27">
        <f t="shared" si="3"/>
        <v>0.4198941844</v>
      </c>
      <c r="M32" s="23">
        <f>IFERROR(__xludf.DUMMYFUNCTION("IF(G32&gt;0,0, IFNA(GOOGLEFINANCE(""NSE:""&amp;B32,""change""),0))"),9.3)</f>
        <v>9.3</v>
      </c>
      <c r="N32" s="23">
        <f t="shared" si="4"/>
        <v>55.8</v>
      </c>
      <c r="O32" s="23">
        <f t="shared" si="5"/>
        <v>0</v>
      </c>
      <c r="P32" s="27">
        <f t="shared" si="6"/>
        <v>0</v>
      </c>
    </row>
    <row r="33" ht="22.5" customHeight="1">
      <c r="A33" s="22">
        <v>33.0</v>
      </c>
      <c r="B33" s="23" t="s">
        <v>23</v>
      </c>
      <c r="C33" s="22" t="s">
        <v>2</v>
      </c>
      <c r="D33" s="25">
        <v>45895.0</v>
      </c>
      <c r="E33" s="26">
        <v>762.8666666666667</v>
      </c>
      <c r="F33" s="25"/>
      <c r="G33" s="23">
        <v>0.0</v>
      </c>
      <c r="H33" s="26">
        <f>IFERROR(__xludf.DUMMYFUNCTION("IFNA(GOOGLEFINANCE(""NSE:""&amp;B33,""price""),)"),997.0)</f>
        <v>997</v>
      </c>
      <c r="I33" s="22">
        <v>9.0</v>
      </c>
      <c r="J33" s="23">
        <f t="shared" si="1"/>
        <v>6865.8</v>
      </c>
      <c r="K33" s="23">
        <f t="shared" si="2"/>
        <v>2107.2</v>
      </c>
      <c r="L33" s="27">
        <f t="shared" si="3"/>
        <v>0.3069125229</v>
      </c>
      <c r="M33" s="23">
        <f>IFERROR(__xludf.DUMMYFUNCTION("IF(G33&gt;0,0, IFNA(GOOGLEFINANCE(""NSE:""&amp;B33,""change""),0))"),9.3)</f>
        <v>9.3</v>
      </c>
      <c r="N33" s="23">
        <f t="shared" si="4"/>
        <v>83.7</v>
      </c>
      <c r="O33" s="23">
        <f t="shared" si="5"/>
        <v>0</v>
      </c>
      <c r="P33" s="27">
        <f t="shared" si="6"/>
        <v>0</v>
      </c>
    </row>
    <row r="34" ht="22.5" customHeight="1">
      <c r="A34" s="22">
        <v>34.0</v>
      </c>
      <c r="B34" s="23" t="s">
        <v>39</v>
      </c>
      <c r="C34" s="22" t="s">
        <v>2</v>
      </c>
      <c r="D34" s="25">
        <v>45951.0</v>
      </c>
      <c r="E34" s="23">
        <v>1469.0</v>
      </c>
      <c r="F34" s="25"/>
      <c r="G34" s="23">
        <v>0.0</v>
      </c>
      <c r="H34" s="26">
        <f>IFERROR(__xludf.DUMMYFUNCTION("IFNA(GOOGLEFINANCE(""NSE:""&amp;B34,""price""),)"),1569.0)</f>
        <v>1569</v>
      </c>
      <c r="I34" s="22">
        <v>3.0</v>
      </c>
      <c r="J34" s="23">
        <f t="shared" si="1"/>
        <v>4407</v>
      </c>
      <c r="K34" s="23">
        <f t="shared" si="2"/>
        <v>300</v>
      </c>
      <c r="L34" s="27">
        <f t="shared" si="3"/>
        <v>0.0680735194</v>
      </c>
      <c r="M34" s="23">
        <f>IFERROR(__xludf.DUMMYFUNCTION("IF(G34&gt;0,0, IFNA(GOOGLEFINANCE(""NSE:""&amp;B34,""change""),0))"),-6.4)</f>
        <v>-6.4</v>
      </c>
      <c r="N34" s="23">
        <f t="shared" si="4"/>
        <v>-19.2</v>
      </c>
      <c r="O34" s="23">
        <f t="shared" si="5"/>
        <v>0</v>
      </c>
      <c r="P34" s="27">
        <f t="shared" si="6"/>
        <v>0</v>
      </c>
      <c r="Q34" s="40" t="s">
        <v>129</v>
      </c>
    </row>
    <row r="35" ht="22.5" customHeight="1">
      <c r="A35" s="22">
        <v>35.0</v>
      </c>
      <c r="B35" s="23" t="s">
        <v>42</v>
      </c>
      <c r="C35" s="22" t="s">
        <v>2</v>
      </c>
      <c r="D35" s="25"/>
      <c r="E35" s="26">
        <v>207.848375</v>
      </c>
      <c r="F35" s="25"/>
      <c r="G35" s="23">
        <v>0.0</v>
      </c>
      <c r="H35" s="26">
        <f>IFERROR(__xludf.DUMMYFUNCTION("IFNA(GOOGLEFINANCE(""NSE:""&amp;B35,""price""),)"),425.5)</f>
        <v>425.5</v>
      </c>
      <c r="I35" s="22">
        <v>7.0</v>
      </c>
      <c r="J35" s="23">
        <f t="shared" si="1"/>
        <v>1454.938625</v>
      </c>
      <c r="K35" s="23">
        <f t="shared" si="2"/>
        <v>1523.561375</v>
      </c>
      <c r="L35" s="27">
        <f t="shared" si="3"/>
        <v>1.047165392</v>
      </c>
      <c r="M35" s="23">
        <f>IFERROR(__xludf.DUMMYFUNCTION("IF(G35&gt;0,0, IFNA(GOOGLEFINANCE(""NSE:""&amp;B35,""change""),0))"),13.8)</f>
        <v>13.8</v>
      </c>
      <c r="N35" s="23">
        <f t="shared" si="4"/>
        <v>96.6</v>
      </c>
      <c r="O35" s="23">
        <f t="shared" si="5"/>
        <v>0</v>
      </c>
      <c r="P35" s="27">
        <f t="shared" si="6"/>
        <v>0</v>
      </c>
    </row>
    <row r="36" ht="22.5" customHeight="1">
      <c r="A36" s="22">
        <v>36.0</v>
      </c>
      <c r="B36" s="23" t="s">
        <v>42</v>
      </c>
      <c r="C36" s="22" t="s">
        <v>2</v>
      </c>
      <c r="D36" s="25"/>
      <c r="E36" s="26">
        <v>203.67739</v>
      </c>
      <c r="F36" s="25"/>
      <c r="G36" s="23">
        <v>0.0</v>
      </c>
      <c r="H36" s="26">
        <f>IFERROR(__xludf.DUMMYFUNCTION("IFNA(GOOGLEFINANCE(""NSE:""&amp;B36,""price""),)"),425.5)</f>
        <v>425.5</v>
      </c>
      <c r="I36" s="22">
        <v>7.0</v>
      </c>
      <c r="J36" s="23">
        <f t="shared" si="1"/>
        <v>1425.74173</v>
      </c>
      <c r="K36" s="23">
        <f t="shared" si="2"/>
        <v>1552.75827</v>
      </c>
      <c r="L36" s="27">
        <f t="shared" si="3"/>
        <v>1.089088043</v>
      </c>
      <c r="M36" s="23">
        <f>IFERROR(__xludf.DUMMYFUNCTION("IF(G36&gt;0,0, IFNA(GOOGLEFINANCE(""NSE:""&amp;B36,""change""),0))"),13.8)</f>
        <v>13.8</v>
      </c>
      <c r="N36" s="23">
        <f t="shared" si="4"/>
        <v>96.6</v>
      </c>
      <c r="O36" s="23">
        <f t="shared" si="5"/>
        <v>0</v>
      </c>
      <c r="P36" s="27">
        <f t="shared" si="6"/>
        <v>0</v>
      </c>
    </row>
    <row r="37" ht="22.5" customHeight="1">
      <c r="A37" s="22">
        <v>37.0</v>
      </c>
      <c r="B37" s="23" t="s">
        <v>27</v>
      </c>
      <c r="C37" s="48" t="s">
        <v>2</v>
      </c>
      <c r="D37" s="25">
        <v>45982.0</v>
      </c>
      <c r="E37" s="23">
        <v>116.75</v>
      </c>
      <c r="F37" s="25"/>
      <c r="G37" s="23">
        <v>0.0</v>
      </c>
      <c r="H37" s="26">
        <f>IFERROR(__xludf.DUMMYFUNCTION("IFNA(GOOGLEFINANCE(""NSE:""&amp;B37,""price""),)"),116.72)</f>
        <v>116.72</v>
      </c>
      <c r="I37" s="22">
        <v>50.0</v>
      </c>
      <c r="J37" s="23">
        <f t="shared" si="1"/>
        <v>5837.5</v>
      </c>
      <c r="K37" s="23">
        <f t="shared" si="2"/>
        <v>-1.5</v>
      </c>
      <c r="L37" s="27">
        <f t="shared" si="3"/>
        <v>-0.0002569593148</v>
      </c>
      <c r="M37" s="23">
        <f>IFERROR(__xludf.DUMMYFUNCTION("IF(G37&gt;0,0, IFNA(GOOGLEFINANCE(""NSE:""&amp;B37,""change""),0))"),0.58)</f>
        <v>0.58</v>
      </c>
      <c r="N37" s="23">
        <f t="shared" si="4"/>
        <v>29</v>
      </c>
      <c r="O37" s="23">
        <f t="shared" si="5"/>
        <v>0</v>
      </c>
      <c r="P37" s="27">
        <f t="shared" si="6"/>
        <v>0</v>
      </c>
    </row>
    <row r="38" ht="22.5" customHeight="1">
      <c r="A38" s="22">
        <v>38.0</v>
      </c>
      <c r="B38" s="23" t="s">
        <v>54</v>
      </c>
      <c r="C38" s="48" t="s">
        <v>2</v>
      </c>
      <c r="D38" s="25">
        <v>45989.0</v>
      </c>
      <c r="E38" s="23">
        <v>117.2</v>
      </c>
      <c r="F38" s="25"/>
      <c r="G38" s="23">
        <v>0.0</v>
      </c>
      <c r="H38" s="26">
        <f>IFERROR(__xludf.DUMMYFUNCTION("IFNA(GOOGLEFINANCE(""NSE:""&amp;B38,""price""),)"),120.27)</f>
        <v>120.27</v>
      </c>
      <c r="I38" s="22">
        <v>50.0</v>
      </c>
      <c r="J38" s="23">
        <f t="shared" si="1"/>
        <v>5860</v>
      </c>
      <c r="K38" s="23">
        <f t="shared" si="2"/>
        <v>153.5</v>
      </c>
      <c r="L38" s="27">
        <f t="shared" si="3"/>
        <v>0.02619453925</v>
      </c>
      <c r="M38" s="23">
        <f>IFERROR(__xludf.DUMMYFUNCTION("IF(G38&gt;0,0, IFNA(GOOGLEFINANCE(""NSE:""&amp;B38,""change""),0))"),-0.84)</f>
        <v>-0.84</v>
      </c>
      <c r="N38" s="23">
        <f t="shared" si="4"/>
        <v>-42</v>
      </c>
      <c r="O38" s="23">
        <f t="shared" si="5"/>
        <v>0</v>
      </c>
      <c r="P38" s="27">
        <f t="shared" si="6"/>
        <v>0</v>
      </c>
    </row>
    <row r="39" ht="22.5" customHeight="1">
      <c r="A39" s="22">
        <v>39.0</v>
      </c>
      <c r="B39" s="23"/>
      <c r="C39" s="48"/>
      <c r="D39" s="25"/>
      <c r="E39" s="23"/>
      <c r="F39" s="25"/>
      <c r="G39" s="23"/>
      <c r="H39" s="26" t="str">
        <f>IFERROR(__xludf.DUMMYFUNCTION("IFNA(GOOGLEFINANCE(""NSE:""&amp;B39,""price""),)"),"")</f>
        <v/>
      </c>
      <c r="I39" s="22"/>
      <c r="J39" s="23">
        <f t="shared" si="1"/>
        <v>0</v>
      </c>
      <c r="K39" s="23">
        <f t="shared" si="2"/>
        <v>0</v>
      </c>
      <c r="L39" s="27">
        <f t="shared" si="3"/>
        <v>0</v>
      </c>
      <c r="M39" s="23">
        <f>IFERROR(__xludf.DUMMYFUNCTION("IF(G39&gt;0,0, IFNA(GOOGLEFINANCE(""NSE:""&amp;B39,""change""),0))"),0.0)</f>
        <v>0</v>
      </c>
      <c r="N39" s="23">
        <f t="shared" si="4"/>
        <v>0</v>
      </c>
      <c r="O39" s="23">
        <f t="shared" si="5"/>
        <v>0</v>
      </c>
      <c r="P39" s="27">
        <f t="shared" si="6"/>
        <v>0</v>
      </c>
    </row>
    <row r="40" ht="22.5" customHeight="1">
      <c r="A40" s="22">
        <v>40.0</v>
      </c>
      <c r="B40" s="23"/>
      <c r="C40" s="48"/>
      <c r="D40" s="25"/>
      <c r="E40" s="23"/>
      <c r="F40" s="25"/>
      <c r="G40" s="23"/>
      <c r="H40" s="26" t="str">
        <f>IFERROR(__xludf.DUMMYFUNCTION("IFNA(GOOGLEFINANCE(""NSE:""&amp;B40,""price""),)"),"")</f>
        <v/>
      </c>
      <c r="I40" s="22"/>
      <c r="J40" s="23">
        <f t="shared" si="1"/>
        <v>0</v>
      </c>
      <c r="K40" s="23">
        <f t="shared" si="2"/>
        <v>0</v>
      </c>
      <c r="L40" s="27">
        <f t="shared" si="3"/>
        <v>0</v>
      </c>
      <c r="M40" s="23">
        <f>IFERROR(__xludf.DUMMYFUNCTION("IF(G40&gt;0,0, IFNA(GOOGLEFINANCE(""NSE:""&amp;B40,""change""),0))"),0.0)</f>
        <v>0</v>
      </c>
      <c r="N40" s="23">
        <f t="shared" si="4"/>
        <v>0</v>
      </c>
      <c r="O40" s="23">
        <f t="shared" si="5"/>
        <v>0</v>
      </c>
      <c r="P40" s="27">
        <f t="shared" si="6"/>
        <v>0</v>
      </c>
    </row>
    <row r="41" ht="22.5" customHeight="1">
      <c r="A41" s="22">
        <v>41.0</v>
      </c>
      <c r="B41" s="23"/>
      <c r="C41" s="48"/>
      <c r="D41" s="25"/>
      <c r="E41" s="23"/>
      <c r="F41" s="25"/>
      <c r="G41" s="23"/>
      <c r="H41" s="26" t="str">
        <f>IFERROR(__xludf.DUMMYFUNCTION("IFNA(GOOGLEFINANCE(""NSE:""&amp;B41,""price""),)"),"")</f>
        <v/>
      </c>
      <c r="I41" s="22"/>
      <c r="J41" s="23">
        <f t="shared" si="1"/>
        <v>0</v>
      </c>
      <c r="K41" s="23">
        <f t="shared" si="2"/>
        <v>0</v>
      </c>
      <c r="L41" s="27">
        <f t="shared" si="3"/>
        <v>0</v>
      </c>
      <c r="M41" s="23">
        <f>IFERROR(__xludf.DUMMYFUNCTION("IF(G41&gt;0,0, IFNA(GOOGLEFINANCE(""NSE:""&amp;B41,""change""),0))"),0.0)</f>
        <v>0</v>
      </c>
      <c r="N41" s="23">
        <f t="shared" si="4"/>
        <v>0</v>
      </c>
      <c r="O41" s="23">
        <f t="shared" si="5"/>
        <v>0</v>
      </c>
      <c r="P41" s="27">
        <f t="shared" si="6"/>
        <v>0</v>
      </c>
    </row>
    <row r="42" ht="22.5" customHeight="1">
      <c r="A42" s="22">
        <v>42.0</v>
      </c>
      <c r="B42" s="23"/>
      <c r="C42" s="48"/>
      <c r="D42" s="25"/>
      <c r="E42" s="23"/>
      <c r="F42" s="25"/>
      <c r="G42" s="23"/>
      <c r="H42" s="26" t="str">
        <f>IFERROR(__xludf.DUMMYFUNCTION("IFNA(GOOGLEFINANCE(""NSE:""&amp;B42,""price""),)"),"")</f>
        <v/>
      </c>
      <c r="I42" s="22"/>
      <c r="J42" s="23">
        <f t="shared" si="1"/>
        <v>0</v>
      </c>
      <c r="K42" s="23">
        <f t="shared" si="2"/>
        <v>0</v>
      </c>
      <c r="L42" s="27">
        <f t="shared" si="3"/>
        <v>0</v>
      </c>
      <c r="M42" s="23">
        <f>IFERROR(__xludf.DUMMYFUNCTION("IF(G42&gt;0,0, IFNA(GOOGLEFINANCE(""NSE:""&amp;B42,""change""),0))"),0.0)</f>
        <v>0</v>
      </c>
      <c r="N42" s="23">
        <f t="shared" si="4"/>
        <v>0</v>
      </c>
      <c r="O42" s="23">
        <f t="shared" si="5"/>
        <v>0</v>
      </c>
      <c r="P42" s="27">
        <f t="shared" si="6"/>
        <v>0</v>
      </c>
    </row>
    <row r="43" ht="22.5" customHeight="1">
      <c r="A43" s="22">
        <v>43.0</v>
      </c>
      <c r="B43" s="23"/>
      <c r="C43" s="48"/>
      <c r="D43" s="25"/>
      <c r="E43" s="23"/>
      <c r="F43" s="22"/>
      <c r="G43" s="23"/>
      <c r="H43" s="26" t="str">
        <f>IFERROR(__xludf.DUMMYFUNCTION("IFNA(GOOGLEFINANCE(""NSE:""&amp;B43,""price""),)"),"")</f>
        <v/>
      </c>
      <c r="I43" s="22"/>
      <c r="J43" s="23">
        <f t="shared" si="1"/>
        <v>0</v>
      </c>
      <c r="K43" s="23">
        <f t="shared" si="2"/>
        <v>0</v>
      </c>
      <c r="L43" s="27">
        <f t="shared" si="3"/>
        <v>0</v>
      </c>
      <c r="M43" s="23">
        <f>IFERROR(__xludf.DUMMYFUNCTION("IF(G43&gt;0,0, IFNA(GOOGLEFINANCE(""NSE:""&amp;B43,""change""),0))"),0.0)</f>
        <v>0</v>
      </c>
      <c r="N43" s="23">
        <f t="shared" si="4"/>
        <v>0</v>
      </c>
      <c r="O43" s="23">
        <f t="shared" si="5"/>
        <v>0</v>
      </c>
      <c r="P43" s="27">
        <f t="shared" si="6"/>
        <v>0</v>
      </c>
    </row>
    <row r="44" ht="22.5" customHeight="1">
      <c r="A44" s="22">
        <v>44.0</v>
      </c>
      <c r="B44" s="23"/>
      <c r="C44" s="48"/>
      <c r="D44" s="25"/>
      <c r="E44" s="23"/>
      <c r="F44" s="25"/>
      <c r="G44" s="23"/>
      <c r="H44" s="26" t="str">
        <f>IFERROR(__xludf.DUMMYFUNCTION("IFNA(GOOGLEFINANCE(""NSE:""&amp;B44,""price""),)"),"")</f>
        <v/>
      </c>
      <c r="I44" s="22"/>
      <c r="J44" s="23">
        <f t="shared" si="1"/>
        <v>0</v>
      </c>
      <c r="K44" s="23">
        <f t="shared" si="2"/>
        <v>0</v>
      </c>
      <c r="L44" s="27">
        <f t="shared" si="3"/>
        <v>0</v>
      </c>
      <c r="M44" s="23">
        <f>IFERROR(__xludf.DUMMYFUNCTION("IF(G44&gt;0,0, IFNA(GOOGLEFINANCE(""NSE:""&amp;B44,""change""),0))"),0.0)</f>
        <v>0</v>
      </c>
      <c r="N44" s="23">
        <f t="shared" si="4"/>
        <v>0</v>
      </c>
      <c r="O44" s="23">
        <f t="shared" si="5"/>
        <v>0</v>
      </c>
      <c r="P44" s="27">
        <f t="shared" si="6"/>
        <v>0</v>
      </c>
    </row>
    <row r="45" ht="22.5" customHeight="1">
      <c r="A45" s="22">
        <v>45.0</v>
      </c>
      <c r="B45" s="23"/>
      <c r="C45" s="48"/>
      <c r="D45" s="25"/>
      <c r="E45" s="23"/>
      <c r="F45" s="25"/>
      <c r="G45" s="23"/>
      <c r="H45" s="26" t="str">
        <f>IFERROR(__xludf.DUMMYFUNCTION("IFNA(GOOGLEFINANCE(""NSE:""&amp;B45,""price""),)"),"")</f>
        <v/>
      </c>
      <c r="I45" s="22"/>
      <c r="J45" s="23">
        <f t="shared" si="1"/>
        <v>0</v>
      </c>
      <c r="K45" s="23">
        <f t="shared" si="2"/>
        <v>0</v>
      </c>
      <c r="L45" s="27">
        <f t="shared" si="3"/>
        <v>0</v>
      </c>
      <c r="M45" s="23">
        <f>IFERROR(__xludf.DUMMYFUNCTION("IF(G45&gt;0,0, IFNA(GOOGLEFINANCE(""NSE:""&amp;B45,""change""),0))"),0.0)</f>
        <v>0</v>
      </c>
      <c r="N45" s="23">
        <f t="shared" si="4"/>
        <v>0</v>
      </c>
      <c r="O45" s="23">
        <f t="shared" si="5"/>
        <v>0</v>
      </c>
      <c r="P45" s="27">
        <f t="shared" si="6"/>
        <v>0</v>
      </c>
    </row>
    <row r="46" ht="22.5" customHeight="1">
      <c r="A46" s="22">
        <v>46.0</v>
      </c>
      <c r="B46" s="23"/>
      <c r="C46" s="48"/>
      <c r="D46" s="25"/>
      <c r="E46" s="23"/>
      <c r="F46" s="25"/>
      <c r="G46" s="23"/>
      <c r="H46" s="26" t="str">
        <f>IFERROR(__xludf.DUMMYFUNCTION("IFNA(GOOGLEFINANCE(""NSE:""&amp;B46,""price""),)"),"")</f>
        <v/>
      </c>
      <c r="I46" s="22"/>
      <c r="J46" s="23">
        <f t="shared" si="1"/>
        <v>0</v>
      </c>
      <c r="K46" s="23">
        <f t="shared" si="2"/>
        <v>0</v>
      </c>
      <c r="L46" s="27">
        <f t="shared" si="3"/>
        <v>0</v>
      </c>
      <c r="M46" s="23">
        <f>IFERROR(__xludf.DUMMYFUNCTION("IF(G46&gt;0,0, IFNA(GOOGLEFINANCE(""NSE:""&amp;B46,""change""),0))"),0.0)</f>
        <v>0</v>
      </c>
      <c r="N46" s="23">
        <f t="shared" si="4"/>
        <v>0</v>
      </c>
      <c r="O46" s="23">
        <f t="shared" si="5"/>
        <v>0</v>
      </c>
      <c r="P46" s="27">
        <f t="shared" si="6"/>
        <v>0</v>
      </c>
    </row>
    <row r="47" ht="22.5" customHeight="1">
      <c r="A47" s="22">
        <v>47.0</v>
      </c>
      <c r="B47" s="23"/>
      <c r="C47" s="48"/>
      <c r="D47" s="25"/>
      <c r="E47" s="23"/>
      <c r="F47" s="25"/>
      <c r="G47" s="23"/>
      <c r="H47" s="26" t="str">
        <f>IFERROR(__xludf.DUMMYFUNCTION("IFNA(GOOGLEFINANCE(""NSE:""&amp;B47,""price""),)"),"")</f>
        <v/>
      </c>
      <c r="I47" s="22"/>
      <c r="J47" s="23">
        <f t="shared" si="1"/>
        <v>0</v>
      </c>
      <c r="K47" s="23">
        <f t="shared" si="2"/>
        <v>0</v>
      </c>
      <c r="L47" s="27">
        <f t="shared" si="3"/>
        <v>0</v>
      </c>
      <c r="M47" s="23">
        <f>IFERROR(__xludf.DUMMYFUNCTION("IF(G47&gt;0,0, IFNA(GOOGLEFINANCE(""NSE:""&amp;B47,""change""),0))"),0.0)</f>
        <v>0</v>
      </c>
      <c r="N47" s="23">
        <f t="shared" si="4"/>
        <v>0</v>
      </c>
      <c r="O47" s="23">
        <f t="shared" si="5"/>
        <v>0</v>
      </c>
      <c r="P47" s="27">
        <f t="shared" si="6"/>
        <v>0</v>
      </c>
    </row>
    <row r="48" ht="22.5" customHeight="1">
      <c r="A48" s="22">
        <v>48.0</v>
      </c>
      <c r="B48" s="23"/>
      <c r="C48" s="48"/>
      <c r="D48" s="25"/>
      <c r="E48" s="23"/>
      <c r="F48" s="25"/>
      <c r="G48" s="23"/>
      <c r="H48" s="26" t="str">
        <f>IFERROR(__xludf.DUMMYFUNCTION("IFNA(GOOGLEFINANCE(""NSE:""&amp;B48,""price""),)"),"")</f>
        <v/>
      </c>
      <c r="I48" s="22"/>
      <c r="J48" s="23">
        <f t="shared" si="1"/>
        <v>0</v>
      </c>
      <c r="K48" s="23">
        <f t="shared" si="2"/>
        <v>0</v>
      </c>
      <c r="L48" s="27">
        <f t="shared" si="3"/>
        <v>0</v>
      </c>
      <c r="M48" s="23">
        <f>IFERROR(__xludf.DUMMYFUNCTION("IF(G48&gt;0,0, IFNA(GOOGLEFINANCE(""NSE:""&amp;B48,""change""),0))"),0.0)</f>
        <v>0</v>
      </c>
      <c r="N48" s="23">
        <f t="shared" si="4"/>
        <v>0</v>
      </c>
      <c r="O48" s="23">
        <f t="shared" si="5"/>
        <v>0</v>
      </c>
      <c r="P48" s="27">
        <f t="shared" si="6"/>
        <v>0</v>
      </c>
    </row>
    <row r="49" ht="22.5" customHeight="1">
      <c r="A49" s="22">
        <v>49.0</v>
      </c>
      <c r="B49" s="23"/>
      <c r="C49" s="48"/>
      <c r="D49" s="25"/>
      <c r="E49" s="23"/>
      <c r="F49" s="25"/>
      <c r="G49" s="23"/>
      <c r="H49" s="26" t="str">
        <f>IFERROR(__xludf.DUMMYFUNCTION("IFNA(GOOGLEFINANCE(""NSE:""&amp;B49,""price""),)"),"")</f>
        <v/>
      </c>
      <c r="I49" s="22"/>
      <c r="J49" s="23">
        <f t="shared" si="1"/>
        <v>0</v>
      </c>
      <c r="K49" s="23">
        <f t="shared" si="2"/>
        <v>0</v>
      </c>
      <c r="L49" s="27">
        <f t="shared" si="3"/>
        <v>0</v>
      </c>
      <c r="M49" s="23">
        <f>IFERROR(__xludf.DUMMYFUNCTION("IF(G49&gt;0,0, IFNA(GOOGLEFINANCE(""NSE:""&amp;B49,""change""),0))"),0.0)</f>
        <v>0</v>
      </c>
      <c r="N49" s="23">
        <f t="shared" si="4"/>
        <v>0</v>
      </c>
      <c r="O49" s="23">
        <f t="shared" si="5"/>
        <v>0</v>
      </c>
      <c r="P49" s="27">
        <f t="shared" si="6"/>
        <v>0</v>
      </c>
    </row>
    <row r="50" ht="22.5" customHeight="1">
      <c r="A50" s="22">
        <v>50.0</v>
      </c>
      <c r="B50" s="23"/>
      <c r="C50" s="48"/>
      <c r="D50" s="25"/>
      <c r="E50" s="23"/>
      <c r="F50" s="22"/>
      <c r="G50" s="23"/>
      <c r="H50" s="26" t="str">
        <f>IFERROR(__xludf.DUMMYFUNCTION("IFNA(GOOGLEFINANCE(""NSE:""&amp;B50,""price""),)"),"")</f>
        <v/>
      </c>
      <c r="I50" s="22"/>
      <c r="J50" s="23">
        <f t="shared" si="1"/>
        <v>0</v>
      </c>
      <c r="K50" s="23">
        <f t="shared" si="2"/>
        <v>0</v>
      </c>
      <c r="L50" s="27">
        <f t="shared" si="3"/>
        <v>0</v>
      </c>
      <c r="M50" s="23">
        <f>IFERROR(__xludf.DUMMYFUNCTION("IF(G50&gt;0,0, IFNA(GOOGLEFINANCE(""NSE:""&amp;B50,""change""),0))"),0.0)</f>
        <v>0</v>
      </c>
      <c r="N50" s="23">
        <f t="shared" si="4"/>
        <v>0</v>
      </c>
      <c r="O50" s="23">
        <f t="shared" si="5"/>
        <v>0</v>
      </c>
      <c r="P50" s="27">
        <f t="shared" si="6"/>
        <v>0</v>
      </c>
    </row>
    <row r="51" ht="22.5" customHeight="1">
      <c r="A51" s="22">
        <v>51.0</v>
      </c>
      <c r="B51" s="50"/>
      <c r="C51" s="57"/>
      <c r="D51" s="52"/>
      <c r="E51" s="50"/>
      <c r="F51" s="52"/>
      <c r="G51" s="50"/>
      <c r="H51" s="26" t="str">
        <f>IFERROR(__xludf.DUMMYFUNCTION("IFNA(GOOGLEFINANCE(""NSE:""&amp;B51,""price""),)"),"")</f>
        <v/>
      </c>
      <c r="I51" s="58"/>
      <c r="J51" s="23">
        <f t="shared" si="1"/>
        <v>0</v>
      </c>
      <c r="K51" s="23">
        <f t="shared" si="2"/>
        <v>0</v>
      </c>
      <c r="L51" s="27">
        <f t="shared" si="3"/>
        <v>0</v>
      </c>
      <c r="M51" s="23">
        <f>IFERROR(__xludf.DUMMYFUNCTION("IF(G51&gt;0,0, IFNA(GOOGLEFINANCE(""NSE:""&amp;B51,""change""),0))"),0.0)</f>
        <v>0</v>
      </c>
      <c r="N51" s="23">
        <f t="shared" si="4"/>
        <v>0</v>
      </c>
      <c r="O51" s="23">
        <f t="shared" si="5"/>
        <v>0</v>
      </c>
      <c r="P51" s="27">
        <f t="shared" si="6"/>
        <v>0</v>
      </c>
    </row>
    <row r="52" ht="22.5" customHeight="1">
      <c r="A52" s="22">
        <v>52.0</v>
      </c>
      <c r="B52" s="23"/>
      <c r="C52" s="48"/>
      <c r="D52" s="25"/>
      <c r="E52" s="23"/>
      <c r="F52" s="25"/>
      <c r="G52" s="23"/>
      <c r="H52" s="26" t="str">
        <f>IFERROR(__xludf.DUMMYFUNCTION("IFNA(GOOGLEFINANCE(""NSE:""&amp;B52,""price""),)"),"")</f>
        <v/>
      </c>
      <c r="I52" s="22"/>
      <c r="J52" s="23">
        <f t="shared" si="1"/>
        <v>0</v>
      </c>
      <c r="K52" s="23">
        <f t="shared" si="2"/>
        <v>0</v>
      </c>
      <c r="L52" s="27">
        <f t="shared" si="3"/>
        <v>0</v>
      </c>
      <c r="M52" s="23">
        <f>IFERROR(__xludf.DUMMYFUNCTION("IF(G52&gt;0,0, IFNA(GOOGLEFINANCE(""NSE:""&amp;B52,""change""),0))"),0.0)</f>
        <v>0</v>
      </c>
      <c r="N52" s="23">
        <f t="shared" si="4"/>
        <v>0</v>
      </c>
      <c r="O52" s="23">
        <f t="shared" si="5"/>
        <v>0</v>
      </c>
      <c r="P52" s="27">
        <f t="shared" si="6"/>
        <v>0</v>
      </c>
    </row>
    <row r="53" ht="22.5" customHeight="1">
      <c r="A53" s="22">
        <v>53.0</v>
      </c>
      <c r="B53" s="50"/>
      <c r="C53" s="57"/>
      <c r="D53" s="52"/>
      <c r="E53" s="50"/>
      <c r="F53" s="52"/>
      <c r="G53" s="50"/>
      <c r="H53" s="26" t="str">
        <f>IFERROR(__xludf.DUMMYFUNCTION("IFNA(GOOGLEFINANCE(""NSE:""&amp;B53,""price""),)"),"")</f>
        <v/>
      </c>
      <c r="I53" s="58"/>
      <c r="J53" s="23">
        <f t="shared" si="1"/>
        <v>0</v>
      </c>
      <c r="K53" s="23">
        <f t="shared" si="2"/>
        <v>0</v>
      </c>
      <c r="L53" s="27">
        <f t="shared" si="3"/>
        <v>0</v>
      </c>
      <c r="M53" s="23">
        <f>IFERROR(__xludf.DUMMYFUNCTION("IF(G53&gt;0,0, IFNA(GOOGLEFINANCE(""NSE:""&amp;B53,""change""),0))"),0.0)</f>
        <v>0</v>
      </c>
      <c r="N53" s="23">
        <f t="shared" si="4"/>
        <v>0</v>
      </c>
      <c r="O53" s="23">
        <f t="shared" si="5"/>
        <v>0</v>
      </c>
      <c r="P53" s="27">
        <f t="shared" si="6"/>
        <v>0</v>
      </c>
    </row>
    <row r="54" ht="22.5" customHeight="1">
      <c r="A54" s="59"/>
      <c r="B54" s="59"/>
      <c r="C54" s="59"/>
      <c r="D54" s="59"/>
      <c r="E54" s="60">
        <f>SUM(Rashmi_Trades[Buy])</f>
        <v>23339.17167</v>
      </c>
      <c r="F54" s="59"/>
      <c r="G54" s="60">
        <f>SUM(Rashmi_Trades[Sell])</f>
        <v>1184.98</v>
      </c>
      <c r="H54" s="61">
        <f>SUM(Rashmi_Trades[LTP])</f>
        <v>27247.02</v>
      </c>
      <c r="I54" s="59"/>
      <c r="J54" s="60">
        <f>SUM(Rashmi_Trades[Invested])</f>
        <v>214332.31</v>
      </c>
      <c r="K54" s="60">
        <f>SUM(Rashmi_Trades[Unrealised P/L])</f>
        <v>85503.88</v>
      </c>
      <c r="L54" s="59"/>
      <c r="M54" s="60">
        <f>SUM(Rashmi_Trades[Day_Change])</f>
        <v>136.02</v>
      </c>
      <c r="N54" s="60">
        <f>SUM(Rashmi_Trades[Change])</f>
        <v>1388.1</v>
      </c>
      <c r="O54" s="60">
        <f>SUM(Rashmi_Trades[Realised P/L])</f>
        <v>25478.62</v>
      </c>
      <c r="P54" s="59"/>
    </row>
    <row r="59">
      <c r="I59" s="62"/>
    </row>
  </sheetData>
  <conditionalFormatting sqref="K2:P54 T4:V21">
    <cfRule type="cellIs" dxfId="0" priority="1" operator="lessThan">
      <formula>0</formula>
    </cfRule>
  </conditionalFormatting>
  <conditionalFormatting sqref="K2:P54 T4:V21">
    <cfRule type="cellIs" dxfId="1" priority="2" operator="greaterThan">
      <formula>0</formula>
    </cfRule>
  </conditionalFormatting>
  <dataValidations>
    <dataValidation type="custom" allowBlank="1" showDropDown="1" sqref="D2:D53">
      <formula1>OR(NOT(ISERROR(DATEVALUE(D2))), AND(ISNUMBER(D2), LEFT(CELL("format", D2))="D"))</formula1>
    </dataValidation>
    <dataValidation type="custom" allowBlank="1" showDropDown="1" sqref="E2:E53 G2:H53 J2:P53">
      <formula1>AND(ISNUMBER(E2),(NOT(OR(NOT(ISERROR(DATEVALUE(E2))), AND(ISNUMBER(E2), LEFT(CELL("format", E2))="D")))))</formula1>
    </dataValidation>
  </dataValidations>
  <drawing r:id="rId3"/>
  <legacyDrawing r:id="rId4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0.38"/>
    <col customWidth="1" min="4" max="4" width="15.38"/>
    <col customWidth="1" min="5" max="5" width="11.5"/>
    <col customWidth="1" min="6" max="6" width="12.0"/>
    <col customWidth="1" min="7" max="7" width="11.38"/>
    <col customWidth="1" min="8" max="8" width="11.5"/>
    <col customWidth="1" min="9" max="9" width="7.88"/>
    <col customWidth="1" min="10" max="10" width="15.0"/>
    <col customWidth="1" min="11" max="11" width="19.63"/>
    <col customWidth="1" min="12" max="12" width="14.5"/>
    <col customWidth="1" min="13" max="14" width="14.38"/>
    <col customWidth="1" min="15" max="15" width="18.13"/>
    <col customWidth="1" min="16" max="16" width="14.5"/>
    <col customWidth="1" min="19" max="19" width="10.5"/>
    <col customWidth="1" min="20" max="20" width="11.38"/>
  </cols>
  <sheetData>
    <row r="1" ht="22.5" customHeight="1">
      <c r="A1" s="18" t="s">
        <v>125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63" t="s">
        <v>79</v>
      </c>
      <c r="J1" s="18" t="s">
        <v>80</v>
      </c>
      <c r="K1" s="18" t="s">
        <v>6</v>
      </c>
      <c r="L1" s="18" t="s">
        <v>82</v>
      </c>
      <c r="M1" s="18" t="s">
        <v>83</v>
      </c>
      <c r="N1" s="18" t="s">
        <v>84</v>
      </c>
      <c r="O1" s="18" t="s">
        <v>5</v>
      </c>
      <c r="P1" s="18" t="s">
        <v>85</v>
      </c>
      <c r="U1" s="40" t="s">
        <v>130</v>
      </c>
    </row>
    <row r="2" ht="22.5" customHeight="1">
      <c r="A2" s="22">
        <v>1.0</v>
      </c>
      <c r="B2" s="23" t="s">
        <v>12</v>
      </c>
      <c r="C2" s="22" t="s">
        <v>3</v>
      </c>
      <c r="D2" s="25"/>
      <c r="E2" s="23">
        <v>53.96</v>
      </c>
      <c r="F2" s="25"/>
      <c r="G2" s="23">
        <v>0.0</v>
      </c>
      <c r="H2" s="26">
        <f>IFERROR(__xludf.DUMMYFUNCTION("GOOGLEFINANCE(""NSE:""&amp;B2,""price"")"),48.97)</f>
        <v>48.97</v>
      </c>
      <c r="I2" s="22">
        <v>236.0</v>
      </c>
      <c r="J2" s="23">
        <f t="shared" ref="J2:J13" si="1">E2*I2</f>
        <v>12734.56</v>
      </c>
      <c r="K2" s="23">
        <f t="shared" ref="K2:K13" si="2">IF(G2&gt;0,0,(H2-E2)*I2)</f>
        <v>-1177.64</v>
      </c>
      <c r="L2" s="27">
        <f t="shared" ref="L2:L13" si="3">IFERROR(IF(G2&gt;0,0,(H2-E2)/E2),0)</f>
        <v>-0.09247590808</v>
      </c>
      <c r="M2" s="23">
        <f>IFERROR(__xludf.DUMMYFUNCTION("GOOGLEFINANCE(""NSE:""&amp;B2,""change"")"),-0.01)</f>
        <v>-0.01</v>
      </c>
      <c r="N2" s="23">
        <f t="shared" ref="N2:N13" si="4">M2*I2</f>
        <v>-2.36</v>
      </c>
      <c r="O2" s="23">
        <f t="shared" ref="O2:O13" si="5">IF(G2=0,0,(G2-E2)*I2)</f>
        <v>0</v>
      </c>
      <c r="P2" s="27">
        <f t="shared" ref="P2:P13" si="6">IF(G2&gt;0,(G2-E2)/E2,0)</f>
        <v>0</v>
      </c>
    </row>
    <row r="3" ht="22.5" customHeight="1">
      <c r="A3" s="22">
        <v>2.0</v>
      </c>
      <c r="B3" s="23" t="s">
        <v>23</v>
      </c>
      <c r="C3" s="22" t="s">
        <v>3</v>
      </c>
      <c r="D3" s="25"/>
      <c r="E3" s="23">
        <v>742.64</v>
      </c>
      <c r="F3" s="25"/>
      <c r="G3" s="23">
        <v>0.0</v>
      </c>
      <c r="H3" s="26">
        <f>IFERROR(__xludf.DUMMYFUNCTION("GOOGLEFINANCE(""NSE:""&amp;B3,""price"")"),997.0)</f>
        <v>997</v>
      </c>
      <c r="I3" s="22">
        <v>8.0</v>
      </c>
      <c r="J3" s="23">
        <f t="shared" si="1"/>
        <v>5941.12</v>
      </c>
      <c r="K3" s="23">
        <f t="shared" si="2"/>
        <v>2034.88</v>
      </c>
      <c r="L3" s="27">
        <f t="shared" si="3"/>
        <v>0.34250781</v>
      </c>
      <c r="M3" s="23">
        <f>IFERROR(__xludf.DUMMYFUNCTION("GOOGLEFINANCE(""NSE:""&amp;B3,""change"")"),9.3)</f>
        <v>9.3</v>
      </c>
      <c r="N3" s="23">
        <f t="shared" si="4"/>
        <v>74.4</v>
      </c>
      <c r="O3" s="23">
        <f t="shared" si="5"/>
        <v>0</v>
      </c>
      <c r="P3" s="27">
        <f t="shared" si="6"/>
        <v>0</v>
      </c>
    </row>
    <row r="4" ht="22.5" customHeight="1">
      <c r="A4" s="22">
        <v>3.0</v>
      </c>
      <c r="B4" s="23" t="s">
        <v>27</v>
      </c>
      <c r="C4" s="22" t="s">
        <v>3</v>
      </c>
      <c r="D4" s="25"/>
      <c r="E4" s="23">
        <v>83.97</v>
      </c>
      <c r="F4" s="25"/>
      <c r="G4" s="23">
        <v>0.0</v>
      </c>
      <c r="H4" s="26">
        <f>IFERROR(__xludf.DUMMYFUNCTION("GOOGLEFINANCE(""NSE:""&amp;B4,""price"")"),116.72)</f>
        <v>116.72</v>
      </c>
      <c r="I4" s="22">
        <v>227.0</v>
      </c>
      <c r="J4" s="23">
        <f t="shared" si="1"/>
        <v>19061.19</v>
      </c>
      <c r="K4" s="23">
        <f t="shared" si="2"/>
        <v>7434.25</v>
      </c>
      <c r="L4" s="27">
        <f t="shared" si="3"/>
        <v>0.3900202453</v>
      </c>
      <c r="M4" s="23">
        <f>IFERROR(__xludf.DUMMYFUNCTION("GOOGLEFINANCE(""NSE:""&amp;B4,""change"")"),0.58)</f>
        <v>0.58</v>
      </c>
      <c r="N4" s="23">
        <f t="shared" si="4"/>
        <v>131.66</v>
      </c>
      <c r="O4" s="23">
        <f t="shared" si="5"/>
        <v>0</v>
      </c>
      <c r="P4" s="27">
        <f t="shared" si="6"/>
        <v>0</v>
      </c>
    </row>
    <row r="5" ht="22.5" customHeight="1">
      <c r="A5" s="22">
        <v>4.0</v>
      </c>
      <c r="B5" s="38" t="s">
        <v>31</v>
      </c>
      <c r="C5" s="22" t="s">
        <v>3</v>
      </c>
      <c r="D5" s="25"/>
      <c r="E5" s="23">
        <v>85.59</v>
      </c>
      <c r="F5" s="25"/>
      <c r="G5" s="23">
        <v>0.0</v>
      </c>
      <c r="H5" s="26">
        <f>IFERROR(__xludf.DUMMYFUNCTION("GOOGLEFINANCE(""NSE:""&amp;B5,""price"")"),84.9)</f>
        <v>84.9</v>
      </c>
      <c r="I5" s="22">
        <v>83.0</v>
      </c>
      <c r="J5" s="23">
        <f t="shared" si="1"/>
        <v>7103.97</v>
      </c>
      <c r="K5" s="23">
        <f t="shared" si="2"/>
        <v>-57.27</v>
      </c>
      <c r="L5" s="27">
        <f t="shared" si="3"/>
        <v>-0.00806168945</v>
      </c>
      <c r="M5" s="23">
        <f>IFERROR(__xludf.DUMMYFUNCTION("GOOGLEFINANCE(""NSE:""&amp;B5,""change"")"),-0.45)</f>
        <v>-0.45</v>
      </c>
      <c r="N5" s="23">
        <f t="shared" si="4"/>
        <v>-37.35</v>
      </c>
      <c r="O5" s="23">
        <f t="shared" si="5"/>
        <v>0</v>
      </c>
      <c r="P5" s="27">
        <f t="shared" si="6"/>
        <v>0</v>
      </c>
    </row>
    <row r="6" ht="22.5" customHeight="1">
      <c r="A6" s="22">
        <v>5.0</v>
      </c>
      <c r="B6" s="38" t="s">
        <v>35</v>
      </c>
      <c r="C6" s="22" t="s">
        <v>3</v>
      </c>
      <c r="D6" s="25"/>
      <c r="E6" s="23">
        <v>972.6</v>
      </c>
      <c r="F6" s="25"/>
      <c r="G6" s="23">
        <v>0.0</v>
      </c>
      <c r="H6" s="26">
        <f>IFERROR(__xludf.DUMMYFUNCTION("GOOGLEFINANCE(""NSE:""&amp;B6,""price"")"),680.5)</f>
        <v>680.5</v>
      </c>
      <c r="I6" s="22">
        <v>5.0</v>
      </c>
      <c r="J6" s="23">
        <f t="shared" si="1"/>
        <v>4863</v>
      </c>
      <c r="K6" s="23">
        <f t="shared" si="2"/>
        <v>-1460.5</v>
      </c>
      <c r="L6" s="27">
        <f t="shared" si="3"/>
        <v>-0.300329015</v>
      </c>
      <c r="M6" s="23">
        <f>IFERROR(__xludf.DUMMYFUNCTION("GOOGLEFINANCE(""NSE:""&amp;B6,""change"")"),-1.15)</f>
        <v>-1.15</v>
      </c>
      <c r="N6" s="23">
        <f t="shared" si="4"/>
        <v>-5.75</v>
      </c>
      <c r="O6" s="23">
        <f t="shared" si="5"/>
        <v>0</v>
      </c>
      <c r="P6" s="27">
        <f t="shared" si="6"/>
        <v>0</v>
      </c>
    </row>
    <row r="7" ht="22.5" customHeight="1">
      <c r="A7" s="22">
        <v>6.0</v>
      </c>
      <c r="B7" s="23" t="s">
        <v>45</v>
      </c>
      <c r="C7" s="22" t="s">
        <v>3</v>
      </c>
      <c r="D7" s="25"/>
      <c r="E7" s="26">
        <v>434.3058</v>
      </c>
      <c r="F7" s="25"/>
      <c r="G7" s="23">
        <v>0.0</v>
      </c>
      <c r="H7" s="26">
        <f>IFERROR(__xludf.DUMMYFUNCTION("GOOGLEFINANCE(""NSE:""&amp;B7,""price"")"),362.6)</f>
        <v>362.6</v>
      </c>
      <c r="I7" s="22">
        <v>8.0</v>
      </c>
      <c r="J7" s="23">
        <f t="shared" si="1"/>
        <v>3474.4464</v>
      </c>
      <c r="K7" s="23">
        <f t="shared" si="2"/>
        <v>-573.6464</v>
      </c>
      <c r="L7" s="27">
        <f t="shared" si="3"/>
        <v>-0.1651044034</v>
      </c>
      <c r="M7" s="23">
        <f>IFERROR(__xludf.DUMMYFUNCTION("GOOGLEFINANCE(""NSE:""&amp;B7,""change"")"),3.45)</f>
        <v>3.45</v>
      </c>
      <c r="N7" s="23">
        <f t="shared" si="4"/>
        <v>27.6</v>
      </c>
      <c r="O7" s="23">
        <f t="shared" si="5"/>
        <v>0</v>
      </c>
      <c r="P7" s="27">
        <f t="shared" si="6"/>
        <v>0</v>
      </c>
    </row>
    <row r="8" ht="22.5" customHeight="1">
      <c r="A8" s="22">
        <v>7.0</v>
      </c>
      <c r="B8" s="23" t="s">
        <v>32</v>
      </c>
      <c r="C8" s="22" t="s">
        <v>3</v>
      </c>
      <c r="D8" s="25">
        <v>45813.0</v>
      </c>
      <c r="E8" s="23">
        <v>176.35</v>
      </c>
      <c r="F8" s="25"/>
      <c r="G8" s="23">
        <v>0.0</v>
      </c>
      <c r="H8" s="26">
        <f>IFERROR(__xludf.DUMMYFUNCTION("GOOGLEFINANCE(""NSE:""&amp;B8,""price"")"),139.0)</f>
        <v>139</v>
      </c>
      <c r="I8" s="22">
        <v>50.0</v>
      </c>
      <c r="J8" s="23">
        <f t="shared" si="1"/>
        <v>8817.5</v>
      </c>
      <c r="K8" s="23">
        <f t="shared" si="2"/>
        <v>-1867.5</v>
      </c>
      <c r="L8" s="27">
        <f t="shared" si="3"/>
        <v>-0.2117947264</v>
      </c>
      <c r="M8" s="23">
        <f>IFERROR(__xludf.DUMMYFUNCTION("GOOGLEFINANCE(""NSE:""&amp;B8,""change"")"),3.33)</f>
        <v>3.33</v>
      </c>
      <c r="N8" s="23">
        <f t="shared" si="4"/>
        <v>166.5</v>
      </c>
      <c r="O8" s="23">
        <f t="shared" si="5"/>
        <v>0</v>
      </c>
      <c r="P8" s="27">
        <f t="shared" si="6"/>
        <v>0</v>
      </c>
    </row>
    <row r="9" ht="22.5" customHeight="1">
      <c r="A9" s="22">
        <v>8.0</v>
      </c>
      <c r="B9" s="23" t="s">
        <v>23</v>
      </c>
      <c r="C9" s="22" t="s">
        <v>3</v>
      </c>
      <c r="D9" s="25"/>
      <c r="E9" s="23">
        <v>742.64</v>
      </c>
      <c r="F9" s="25"/>
      <c r="G9" s="23">
        <v>0.0</v>
      </c>
      <c r="H9" s="26">
        <f>IFERROR(__xludf.DUMMYFUNCTION("IFNA(GOOGLEFINANCE(""NSE:""&amp;B9,""price""),0)"),997.0)</f>
        <v>997</v>
      </c>
      <c r="I9" s="22">
        <v>8.0</v>
      </c>
      <c r="J9" s="23">
        <f t="shared" si="1"/>
        <v>5941.12</v>
      </c>
      <c r="K9" s="23">
        <f t="shared" si="2"/>
        <v>2034.88</v>
      </c>
      <c r="L9" s="27">
        <f t="shared" si="3"/>
        <v>0.34250781</v>
      </c>
      <c r="M9" s="23">
        <f>IFERROR(__xludf.DUMMYFUNCTION("IFNA(GOOGLEFINANCE(""NSE:""&amp;B9,""change""),0)"),9.3)</f>
        <v>9.3</v>
      </c>
      <c r="N9" s="23">
        <f t="shared" si="4"/>
        <v>74.4</v>
      </c>
      <c r="O9" s="23">
        <f t="shared" si="5"/>
        <v>0</v>
      </c>
      <c r="P9" s="27">
        <f t="shared" si="6"/>
        <v>0</v>
      </c>
    </row>
    <row r="10" ht="22.5" customHeight="1">
      <c r="A10" s="22">
        <v>9.0</v>
      </c>
      <c r="B10" s="23" t="s">
        <v>19</v>
      </c>
      <c r="C10" s="22" t="s">
        <v>3</v>
      </c>
      <c r="D10" s="25">
        <v>46185.0</v>
      </c>
      <c r="E10" s="23">
        <v>165.6</v>
      </c>
      <c r="F10" s="25"/>
      <c r="G10" s="23">
        <v>0.0</v>
      </c>
      <c r="H10" s="26">
        <f>IFERROR(__xludf.DUMMYFUNCTION("IFNA(GOOGLEFINANCE(""NSE:""&amp;B10,""price""),0)"),192.6)</f>
        <v>192.6</v>
      </c>
      <c r="I10" s="22">
        <v>100.0</v>
      </c>
      <c r="J10" s="23">
        <f t="shared" si="1"/>
        <v>16560</v>
      </c>
      <c r="K10" s="23">
        <f t="shared" si="2"/>
        <v>2700</v>
      </c>
      <c r="L10" s="27">
        <f t="shared" si="3"/>
        <v>0.1630434783</v>
      </c>
      <c r="M10" s="23">
        <f>IFERROR(__xludf.DUMMYFUNCTION("IFNA(GOOGLEFINANCE(""NSE:""&amp;B10,""change""),0)"),-0.99)</f>
        <v>-0.99</v>
      </c>
      <c r="N10" s="23">
        <f t="shared" si="4"/>
        <v>-99</v>
      </c>
      <c r="O10" s="23">
        <f t="shared" si="5"/>
        <v>0</v>
      </c>
      <c r="P10" s="27">
        <f t="shared" si="6"/>
        <v>0</v>
      </c>
    </row>
    <row r="11" ht="22.5" customHeight="1">
      <c r="A11" s="22">
        <v>10.0</v>
      </c>
      <c r="B11" s="23" t="s">
        <v>39</v>
      </c>
      <c r="C11" s="22" t="s">
        <v>3</v>
      </c>
      <c r="D11" s="25">
        <v>45951.0</v>
      </c>
      <c r="E11" s="23">
        <v>1468.0</v>
      </c>
      <c r="F11" s="25"/>
      <c r="G11" s="23">
        <v>0.0</v>
      </c>
      <c r="H11" s="26">
        <f>IFERROR(__xludf.DUMMYFUNCTION("IFNA(GOOGLEFINANCE(""NSE:""&amp;B11,""price""),0)"),1569.0)</f>
        <v>1569</v>
      </c>
      <c r="I11" s="22">
        <v>3.0</v>
      </c>
      <c r="J11" s="23">
        <f t="shared" si="1"/>
        <v>4404</v>
      </c>
      <c r="K11" s="23">
        <f t="shared" si="2"/>
        <v>303</v>
      </c>
      <c r="L11" s="27">
        <f t="shared" si="3"/>
        <v>0.06880108992</v>
      </c>
      <c r="M11" s="23">
        <f>IFERROR(__xludf.DUMMYFUNCTION("IFNA(GOOGLEFINANCE(""NSE:""&amp;B11,""change""),0)"),-6.4)</f>
        <v>-6.4</v>
      </c>
      <c r="N11" s="23">
        <f t="shared" si="4"/>
        <v>-19.2</v>
      </c>
      <c r="O11" s="23">
        <f t="shared" si="5"/>
        <v>0</v>
      </c>
      <c r="P11" s="27">
        <f t="shared" si="6"/>
        <v>0</v>
      </c>
    </row>
    <row r="12" ht="22.5" customHeight="1">
      <c r="A12" s="22">
        <v>11.0</v>
      </c>
      <c r="B12" s="23" t="s">
        <v>15</v>
      </c>
      <c r="C12" s="22" t="s">
        <v>3</v>
      </c>
      <c r="D12" s="25">
        <v>45951.0</v>
      </c>
      <c r="E12" s="23">
        <v>20.1</v>
      </c>
      <c r="F12" s="25"/>
      <c r="G12" s="23">
        <v>0.0</v>
      </c>
      <c r="H12" s="26">
        <f>IFERROR(__xludf.DUMMYFUNCTION("IFNA(GOOGLEFINANCE(""NSE:""&amp;B12,""price""),0)"),21.49)</f>
        <v>21.49</v>
      </c>
      <c r="I12" s="22">
        <v>21.0</v>
      </c>
      <c r="J12" s="23">
        <f t="shared" si="1"/>
        <v>422.1</v>
      </c>
      <c r="K12" s="23">
        <f t="shared" si="2"/>
        <v>29.19</v>
      </c>
      <c r="L12" s="27">
        <f t="shared" si="3"/>
        <v>0.06915422886</v>
      </c>
      <c r="M12" s="23">
        <f>IFERROR(__xludf.DUMMYFUNCTION("IFNA(GOOGLEFINANCE(""NSE:""&amp;B12,""change""),0)"),0.34)</f>
        <v>0.34</v>
      </c>
      <c r="N12" s="23">
        <f t="shared" si="4"/>
        <v>7.14</v>
      </c>
      <c r="O12" s="23">
        <f t="shared" si="5"/>
        <v>0</v>
      </c>
      <c r="P12" s="27">
        <f t="shared" si="6"/>
        <v>0</v>
      </c>
    </row>
    <row r="13" ht="22.5" customHeight="1">
      <c r="A13" s="22">
        <v>12.0</v>
      </c>
      <c r="B13" s="23" t="s">
        <v>42</v>
      </c>
      <c r="C13" s="22" t="s">
        <v>3</v>
      </c>
      <c r="D13" s="25"/>
      <c r="E13" s="23">
        <v>196.49419999999998</v>
      </c>
      <c r="F13" s="25"/>
      <c r="G13" s="23"/>
      <c r="H13" s="26">
        <f>IFERROR(__xludf.DUMMYFUNCTION("IFNA(GOOGLEFINANCE(""NSE:""&amp;B13,""price""),0)"),425.5)</f>
        <v>425.5</v>
      </c>
      <c r="I13" s="22">
        <v>8.0</v>
      </c>
      <c r="J13" s="23">
        <f t="shared" si="1"/>
        <v>1571.9536</v>
      </c>
      <c r="K13" s="23">
        <f t="shared" si="2"/>
        <v>1832.0464</v>
      </c>
      <c r="L13" s="27">
        <f t="shared" si="3"/>
        <v>1.165458319</v>
      </c>
      <c r="M13" s="23">
        <f>IFERROR(__xludf.DUMMYFUNCTION("IFNA(GOOGLEFINANCE(""NSE:""&amp;B13,""change""),0)"),13.8)</f>
        <v>13.8</v>
      </c>
      <c r="N13" s="23">
        <f t="shared" si="4"/>
        <v>110.4</v>
      </c>
      <c r="O13" s="23">
        <f t="shared" si="5"/>
        <v>0</v>
      </c>
      <c r="P13" s="27">
        <f t="shared" si="6"/>
        <v>0</v>
      </c>
    </row>
    <row r="16">
      <c r="E16" s="64">
        <v>315.4</v>
      </c>
      <c r="F16" s="8">
        <f>E16*2</f>
        <v>630.8</v>
      </c>
    </row>
    <row r="17">
      <c r="E17" s="40" t="s">
        <v>45</v>
      </c>
      <c r="F17" s="8">
        <f>F16*G17</f>
        <v>434.3058</v>
      </c>
      <c r="G17" s="62">
        <v>0.6885</v>
      </c>
    </row>
    <row r="18">
      <c r="E18" s="40" t="s">
        <v>42</v>
      </c>
      <c r="F18" s="8">
        <f>F16*G18</f>
        <v>196.4942</v>
      </c>
      <c r="G18" s="62">
        <v>0.3115</v>
      </c>
    </row>
  </sheetData>
  <conditionalFormatting sqref="K2:P13 T4:V12">
    <cfRule type="cellIs" dxfId="0" priority="1" operator="lessThan">
      <formula>0</formula>
    </cfRule>
  </conditionalFormatting>
  <conditionalFormatting sqref="K2:P13 T4:V12">
    <cfRule type="cellIs" dxfId="1" priority="2" operator="greaterThan">
      <formula>0</formula>
    </cfRule>
  </conditionalFormatting>
  <dataValidations>
    <dataValidation type="custom" allowBlank="1" showDropDown="1" sqref="D2:D13">
      <formula1>OR(NOT(ISERROR(DATEVALUE(D2))), AND(ISNUMBER(D2), LEFT(CELL("format", D2))="D"))</formula1>
    </dataValidation>
    <dataValidation type="custom" allowBlank="1" showDropDown="1" sqref="E2:E13 G2:H13 J2:P13">
      <formula1>AND(ISNUMBER(E2),(NOT(OR(NOT(ISERROR(DATEVALUE(E2))), AND(ISNUMBER(E2), LEFT(CELL("format", E2))="D")))))</formula1>
    </dataValidation>
  </dataValidations>
  <drawing r:id="rId3"/>
  <legacyDrawing r:id="rId4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0.38"/>
    <col customWidth="1" min="4" max="4" width="15.38"/>
    <col customWidth="1" min="5" max="5" width="11.5"/>
    <col customWidth="1" min="6" max="6" width="12.0"/>
    <col customWidth="1" min="7" max="7" width="11.38"/>
    <col customWidth="1" min="8" max="8" width="11.5"/>
    <col customWidth="1" min="9" max="9" width="7.88"/>
    <col customWidth="1" min="10" max="10" width="15.0"/>
    <col customWidth="1" min="11" max="11" width="19.63"/>
    <col customWidth="1" min="12" max="12" width="14.5"/>
    <col customWidth="1" min="13" max="14" width="14.38"/>
    <col customWidth="1" min="15" max="15" width="18.13"/>
    <col customWidth="1" min="16" max="16" width="14.5"/>
    <col customWidth="1" min="19" max="19" width="10.5"/>
    <col customWidth="1" min="20" max="20" width="11.38"/>
  </cols>
  <sheetData>
    <row r="1" ht="22.5" customHeight="1">
      <c r="A1" s="18" t="s">
        <v>72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63" t="s">
        <v>79</v>
      </c>
      <c r="J1" s="18" t="s">
        <v>80</v>
      </c>
      <c r="K1" s="18" t="s">
        <v>6</v>
      </c>
      <c r="L1" s="18" t="s">
        <v>82</v>
      </c>
      <c r="M1" s="18" t="s">
        <v>83</v>
      </c>
      <c r="N1" s="18" t="s">
        <v>84</v>
      </c>
      <c r="O1" s="18" t="s">
        <v>5</v>
      </c>
      <c r="P1" s="18" t="s">
        <v>85</v>
      </c>
      <c r="Q1" s="65" t="s">
        <v>131</v>
      </c>
      <c r="R1" s="65" t="s">
        <v>132</v>
      </c>
      <c r="U1" s="40" t="s">
        <v>130</v>
      </c>
    </row>
    <row r="2" ht="22.5" customHeight="1">
      <c r="A2" s="22">
        <v>1.0</v>
      </c>
      <c r="B2" s="26" t="s">
        <v>13</v>
      </c>
      <c r="C2" s="22" t="s">
        <v>97</v>
      </c>
      <c r="D2" s="25"/>
      <c r="E2" s="23">
        <v>3006.15</v>
      </c>
      <c r="F2" s="25"/>
      <c r="G2" s="23">
        <v>0.0</v>
      </c>
      <c r="H2" s="26">
        <f>IFERROR(__xludf.DUMMYFUNCTION("IFNA(GOOGLEFINANCE(""NSE:""&amp;B2,""price""),0)"),2543.2)</f>
        <v>2543.2</v>
      </c>
      <c r="I2" s="22">
        <v>3.0</v>
      </c>
      <c r="J2" s="23">
        <f t="shared" ref="J2:J50" si="1">E2*I2</f>
        <v>9018.45</v>
      </c>
      <c r="K2" s="23">
        <f t="shared" ref="K2:K50" si="2">IF(G2&gt;0,0,(H2-E2)*I2)</f>
        <v>-1388.85</v>
      </c>
      <c r="L2" s="27">
        <f t="shared" ref="L2:L50" si="3">IFERROR(IF(G2&gt;0,0,(H2-E2)/E2),0)</f>
        <v>-0.1540009647</v>
      </c>
      <c r="M2" s="23">
        <f>IFERROR(__xludf.DUMMYFUNCTION("IF(G2&gt;0,0, IFNA(GOOGLEFINANCE(""NSE:""&amp;B2,""change""),0))"),-38.4)</f>
        <v>-38.4</v>
      </c>
      <c r="N2" s="23">
        <f t="shared" ref="N2:N50" si="4">M2*I2</f>
        <v>-115.2</v>
      </c>
      <c r="O2" s="23">
        <f t="shared" ref="O2:O50" si="5">IF(G2=0,0,(G2-E2)*I2)</f>
        <v>0</v>
      </c>
      <c r="P2" s="27">
        <f t="shared" ref="P2:P50" si="6">IF(G2&gt;0,(G2-E2)/E2,0)</f>
        <v>0</v>
      </c>
      <c r="Q2" s="66"/>
    </row>
    <row r="3" ht="22.5" customHeight="1">
      <c r="A3" s="22">
        <v>2.0</v>
      </c>
      <c r="B3" s="26" t="s">
        <v>17</v>
      </c>
      <c r="C3" s="22" t="s">
        <v>97</v>
      </c>
      <c r="D3" s="25"/>
      <c r="E3" s="67">
        <v>123.5</v>
      </c>
      <c r="F3" s="25"/>
      <c r="G3" s="23">
        <v>0.0</v>
      </c>
      <c r="H3" s="26">
        <f>IFERROR(__xludf.DUMMYFUNCTION("IFNA(GOOGLEFINANCE(""NSE:""&amp;B3,""price""),0)"),178.1)</f>
        <v>178.1</v>
      </c>
      <c r="I3" s="22">
        <v>14.0</v>
      </c>
      <c r="J3" s="23">
        <f t="shared" si="1"/>
        <v>1729</v>
      </c>
      <c r="K3" s="23">
        <f t="shared" si="2"/>
        <v>764.4</v>
      </c>
      <c r="L3" s="27">
        <f t="shared" si="3"/>
        <v>0.4421052632</v>
      </c>
      <c r="M3" s="23">
        <f>IFERROR(__xludf.DUMMYFUNCTION("IF(G3&gt;0,0, IFNA(GOOGLEFINANCE(""NSE:""&amp;B3,""change""),0))"),1.05)</f>
        <v>1.05</v>
      </c>
      <c r="N3" s="23">
        <f t="shared" si="4"/>
        <v>14.7</v>
      </c>
      <c r="O3" s="23">
        <f t="shared" si="5"/>
        <v>0</v>
      </c>
      <c r="P3" s="27">
        <f t="shared" si="6"/>
        <v>0</v>
      </c>
      <c r="Q3" s="68"/>
      <c r="R3" s="68"/>
      <c r="S3" s="11"/>
      <c r="T3" s="11"/>
      <c r="U3" s="11"/>
    </row>
    <row r="4" ht="22.5" customHeight="1">
      <c r="A4" s="22">
        <v>3.0</v>
      </c>
      <c r="B4" s="69" t="s">
        <v>21</v>
      </c>
      <c r="C4" s="22" t="s">
        <v>97</v>
      </c>
      <c r="D4" s="25"/>
      <c r="E4" s="23">
        <v>1053.95</v>
      </c>
      <c r="F4" s="25"/>
      <c r="G4" s="23">
        <v>0.0</v>
      </c>
      <c r="H4" s="26">
        <f>IFERROR(__xludf.DUMMYFUNCTION("IFNA(GOOGLEFINANCE(""NSE:""&amp;B4,""price""),0)"),1224.5)</f>
        <v>1224.5</v>
      </c>
      <c r="I4" s="22">
        <v>10.0</v>
      </c>
      <c r="J4" s="23">
        <f t="shared" si="1"/>
        <v>10539.5</v>
      </c>
      <c r="K4" s="23">
        <f t="shared" si="2"/>
        <v>1705.5</v>
      </c>
      <c r="L4" s="27">
        <f t="shared" si="3"/>
        <v>0.1618198207</v>
      </c>
      <c r="M4" s="23">
        <f>IFERROR(__xludf.DUMMYFUNCTION("IF(G4&gt;0,0, IFNA(GOOGLEFINANCE(""NSE:""&amp;B4,""change""),0))"),-8.7)</f>
        <v>-8.7</v>
      </c>
      <c r="N4" s="23">
        <f t="shared" si="4"/>
        <v>-87</v>
      </c>
      <c r="O4" s="23">
        <f t="shared" si="5"/>
        <v>0</v>
      </c>
      <c r="P4" s="27">
        <f t="shared" si="6"/>
        <v>0</v>
      </c>
      <c r="Q4" s="68"/>
      <c r="R4" s="68"/>
      <c r="S4" s="11"/>
      <c r="T4" s="11"/>
      <c r="U4" s="11"/>
    </row>
    <row r="5" ht="22.5" customHeight="1">
      <c r="A5" s="22">
        <v>4.0</v>
      </c>
      <c r="B5" s="69" t="s">
        <v>25</v>
      </c>
      <c r="C5" s="22" t="s">
        <v>97</v>
      </c>
      <c r="D5" s="25">
        <v>45288.0</v>
      </c>
      <c r="E5" s="23">
        <v>524.0</v>
      </c>
      <c r="F5" s="25">
        <v>45852.0</v>
      </c>
      <c r="G5" s="23">
        <v>1549.15</v>
      </c>
      <c r="H5" s="26">
        <f>IFERROR(__xludf.DUMMYFUNCTION("IFNA(GOOGLEFINANCE(""NSE:""&amp;B5,""price""),0)"),1658.0)</f>
        <v>1658</v>
      </c>
      <c r="I5" s="22">
        <v>8.0</v>
      </c>
      <c r="J5" s="23">
        <f t="shared" si="1"/>
        <v>4192</v>
      </c>
      <c r="K5" s="23">
        <f t="shared" si="2"/>
        <v>0</v>
      </c>
      <c r="L5" s="27">
        <f t="shared" si="3"/>
        <v>0</v>
      </c>
      <c r="M5" s="23">
        <f>IFERROR(__xludf.DUMMYFUNCTION("IF(G5&gt;0,0, IFNA(GOOGLEFINANCE(""NSE:""&amp;B5,""change""),0))"),0.0)</f>
        <v>0</v>
      </c>
      <c r="N5" s="23">
        <f t="shared" si="4"/>
        <v>0</v>
      </c>
      <c r="O5" s="23">
        <f t="shared" si="5"/>
        <v>8201.2</v>
      </c>
      <c r="P5" s="27">
        <f t="shared" si="6"/>
        <v>1.95639313</v>
      </c>
      <c r="Q5" s="68"/>
      <c r="R5" s="68"/>
      <c r="S5" s="11"/>
      <c r="T5" s="11"/>
      <c r="U5" s="11"/>
    </row>
    <row r="6" ht="22.5" customHeight="1">
      <c r="A6" s="22">
        <v>5.0</v>
      </c>
      <c r="B6" s="26" t="s">
        <v>29</v>
      </c>
      <c r="C6" s="22" t="s">
        <v>97</v>
      </c>
      <c r="D6" s="25"/>
      <c r="E6" s="23">
        <v>1750.0</v>
      </c>
      <c r="F6" s="25">
        <v>45863.0</v>
      </c>
      <c r="G6" s="23">
        <v>1948.0</v>
      </c>
      <c r="H6" s="26">
        <f>IFERROR(__xludf.DUMMYFUNCTION("IFNA(GOOGLEFINANCE(""NSE:""&amp;B6,""price""),0)"),2042.0)</f>
        <v>2042</v>
      </c>
      <c r="I6" s="22">
        <v>4.0</v>
      </c>
      <c r="J6" s="23">
        <f t="shared" si="1"/>
        <v>7000</v>
      </c>
      <c r="K6" s="23">
        <f t="shared" si="2"/>
        <v>0</v>
      </c>
      <c r="L6" s="27">
        <f t="shared" si="3"/>
        <v>0</v>
      </c>
      <c r="M6" s="23">
        <f>IFERROR(__xludf.DUMMYFUNCTION("IF(G6&gt;0,0, IFNA(GOOGLEFINANCE(""NSE:""&amp;B6,""change""),0))"),0.0)</f>
        <v>0</v>
      </c>
      <c r="N6" s="23">
        <f t="shared" si="4"/>
        <v>0</v>
      </c>
      <c r="O6" s="23">
        <f t="shared" si="5"/>
        <v>792</v>
      </c>
      <c r="P6" s="27">
        <f t="shared" si="6"/>
        <v>0.1131428571</v>
      </c>
      <c r="Q6" s="70" t="s">
        <v>105</v>
      </c>
      <c r="R6" s="68"/>
      <c r="S6" s="11"/>
      <c r="T6" s="11"/>
      <c r="U6" s="11"/>
    </row>
    <row r="7" ht="22.5" customHeight="1">
      <c r="A7" s="22">
        <v>6.0</v>
      </c>
      <c r="B7" s="26" t="s">
        <v>22</v>
      </c>
      <c r="C7" s="22" t="s">
        <v>97</v>
      </c>
      <c r="D7" s="25"/>
      <c r="E7" s="23">
        <v>205.25</v>
      </c>
      <c r="F7" s="25"/>
      <c r="G7" s="23">
        <v>0.0</v>
      </c>
      <c r="H7" s="26">
        <f>IFERROR(__xludf.DUMMYFUNCTION("IFNA(GOOGLEFINANCE(""NSE:""&amp;B7,""price""),0)"),369.7)</f>
        <v>369.7</v>
      </c>
      <c r="I7" s="22">
        <v>66.0</v>
      </c>
      <c r="J7" s="23">
        <f t="shared" si="1"/>
        <v>13546.5</v>
      </c>
      <c r="K7" s="23">
        <f t="shared" si="2"/>
        <v>10853.7</v>
      </c>
      <c r="L7" s="27">
        <f t="shared" si="3"/>
        <v>0.8012180268</v>
      </c>
      <c r="M7" s="23">
        <f>IFERROR(__xludf.DUMMYFUNCTION("IF(G7&gt;0,0, IFNA(GOOGLEFINANCE(""NSE:""&amp;B7,""change""),0))"),-0.2)</f>
        <v>-0.2</v>
      </c>
      <c r="N7" s="23">
        <f t="shared" si="4"/>
        <v>-13.2</v>
      </c>
      <c r="O7" s="23">
        <f t="shared" si="5"/>
        <v>0</v>
      </c>
      <c r="P7" s="27">
        <f t="shared" si="6"/>
        <v>0</v>
      </c>
      <c r="Q7" s="68"/>
      <c r="R7" s="68"/>
      <c r="S7" s="11"/>
      <c r="T7" s="11"/>
      <c r="U7" s="11"/>
    </row>
    <row r="8" ht="22.5" customHeight="1">
      <c r="A8" s="22">
        <v>7.0</v>
      </c>
      <c r="B8" s="26" t="s">
        <v>38</v>
      </c>
      <c r="C8" s="22" t="s">
        <v>97</v>
      </c>
      <c r="D8" s="25"/>
      <c r="E8" s="23">
        <v>443.0</v>
      </c>
      <c r="F8" s="25"/>
      <c r="G8" s="23">
        <v>0.0</v>
      </c>
      <c r="H8" s="26">
        <f>IFERROR(__xludf.DUMMYFUNCTION("IFNA(GOOGLEFINANCE(""NSE:""&amp;B8,""price""),0)"),400.65)</f>
        <v>400.65</v>
      </c>
      <c r="I8" s="22">
        <v>33.0</v>
      </c>
      <c r="J8" s="23">
        <f t="shared" si="1"/>
        <v>14619</v>
      </c>
      <c r="K8" s="23">
        <f t="shared" si="2"/>
        <v>-1397.55</v>
      </c>
      <c r="L8" s="27">
        <f t="shared" si="3"/>
        <v>-0.09559819413</v>
      </c>
      <c r="M8" s="23">
        <f>IFERROR(__xludf.DUMMYFUNCTION("IF(G8&gt;0,0, IFNA(GOOGLEFINANCE(""NSE:""&amp;B8,""change""),0))"),14.4)</f>
        <v>14.4</v>
      </c>
      <c r="N8" s="23">
        <f t="shared" si="4"/>
        <v>475.2</v>
      </c>
      <c r="O8" s="23">
        <f t="shared" si="5"/>
        <v>0</v>
      </c>
      <c r="P8" s="27">
        <f t="shared" si="6"/>
        <v>0</v>
      </c>
      <c r="Q8" s="68"/>
      <c r="R8" s="68"/>
      <c r="S8" s="11"/>
      <c r="T8" s="11"/>
      <c r="U8" s="11"/>
    </row>
    <row r="9" ht="22.5" customHeight="1">
      <c r="A9" s="22">
        <v>8.0</v>
      </c>
      <c r="B9" s="26" t="s">
        <v>44</v>
      </c>
      <c r="C9" s="22" t="s">
        <v>97</v>
      </c>
      <c r="D9" s="25"/>
      <c r="E9" s="23">
        <v>1951.0</v>
      </c>
      <c r="F9" s="25">
        <v>45944.0</v>
      </c>
      <c r="G9" s="23">
        <v>2193.0</v>
      </c>
      <c r="H9" s="26">
        <f>IFERROR(__xludf.DUMMYFUNCTION("IFNA(GOOGLEFINANCE(""NSE:""&amp;B9,""price""),0)"),2059.0)</f>
        <v>2059</v>
      </c>
      <c r="I9" s="22">
        <v>5.0</v>
      </c>
      <c r="J9" s="23">
        <f t="shared" si="1"/>
        <v>9755</v>
      </c>
      <c r="K9" s="23">
        <f t="shared" si="2"/>
        <v>0</v>
      </c>
      <c r="L9" s="27">
        <f t="shared" si="3"/>
        <v>0</v>
      </c>
      <c r="M9" s="23">
        <f>IFERROR(__xludf.DUMMYFUNCTION("IF(G9&gt;0,0, IFNA(GOOGLEFINANCE(""NSE:""&amp;B9,""change""),0))"),0.0)</f>
        <v>0</v>
      </c>
      <c r="N9" s="23">
        <f t="shared" si="4"/>
        <v>0</v>
      </c>
      <c r="O9" s="23">
        <f t="shared" si="5"/>
        <v>1210</v>
      </c>
      <c r="P9" s="27">
        <f t="shared" si="6"/>
        <v>0.1240389544</v>
      </c>
      <c r="Q9" s="70" t="s">
        <v>105</v>
      </c>
      <c r="R9" s="68"/>
      <c r="S9" s="11"/>
      <c r="T9" s="11"/>
      <c r="U9" s="11"/>
    </row>
    <row r="10" ht="22.5" customHeight="1">
      <c r="A10" s="22">
        <v>9.0</v>
      </c>
      <c r="B10" s="42" t="s">
        <v>46</v>
      </c>
      <c r="C10" s="22" t="s">
        <v>97</v>
      </c>
      <c r="D10" s="25"/>
      <c r="E10" s="23">
        <v>4417.15</v>
      </c>
      <c r="F10" s="25">
        <v>45954.0</v>
      </c>
      <c r="G10" s="23">
        <v>6800.0</v>
      </c>
      <c r="H10" s="26">
        <f>IFERROR(__xludf.DUMMYFUNCTION("IFNA(GOOGLEFINANCE(""NSE:""&amp;B10,""price""),0)"),7290.0)</f>
        <v>7290</v>
      </c>
      <c r="I10" s="22">
        <v>1.0</v>
      </c>
      <c r="J10" s="23">
        <f t="shared" si="1"/>
        <v>4417.15</v>
      </c>
      <c r="K10" s="23">
        <f t="shared" si="2"/>
        <v>0</v>
      </c>
      <c r="L10" s="27">
        <f t="shared" si="3"/>
        <v>0</v>
      </c>
      <c r="M10" s="23">
        <f>IFERROR(__xludf.DUMMYFUNCTION("IF(G10&gt;0,0, IFNA(GOOGLEFINANCE(""NSE:""&amp;B10,""change""),0))"),0.0)</f>
        <v>0</v>
      </c>
      <c r="N10" s="23">
        <f t="shared" si="4"/>
        <v>0</v>
      </c>
      <c r="O10" s="23">
        <f t="shared" si="5"/>
        <v>2382.85</v>
      </c>
      <c r="P10" s="27">
        <f t="shared" si="6"/>
        <v>0.5394541729</v>
      </c>
      <c r="Q10" s="70" t="s">
        <v>105</v>
      </c>
      <c r="R10" s="68"/>
      <c r="S10" s="11"/>
      <c r="T10" s="11"/>
      <c r="U10" s="11"/>
    </row>
    <row r="11" ht="22.5" customHeight="1">
      <c r="A11" s="22">
        <v>10.0</v>
      </c>
      <c r="B11" s="71" t="s">
        <v>50</v>
      </c>
      <c r="C11" s="22" t="s">
        <v>97</v>
      </c>
      <c r="D11" s="25"/>
      <c r="E11" s="23">
        <v>110.8</v>
      </c>
      <c r="F11" s="25"/>
      <c r="G11" s="23">
        <v>0.0</v>
      </c>
      <c r="H11" s="26">
        <f>IFERROR(__xludf.DUMMYFUNCTION("IFNA(GOOGLEFINANCE(""NSE:""&amp;B11,""price""),0)"),284.25)</f>
        <v>284.25</v>
      </c>
      <c r="I11" s="22">
        <v>51.0</v>
      </c>
      <c r="J11" s="23">
        <f t="shared" si="1"/>
        <v>5650.8</v>
      </c>
      <c r="K11" s="23">
        <f t="shared" si="2"/>
        <v>8845.95</v>
      </c>
      <c r="L11" s="27">
        <f t="shared" si="3"/>
        <v>1.565433213</v>
      </c>
      <c r="M11" s="23">
        <f>IFERROR(__xludf.DUMMYFUNCTION("IF(G11&gt;0,0, IFNA(GOOGLEFINANCE(""NSE:""&amp;B11,""change""),0))"),-2.45)</f>
        <v>-2.45</v>
      </c>
      <c r="N11" s="23">
        <f t="shared" si="4"/>
        <v>-124.95</v>
      </c>
      <c r="O11" s="23">
        <f t="shared" si="5"/>
        <v>0</v>
      </c>
      <c r="P11" s="27">
        <f t="shared" si="6"/>
        <v>0</v>
      </c>
      <c r="Q11" s="68"/>
      <c r="R11" s="68"/>
      <c r="S11" s="11"/>
      <c r="T11" s="11"/>
      <c r="U11" s="11"/>
    </row>
    <row r="12" ht="22.5" customHeight="1">
      <c r="A12" s="22">
        <v>11.0</v>
      </c>
      <c r="B12" s="71" t="s">
        <v>50</v>
      </c>
      <c r="C12" s="22" t="s">
        <v>97</v>
      </c>
      <c r="D12" s="25"/>
      <c r="E12" s="23">
        <v>110.8</v>
      </c>
      <c r="F12" s="25">
        <v>45994.0</v>
      </c>
      <c r="G12" s="23">
        <v>300.0</v>
      </c>
      <c r="H12" s="26">
        <f>IFERROR(__xludf.DUMMYFUNCTION("IFNA(GOOGLEFINANCE(""NSE:""&amp;B12,""price""),0)"),284.25)</f>
        <v>284.25</v>
      </c>
      <c r="I12" s="22">
        <v>51.0</v>
      </c>
      <c r="J12" s="23">
        <f t="shared" si="1"/>
        <v>5650.8</v>
      </c>
      <c r="K12" s="23">
        <f t="shared" si="2"/>
        <v>0</v>
      </c>
      <c r="L12" s="27">
        <f t="shared" si="3"/>
        <v>0</v>
      </c>
      <c r="M12" s="23">
        <f>IFERROR(__xludf.DUMMYFUNCTION("IF(G12&gt;0,0, IFNA(GOOGLEFINANCE(""NSE:""&amp;B12,""change""),0))"),0.0)</f>
        <v>0</v>
      </c>
      <c r="N12" s="23">
        <f t="shared" si="4"/>
        <v>0</v>
      </c>
      <c r="O12" s="23">
        <f t="shared" si="5"/>
        <v>9649.2</v>
      </c>
      <c r="P12" s="27">
        <f t="shared" si="6"/>
        <v>1.707581227</v>
      </c>
      <c r="Q12" s="70" t="s">
        <v>133</v>
      </c>
      <c r="R12" s="68"/>
      <c r="S12" s="11"/>
      <c r="T12" s="11"/>
      <c r="U12" s="11"/>
    </row>
    <row r="13" ht="22.5" customHeight="1">
      <c r="A13" s="22">
        <v>12.0</v>
      </c>
      <c r="B13" s="72" t="s">
        <v>53</v>
      </c>
      <c r="C13" s="22" t="s">
        <v>97</v>
      </c>
      <c r="D13" s="73"/>
      <c r="E13" s="67">
        <v>675.0</v>
      </c>
      <c r="F13" s="73"/>
      <c r="G13" s="23">
        <v>0.0</v>
      </c>
      <c r="H13" s="26">
        <f>IFERROR(__xludf.DUMMYFUNCTION("IFNA(GOOGLEFINANCE(""NSE:""&amp;B13,""price""),0)"),863.85)</f>
        <v>863.85</v>
      </c>
      <c r="I13" s="70">
        <v>10.0</v>
      </c>
      <c r="J13" s="23">
        <f t="shared" si="1"/>
        <v>6750</v>
      </c>
      <c r="K13" s="23">
        <f t="shared" si="2"/>
        <v>1888.5</v>
      </c>
      <c r="L13" s="27">
        <f t="shared" si="3"/>
        <v>0.2797777778</v>
      </c>
      <c r="M13" s="23">
        <f>IFERROR(__xludf.DUMMYFUNCTION("IF(G13&gt;0,0, IFNA(GOOGLEFINANCE(""NSE:""&amp;B13,""change""),0))"),-0.7)</f>
        <v>-0.7</v>
      </c>
      <c r="N13" s="23">
        <f t="shared" si="4"/>
        <v>-7</v>
      </c>
      <c r="O13" s="23">
        <f t="shared" si="5"/>
        <v>0</v>
      </c>
      <c r="P13" s="27">
        <f t="shared" si="6"/>
        <v>0</v>
      </c>
      <c r="Q13" s="68"/>
      <c r="R13" s="68"/>
      <c r="S13" s="11"/>
      <c r="T13" s="11"/>
      <c r="U13" s="11"/>
    </row>
    <row r="14" ht="22.5" customHeight="1">
      <c r="A14" s="22">
        <v>13.0</v>
      </c>
      <c r="B14" s="72" t="s">
        <v>41</v>
      </c>
      <c r="C14" s="22" t="s">
        <v>97</v>
      </c>
      <c r="D14" s="73"/>
      <c r="E14" s="67">
        <v>1087.05</v>
      </c>
      <c r="F14" s="73"/>
      <c r="G14" s="23">
        <v>0.0</v>
      </c>
      <c r="H14" s="26">
        <f>IFERROR(__xludf.DUMMYFUNCTION("IFNA(GOOGLEFINANCE(""NSE:""&amp;B14,""price""),0)"),1362.4)</f>
        <v>1362.4</v>
      </c>
      <c r="I14" s="70">
        <v>20.0</v>
      </c>
      <c r="J14" s="23">
        <f t="shared" si="1"/>
        <v>21741</v>
      </c>
      <c r="K14" s="23">
        <f t="shared" si="2"/>
        <v>5507</v>
      </c>
      <c r="L14" s="27">
        <f t="shared" si="3"/>
        <v>0.2533002162</v>
      </c>
      <c r="M14" s="23">
        <f>IFERROR(__xludf.DUMMYFUNCTION("IF(G14&gt;0,0, IFNA(GOOGLEFINANCE(""NSE:""&amp;B14,""change""),0))"),-6.1)</f>
        <v>-6.1</v>
      </c>
      <c r="N14" s="23">
        <f t="shared" si="4"/>
        <v>-122</v>
      </c>
      <c r="O14" s="23">
        <f t="shared" si="5"/>
        <v>0</v>
      </c>
      <c r="P14" s="27">
        <f t="shared" si="6"/>
        <v>0</v>
      </c>
      <c r="Q14" s="68"/>
      <c r="R14" s="68"/>
      <c r="S14" s="11"/>
      <c r="T14" s="11"/>
      <c r="U14" s="11"/>
    </row>
    <row r="15" ht="22.5" customHeight="1">
      <c r="A15" s="22">
        <v>14.0</v>
      </c>
      <c r="B15" s="74" t="s">
        <v>31</v>
      </c>
      <c r="C15" s="22" t="s">
        <v>97</v>
      </c>
      <c r="D15" s="73"/>
      <c r="E15" s="67">
        <v>84.06</v>
      </c>
      <c r="F15" s="73"/>
      <c r="G15" s="23">
        <v>0.0</v>
      </c>
      <c r="H15" s="26">
        <f>IFERROR(__xludf.DUMMYFUNCTION("IFNA(GOOGLEFINANCE(""NSE:""&amp;B15,""price""),0)"),84.9)</f>
        <v>84.9</v>
      </c>
      <c r="I15" s="70">
        <v>140.0</v>
      </c>
      <c r="J15" s="23">
        <f t="shared" si="1"/>
        <v>11768.4</v>
      </c>
      <c r="K15" s="23">
        <f t="shared" si="2"/>
        <v>117.6</v>
      </c>
      <c r="L15" s="27">
        <f t="shared" si="3"/>
        <v>0.009992862241</v>
      </c>
      <c r="M15" s="23">
        <f>IFERROR(__xludf.DUMMYFUNCTION("IF(G15&gt;0,0, IFNA(GOOGLEFINANCE(""NSE:""&amp;B15,""change""),0))"),-0.45)</f>
        <v>-0.45</v>
      </c>
      <c r="N15" s="23">
        <f t="shared" si="4"/>
        <v>-63</v>
      </c>
      <c r="O15" s="23">
        <f t="shared" si="5"/>
        <v>0</v>
      </c>
      <c r="P15" s="27">
        <f t="shared" si="6"/>
        <v>0</v>
      </c>
      <c r="Q15" s="68"/>
      <c r="R15" s="68"/>
      <c r="S15" s="11"/>
      <c r="T15" s="11"/>
      <c r="U15" s="11"/>
    </row>
    <row r="16" ht="22.5" customHeight="1">
      <c r="A16" s="22">
        <v>15.0</v>
      </c>
      <c r="B16" s="72" t="s">
        <v>35</v>
      </c>
      <c r="C16" s="22" t="s">
        <v>97</v>
      </c>
      <c r="D16" s="73"/>
      <c r="E16" s="67">
        <v>1000.05</v>
      </c>
      <c r="F16" s="73"/>
      <c r="G16" s="23">
        <v>0.0</v>
      </c>
      <c r="H16" s="26">
        <f>IFERROR(__xludf.DUMMYFUNCTION("IFNA(GOOGLEFINANCE(""NSE:""&amp;B16,""price""),0)"),680.5)</f>
        <v>680.5</v>
      </c>
      <c r="I16" s="70">
        <v>10.0</v>
      </c>
      <c r="J16" s="23">
        <f t="shared" si="1"/>
        <v>10000.5</v>
      </c>
      <c r="K16" s="23">
        <f t="shared" si="2"/>
        <v>-3195.5</v>
      </c>
      <c r="L16" s="27">
        <f t="shared" si="3"/>
        <v>-0.3195340233</v>
      </c>
      <c r="M16" s="23">
        <f>IFERROR(__xludf.DUMMYFUNCTION("IF(G16&gt;0,0, IFNA(GOOGLEFINANCE(""NSE:""&amp;B16,""change""),0))"),-1.15)</f>
        <v>-1.15</v>
      </c>
      <c r="N16" s="23">
        <f t="shared" si="4"/>
        <v>-11.5</v>
      </c>
      <c r="O16" s="23">
        <f t="shared" si="5"/>
        <v>0</v>
      </c>
      <c r="P16" s="27">
        <f t="shared" si="6"/>
        <v>0</v>
      </c>
      <c r="Q16" s="68"/>
      <c r="R16" s="68"/>
      <c r="S16" s="11"/>
      <c r="T16" s="11"/>
      <c r="U16" s="11"/>
    </row>
    <row r="17" ht="22.5" customHeight="1">
      <c r="A17" s="22">
        <v>16.0</v>
      </c>
      <c r="B17" s="72" t="s">
        <v>32</v>
      </c>
      <c r="C17" s="22" t="s">
        <v>97</v>
      </c>
      <c r="D17" s="73"/>
      <c r="E17" s="67">
        <v>68.05</v>
      </c>
      <c r="F17" s="73"/>
      <c r="G17" s="23">
        <v>0.0</v>
      </c>
      <c r="H17" s="26">
        <f>IFERROR(__xludf.DUMMYFUNCTION("IFNA(GOOGLEFINANCE(""NSE:""&amp;B17,""price""),0)"),139.0)</f>
        <v>139</v>
      </c>
      <c r="I17" s="70">
        <v>200.0</v>
      </c>
      <c r="J17" s="23">
        <f t="shared" si="1"/>
        <v>13610</v>
      </c>
      <c r="K17" s="23">
        <f t="shared" si="2"/>
        <v>14190</v>
      </c>
      <c r="L17" s="27">
        <f t="shared" si="3"/>
        <v>1.042615724</v>
      </c>
      <c r="M17" s="23">
        <f>IFERROR(__xludf.DUMMYFUNCTION("IF(G17&gt;0,0, IFNA(GOOGLEFINANCE(""NSE:""&amp;B17,""change""),0))"),3.33)</f>
        <v>3.33</v>
      </c>
      <c r="N17" s="23">
        <f t="shared" si="4"/>
        <v>666</v>
      </c>
      <c r="O17" s="23">
        <f t="shared" si="5"/>
        <v>0</v>
      </c>
      <c r="P17" s="27">
        <f t="shared" si="6"/>
        <v>0</v>
      </c>
      <c r="Q17" s="68"/>
      <c r="R17" s="68"/>
      <c r="S17" s="11"/>
      <c r="T17" s="11"/>
      <c r="U17" s="11"/>
    </row>
    <row r="18" ht="22.5" customHeight="1">
      <c r="A18" s="22">
        <v>17.0</v>
      </c>
      <c r="B18" s="74" t="s">
        <v>47</v>
      </c>
      <c r="C18" s="22" t="s">
        <v>97</v>
      </c>
      <c r="D18" s="73"/>
      <c r="E18" s="67">
        <v>391.19</v>
      </c>
      <c r="F18" s="73"/>
      <c r="G18" s="23">
        <v>0.0</v>
      </c>
      <c r="H18" s="26">
        <f>IFERROR(__xludf.DUMMYFUNCTION("IFNA(GOOGLEFINANCE(""NSE:""&amp;B18,""price""),0)"),408.85)</f>
        <v>408.85</v>
      </c>
      <c r="I18" s="70">
        <v>20.0</v>
      </c>
      <c r="J18" s="23">
        <f t="shared" si="1"/>
        <v>7823.8</v>
      </c>
      <c r="K18" s="23">
        <f t="shared" si="2"/>
        <v>353.2</v>
      </c>
      <c r="L18" s="27">
        <f t="shared" si="3"/>
        <v>0.04514430328</v>
      </c>
      <c r="M18" s="23">
        <f>IFERROR(__xludf.DUMMYFUNCTION("IF(G18&gt;0,0, IFNA(GOOGLEFINANCE(""NSE:""&amp;B18,""change""),0))"),6.15)</f>
        <v>6.15</v>
      </c>
      <c r="N18" s="23">
        <f t="shared" si="4"/>
        <v>123</v>
      </c>
      <c r="O18" s="23">
        <f t="shared" si="5"/>
        <v>0</v>
      </c>
      <c r="P18" s="27">
        <f t="shared" si="6"/>
        <v>0</v>
      </c>
      <c r="Q18" s="68"/>
      <c r="R18" s="68"/>
      <c r="S18" s="11"/>
      <c r="T18" s="11"/>
      <c r="U18" s="11"/>
    </row>
    <row r="19" ht="22.5" customHeight="1">
      <c r="A19" s="22">
        <v>18.0</v>
      </c>
      <c r="B19" s="42" t="s">
        <v>58</v>
      </c>
      <c r="C19" s="22" t="s">
        <v>97</v>
      </c>
      <c r="D19" s="73"/>
      <c r="E19" s="67">
        <v>611.06</v>
      </c>
      <c r="F19" s="73"/>
      <c r="G19" s="23">
        <v>0.0</v>
      </c>
      <c r="H19" s="26">
        <f>IFERROR(__xludf.DUMMYFUNCTION("IFNA(GOOGLEFINANCE(""NSE:""&amp;B19,""price""),0)"),194.6)</f>
        <v>194.6</v>
      </c>
      <c r="I19" s="70">
        <v>2.0</v>
      </c>
      <c r="J19" s="23">
        <f t="shared" si="1"/>
        <v>1222.12</v>
      </c>
      <c r="K19" s="23">
        <f t="shared" si="2"/>
        <v>-832.92</v>
      </c>
      <c r="L19" s="27">
        <f t="shared" si="3"/>
        <v>-0.6815370013</v>
      </c>
      <c r="M19" s="23">
        <f>IFERROR(__xludf.DUMMYFUNCTION("IF(G19&gt;0,0, IFNA(GOOGLEFINANCE(""NSE:""&amp;B19,""change""),0))"),-1.64)</f>
        <v>-1.64</v>
      </c>
      <c r="N19" s="23">
        <f t="shared" si="4"/>
        <v>-3.28</v>
      </c>
      <c r="O19" s="23">
        <f t="shared" si="5"/>
        <v>0</v>
      </c>
      <c r="P19" s="27">
        <f t="shared" si="6"/>
        <v>0</v>
      </c>
      <c r="Q19" s="68"/>
      <c r="R19" s="68"/>
      <c r="S19" s="11"/>
      <c r="T19" s="11"/>
      <c r="U19" s="11"/>
    </row>
    <row r="20" ht="22.5" customHeight="1">
      <c r="A20" s="22">
        <v>19.0</v>
      </c>
      <c r="B20" s="72" t="s">
        <v>36</v>
      </c>
      <c r="C20" s="22" t="s">
        <v>97</v>
      </c>
      <c r="D20" s="73"/>
      <c r="E20" s="67">
        <v>192.52</v>
      </c>
      <c r="F20" s="73">
        <v>46000.0</v>
      </c>
      <c r="G20" s="23">
        <v>291.0</v>
      </c>
      <c r="H20" s="26">
        <f>IFERROR(__xludf.DUMMYFUNCTION("IFNA(GOOGLEFINANCE(""NSE:""&amp;B20,""price""),0)"),298.5)</f>
        <v>298.5</v>
      </c>
      <c r="I20" s="70">
        <v>25.0</v>
      </c>
      <c r="J20" s="23">
        <f t="shared" si="1"/>
        <v>4813</v>
      </c>
      <c r="K20" s="23">
        <f t="shared" si="2"/>
        <v>0</v>
      </c>
      <c r="L20" s="27">
        <f t="shared" si="3"/>
        <v>0</v>
      </c>
      <c r="M20" s="23">
        <f>IFERROR(__xludf.DUMMYFUNCTION("IF(G20&gt;0,0, IFNA(GOOGLEFINANCE(""NSE:""&amp;B20,""change""),0))"),0.0)</f>
        <v>0</v>
      </c>
      <c r="N20" s="23">
        <f t="shared" si="4"/>
        <v>0</v>
      </c>
      <c r="O20" s="23">
        <f t="shared" si="5"/>
        <v>2462</v>
      </c>
      <c r="P20" s="27">
        <f t="shared" si="6"/>
        <v>0.5115312695</v>
      </c>
      <c r="Q20" s="68"/>
      <c r="R20" s="68"/>
      <c r="S20" s="11"/>
      <c r="T20" s="11"/>
      <c r="U20" s="11"/>
    </row>
    <row r="21" ht="22.5" customHeight="1">
      <c r="A21" s="22">
        <v>20.0</v>
      </c>
      <c r="B21" s="72" t="s">
        <v>59</v>
      </c>
      <c r="C21" s="22" t="s">
        <v>97</v>
      </c>
      <c r="D21" s="73"/>
      <c r="E21" s="67">
        <v>3474.74</v>
      </c>
      <c r="F21" s="73"/>
      <c r="G21" s="23">
        <v>0.0</v>
      </c>
      <c r="H21" s="26">
        <f>IFERROR(__xludf.DUMMYFUNCTION("IFNA(GOOGLEFINANCE(""NSE:""&amp;B21,""price""),0)"),4070.0)</f>
        <v>4070</v>
      </c>
      <c r="I21" s="70">
        <v>5.0</v>
      </c>
      <c r="J21" s="23">
        <f t="shared" si="1"/>
        <v>17373.7</v>
      </c>
      <c r="K21" s="23">
        <f t="shared" si="2"/>
        <v>2976.3</v>
      </c>
      <c r="L21" s="27">
        <f t="shared" si="3"/>
        <v>0.1713106592</v>
      </c>
      <c r="M21" s="23">
        <f>IFERROR(__xludf.DUMMYFUNCTION("IF(G21&gt;0,0, IFNA(GOOGLEFINANCE(""NSE:""&amp;B21,""change""),0))"),-2.4)</f>
        <v>-2.4</v>
      </c>
      <c r="N21" s="23">
        <f t="shared" si="4"/>
        <v>-12</v>
      </c>
      <c r="O21" s="23">
        <f t="shared" si="5"/>
        <v>0</v>
      </c>
      <c r="P21" s="27">
        <f t="shared" si="6"/>
        <v>0</v>
      </c>
      <c r="Q21" s="68"/>
      <c r="R21" s="68"/>
      <c r="S21" s="11"/>
      <c r="T21" s="11"/>
      <c r="U21" s="11"/>
    </row>
    <row r="22" ht="22.5" customHeight="1">
      <c r="A22" s="22">
        <v>21.0</v>
      </c>
      <c r="B22" s="72" t="s">
        <v>63</v>
      </c>
      <c r="C22" s="22" t="s">
        <v>97</v>
      </c>
      <c r="D22" s="73"/>
      <c r="E22" s="67">
        <v>263.0</v>
      </c>
      <c r="F22" s="73"/>
      <c r="G22" s="23">
        <v>0.0</v>
      </c>
      <c r="H22" s="26">
        <f>IFERROR(__xludf.DUMMYFUNCTION("IFNA(GOOGLEFINANCE(""NSE:""&amp;B22,""price""),0)"),253.65)</f>
        <v>253.65</v>
      </c>
      <c r="I22" s="70">
        <v>57.0</v>
      </c>
      <c r="J22" s="23">
        <f t="shared" si="1"/>
        <v>14991</v>
      </c>
      <c r="K22" s="23">
        <f t="shared" si="2"/>
        <v>-532.95</v>
      </c>
      <c r="L22" s="27">
        <f t="shared" si="3"/>
        <v>-0.0355513308</v>
      </c>
      <c r="M22" s="23">
        <f>IFERROR(__xludf.DUMMYFUNCTION("IF(G22&gt;0,0, IFNA(GOOGLEFINANCE(""NSE:""&amp;B22,""change""),0))"),1.35)</f>
        <v>1.35</v>
      </c>
      <c r="N22" s="23">
        <f t="shared" si="4"/>
        <v>76.95</v>
      </c>
      <c r="O22" s="23">
        <f t="shared" si="5"/>
        <v>0</v>
      </c>
      <c r="P22" s="27">
        <f t="shared" si="6"/>
        <v>0</v>
      </c>
      <c r="Q22" s="68"/>
      <c r="R22" s="68"/>
      <c r="S22" s="11"/>
      <c r="T22" s="11"/>
      <c r="U22" s="11"/>
    </row>
    <row r="23" ht="22.5" customHeight="1">
      <c r="A23" s="22">
        <v>22.0</v>
      </c>
      <c r="B23" s="72" t="s">
        <v>64</v>
      </c>
      <c r="C23" s="22" t="s">
        <v>97</v>
      </c>
      <c r="D23" s="73"/>
      <c r="E23" s="67">
        <v>4322.0</v>
      </c>
      <c r="F23" s="73"/>
      <c r="G23" s="23">
        <v>0.0</v>
      </c>
      <c r="H23" s="26">
        <f>IFERROR(__xludf.DUMMYFUNCTION("IFNA(GOOGLEFINANCE(""NSE:""&amp;B23,""price""),0)"),7638.0)</f>
        <v>7638</v>
      </c>
      <c r="I23" s="70">
        <v>1.0</v>
      </c>
      <c r="J23" s="23">
        <f t="shared" si="1"/>
        <v>4322</v>
      </c>
      <c r="K23" s="23">
        <f t="shared" si="2"/>
        <v>3316</v>
      </c>
      <c r="L23" s="27">
        <f t="shared" si="3"/>
        <v>0.7672373901</v>
      </c>
      <c r="M23" s="23">
        <f>IFERROR(__xludf.DUMMYFUNCTION("IF(G23&gt;0,0, IFNA(GOOGLEFINANCE(""NSE:""&amp;B23,""change""),0))"),35.0)</f>
        <v>35</v>
      </c>
      <c r="N23" s="23">
        <f t="shared" si="4"/>
        <v>35</v>
      </c>
      <c r="O23" s="23">
        <f t="shared" si="5"/>
        <v>0</v>
      </c>
      <c r="P23" s="27">
        <f t="shared" si="6"/>
        <v>0</v>
      </c>
      <c r="Q23" s="68"/>
      <c r="R23" s="68"/>
      <c r="S23" s="11"/>
      <c r="T23" s="11"/>
      <c r="U23" s="11"/>
    </row>
    <row r="24" ht="22.5" customHeight="1">
      <c r="A24" s="22">
        <v>23.0</v>
      </c>
      <c r="B24" s="72" t="s">
        <v>39</v>
      </c>
      <c r="C24" s="22" t="s">
        <v>97</v>
      </c>
      <c r="D24" s="73"/>
      <c r="E24" s="67">
        <v>1237.13</v>
      </c>
      <c r="F24" s="73"/>
      <c r="G24" s="23">
        <v>0.0</v>
      </c>
      <c r="H24" s="26">
        <f>IFERROR(__xludf.DUMMYFUNCTION("IFNA(GOOGLEFINANCE(""NSE:""&amp;B24,""price""),0)"),1569.0)</f>
        <v>1569</v>
      </c>
      <c r="I24" s="70">
        <v>17.0</v>
      </c>
      <c r="J24" s="23">
        <f t="shared" si="1"/>
        <v>21031.21</v>
      </c>
      <c r="K24" s="23">
        <f t="shared" si="2"/>
        <v>5641.79</v>
      </c>
      <c r="L24" s="27">
        <f t="shared" si="3"/>
        <v>0.2682579842</v>
      </c>
      <c r="M24" s="23">
        <f>IFERROR(__xludf.DUMMYFUNCTION("IF(G24&gt;0,0, IFNA(GOOGLEFINANCE(""NSE:""&amp;B24,""change""),0))"),-6.4)</f>
        <v>-6.4</v>
      </c>
      <c r="N24" s="23">
        <f t="shared" si="4"/>
        <v>-108.8</v>
      </c>
      <c r="O24" s="23">
        <f t="shared" si="5"/>
        <v>0</v>
      </c>
      <c r="P24" s="27">
        <f t="shared" si="6"/>
        <v>0</v>
      </c>
      <c r="Q24" s="68"/>
      <c r="R24" s="68"/>
      <c r="S24" s="11"/>
      <c r="T24" s="11"/>
      <c r="U24" s="11"/>
    </row>
    <row r="25" ht="22.5" customHeight="1">
      <c r="A25" s="22">
        <v>24.0</v>
      </c>
      <c r="B25" s="72" t="s">
        <v>65</v>
      </c>
      <c r="C25" s="22" t="s">
        <v>97</v>
      </c>
      <c r="D25" s="73"/>
      <c r="E25" s="67">
        <v>131.2</v>
      </c>
      <c r="F25" s="73"/>
      <c r="G25" s="23">
        <v>0.0</v>
      </c>
      <c r="H25" s="26">
        <f>IFERROR(__xludf.DUMMYFUNCTION("IFNA(GOOGLEFINANCE(""NSE:""&amp;B25,""price""),0)"),133.0)</f>
        <v>133</v>
      </c>
      <c r="I25" s="70">
        <v>20.0</v>
      </c>
      <c r="J25" s="23">
        <f t="shared" si="1"/>
        <v>2624</v>
      </c>
      <c r="K25" s="23">
        <f t="shared" si="2"/>
        <v>36</v>
      </c>
      <c r="L25" s="27">
        <f t="shared" si="3"/>
        <v>0.0137195122</v>
      </c>
      <c r="M25" s="23">
        <f>IFERROR(__xludf.DUMMYFUNCTION("IF(G25&gt;0,0, IFNA(GOOGLEFINANCE(""NSE:""&amp;B25,""change""),0))"),2.94)</f>
        <v>2.94</v>
      </c>
      <c r="N25" s="23">
        <f t="shared" si="4"/>
        <v>58.8</v>
      </c>
      <c r="O25" s="23">
        <f t="shared" si="5"/>
        <v>0</v>
      </c>
      <c r="P25" s="27">
        <f t="shared" si="6"/>
        <v>0</v>
      </c>
      <c r="Q25" s="68"/>
      <c r="R25" s="68"/>
      <c r="S25" s="11"/>
      <c r="T25" s="11"/>
      <c r="U25" s="11"/>
    </row>
    <row r="26" ht="22.5" customHeight="1">
      <c r="A26" s="22">
        <v>25.0</v>
      </c>
      <c r="B26" s="72" t="s">
        <v>66</v>
      </c>
      <c r="C26" s="22" t="s">
        <v>97</v>
      </c>
      <c r="D26" s="73"/>
      <c r="E26" s="67">
        <v>817.54</v>
      </c>
      <c r="F26" s="73"/>
      <c r="G26" s="23">
        <v>0.0</v>
      </c>
      <c r="H26" s="26">
        <f>IFERROR(__xludf.DUMMYFUNCTION("IFNA(GOOGLEFINANCE(""NSE:""&amp;B26,""price""),0)"),971.25)</f>
        <v>971.25</v>
      </c>
      <c r="I26" s="70">
        <v>10.0</v>
      </c>
      <c r="J26" s="23">
        <f t="shared" si="1"/>
        <v>8175.4</v>
      </c>
      <c r="K26" s="23">
        <f t="shared" si="2"/>
        <v>1537.1</v>
      </c>
      <c r="L26" s="27">
        <f t="shared" si="3"/>
        <v>0.1880152653</v>
      </c>
      <c r="M26" s="23">
        <f>IFERROR(__xludf.DUMMYFUNCTION("IF(G26&gt;0,0, IFNA(GOOGLEFINANCE(""NSE:""&amp;B26,""change""),0))"),-3.05)</f>
        <v>-3.05</v>
      </c>
      <c r="N26" s="23">
        <f t="shared" si="4"/>
        <v>-30.5</v>
      </c>
      <c r="O26" s="23">
        <f t="shared" si="5"/>
        <v>0</v>
      </c>
      <c r="P26" s="27">
        <f t="shared" si="6"/>
        <v>0</v>
      </c>
      <c r="Q26" s="68"/>
      <c r="R26" s="68"/>
      <c r="S26" s="11"/>
      <c r="T26" s="11"/>
      <c r="U26" s="11"/>
    </row>
    <row r="27" ht="22.5" customHeight="1">
      <c r="A27" s="22">
        <v>26.0</v>
      </c>
      <c r="B27" s="72" t="s">
        <v>56</v>
      </c>
      <c r="C27" s="22" t="s">
        <v>97</v>
      </c>
      <c r="D27" s="73"/>
      <c r="E27" s="67">
        <v>1075.0</v>
      </c>
      <c r="F27" s="73"/>
      <c r="G27" s="23">
        <v>0.0</v>
      </c>
      <c r="H27" s="26">
        <f>IFERROR(__xludf.DUMMYFUNCTION("IFNA(GOOGLEFINANCE(""NSE:""&amp;B27,""price""),0)"),776.9)</f>
        <v>776.9</v>
      </c>
      <c r="I27" s="70">
        <v>4.0</v>
      </c>
      <c r="J27" s="23">
        <f t="shared" si="1"/>
        <v>4300</v>
      </c>
      <c r="K27" s="23">
        <f t="shared" si="2"/>
        <v>-1192.4</v>
      </c>
      <c r="L27" s="27">
        <f t="shared" si="3"/>
        <v>-0.2773023256</v>
      </c>
      <c r="M27" s="23">
        <f>IFERROR(__xludf.DUMMYFUNCTION("IF(G27&gt;0,0, IFNA(GOOGLEFINANCE(""NSE:""&amp;B27,""change""),0))"),8.4)</f>
        <v>8.4</v>
      </c>
      <c r="N27" s="23">
        <f t="shared" si="4"/>
        <v>33.6</v>
      </c>
      <c r="O27" s="23">
        <f t="shared" si="5"/>
        <v>0</v>
      </c>
      <c r="P27" s="27">
        <f t="shared" si="6"/>
        <v>0</v>
      </c>
      <c r="Q27" s="68"/>
      <c r="R27" s="68"/>
      <c r="S27" s="11"/>
      <c r="T27" s="11"/>
      <c r="U27" s="11"/>
    </row>
    <row r="28" ht="22.5" customHeight="1">
      <c r="A28" s="22">
        <v>27.0</v>
      </c>
      <c r="B28" s="70" t="s">
        <v>45</v>
      </c>
      <c r="C28" s="22" t="s">
        <v>97</v>
      </c>
      <c r="D28" s="73"/>
      <c r="E28" s="72">
        <v>445.810635</v>
      </c>
      <c r="F28" s="73"/>
      <c r="G28" s="67">
        <v>0.0</v>
      </c>
      <c r="H28" s="26">
        <f>IFERROR(__xludf.DUMMYFUNCTION("IFNA(GOOGLEFINANCE(""NSE:""&amp;B28,""price""),0)"),362.6)</f>
        <v>362.6</v>
      </c>
      <c r="I28" s="70">
        <v>25.0</v>
      </c>
      <c r="J28" s="23">
        <f t="shared" si="1"/>
        <v>11145.26588</v>
      </c>
      <c r="K28" s="23">
        <f t="shared" si="2"/>
        <v>-2080.265875</v>
      </c>
      <c r="L28" s="27">
        <f t="shared" si="3"/>
        <v>-0.1866501794</v>
      </c>
      <c r="M28" s="23">
        <f>IFERROR(__xludf.DUMMYFUNCTION("IF(G28&gt;0,0, IFNA(GOOGLEFINANCE(""NSE:""&amp;B28,""change""),0))"),3.45)</f>
        <v>3.45</v>
      </c>
      <c r="N28" s="23">
        <f t="shared" si="4"/>
        <v>86.25</v>
      </c>
      <c r="O28" s="23">
        <f t="shared" si="5"/>
        <v>0</v>
      </c>
      <c r="P28" s="27">
        <f t="shared" si="6"/>
        <v>0</v>
      </c>
      <c r="Q28" s="68"/>
      <c r="R28" s="68"/>
      <c r="S28" s="11"/>
      <c r="T28" s="11"/>
      <c r="U28" s="11"/>
    </row>
    <row r="29" ht="22.5" customHeight="1">
      <c r="A29" s="22">
        <v>28.0</v>
      </c>
      <c r="B29" s="70" t="s">
        <v>42</v>
      </c>
      <c r="C29" s="22" t="s">
        <v>97</v>
      </c>
      <c r="D29" s="73"/>
      <c r="E29" s="72">
        <v>201.699365</v>
      </c>
      <c r="F29" s="73"/>
      <c r="G29" s="67">
        <v>0.0</v>
      </c>
      <c r="H29" s="26">
        <f>IFERROR(__xludf.DUMMYFUNCTION("IFNA(GOOGLEFINANCE(""NSE:""&amp;B29,""price""),0)"),425.5)</f>
        <v>425.5</v>
      </c>
      <c r="I29" s="70">
        <v>25.0</v>
      </c>
      <c r="J29" s="23">
        <f t="shared" si="1"/>
        <v>5042.484125</v>
      </c>
      <c r="K29" s="23">
        <f t="shared" si="2"/>
        <v>5595.015875</v>
      </c>
      <c r="L29" s="27">
        <f t="shared" si="3"/>
        <v>1.109575308</v>
      </c>
      <c r="M29" s="23">
        <f>IFERROR(__xludf.DUMMYFUNCTION("IF(G29&gt;0,0, IFNA(GOOGLEFINANCE(""NSE:""&amp;B29,""change""),0))"),13.8)</f>
        <v>13.8</v>
      </c>
      <c r="N29" s="23">
        <f t="shared" si="4"/>
        <v>345</v>
      </c>
      <c r="O29" s="23">
        <f t="shared" si="5"/>
        <v>0</v>
      </c>
      <c r="P29" s="27">
        <f t="shared" si="6"/>
        <v>0</v>
      </c>
      <c r="Q29" s="68"/>
      <c r="R29" s="68"/>
      <c r="S29" s="11"/>
      <c r="T29" s="11"/>
      <c r="U29" s="11"/>
    </row>
    <row r="30" ht="22.5" customHeight="1">
      <c r="A30" s="22">
        <v>29.0</v>
      </c>
      <c r="B30" s="74" t="s">
        <v>68</v>
      </c>
      <c r="C30" s="22" t="s">
        <v>97</v>
      </c>
      <c r="D30" s="73"/>
      <c r="E30" s="67">
        <v>222.67</v>
      </c>
      <c r="F30" s="73">
        <v>45999.0</v>
      </c>
      <c r="G30" s="67">
        <v>380.0</v>
      </c>
      <c r="H30" s="26">
        <f>IFERROR(__xludf.DUMMYFUNCTION("IFNA(GOOGLEFINANCE(""NSE:""&amp;B30,""price""),0)"),382.4)</f>
        <v>382.4</v>
      </c>
      <c r="I30" s="70">
        <v>27.0</v>
      </c>
      <c r="J30" s="23">
        <f t="shared" si="1"/>
        <v>6012.09</v>
      </c>
      <c r="K30" s="23">
        <f t="shared" si="2"/>
        <v>0</v>
      </c>
      <c r="L30" s="27">
        <f t="shared" si="3"/>
        <v>0</v>
      </c>
      <c r="M30" s="23">
        <f>IFERROR(__xludf.DUMMYFUNCTION("IF(G30&gt;0,0, IFNA(GOOGLEFINANCE(""NSE:""&amp;B30,""change""),0))"),0.0)</f>
        <v>0</v>
      </c>
      <c r="N30" s="23">
        <f t="shared" si="4"/>
        <v>0</v>
      </c>
      <c r="O30" s="23">
        <f t="shared" si="5"/>
        <v>4247.91</v>
      </c>
      <c r="P30" s="27">
        <f t="shared" si="6"/>
        <v>0.706561279</v>
      </c>
      <c r="Q30" s="68"/>
      <c r="R30" s="68"/>
      <c r="S30" s="11"/>
      <c r="T30" s="11"/>
      <c r="U30" s="11"/>
    </row>
    <row r="31" ht="22.5" customHeight="1">
      <c r="A31" s="22">
        <v>30.0</v>
      </c>
      <c r="B31" s="72" t="s">
        <v>69</v>
      </c>
      <c r="C31" s="22" t="s">
        <v>97</v>
      </c>
      <c r="D31" s="73"/>
      <c r="E31" s="67">
        <v>142.65</v>
      </c>
      <c r="F31" s="73"/>
      <c r="G31" s="67">
        <v>0.0</v>
      </c>
      <c r="H31" s="26">
        <f>IFERROR(__xludf.DUMMYFUNCTION("IFNA(GOOGLEFINANCE(""NSE:""&amp;B31,""price""),0)"),170.82)</f>
        <v>170.82</v>
      </c>
      <c r="I31" s="70">
        <v>106.0</v>
      </c>
      <c r="J31" s="23">
        <f t="shared" si="1"/>
        <v>15120.9</v>
      </c>
      <c r="K31" s="23">
        <f t="shared" si="2"/>
        <v>2986.02</v>
      </c>
      <c r="L31" s="27">
        <f t="shared" si="3"/>
        <v>0.1974763407</v>
      </c>
      <c r="M31" s="23">
        <f>IFERROR(__xludf.DUMMYFUNCTION("IF(G31&gt;0,0, IFNA(GOOGLEFINANCE(""NSE:""&amp;B31,""change""),0))"),1.6)</f>
        <v>1.6</v>
      </c>
      <c r="N31" s="23">
        <f t="shared" si="4"/>
        <v>169.6</v>
      </c>
      <c r="O31" s="23">
        <f t="shared" si="5"/>
        <v>0</v>
      </c>
      <c r="P31" s="27">
        <f t="shared" si="6"/>
        <v>0</v>
      </c>
      <c r="Q31" s="68"/>
      <c r="R31" s="68"/>
      <c r="S31" s="11"/>
      <c r="T31" s="11"/>
      <c r="U31" s="11"/>
    </row>
    <row r="32" ht="22.5" customHeight="1">
      <c r="A32" s="22">
        <v>31.0</v>
      </c>
      <c r="B32" s="72" t="s">
        <v>70</v>
      </c>
      <c r="C32" s="22" t="s">
        <v>97</v>
      </c>
      <c r="D32" s="73"/>
      <c r="E32" s="67">
        <v>500.0</v>
      </c>
      <c r="F32" s="73"/>
      <c r="G32" s="67">
        <v>0.0</v>
      </c>
      <c r="H32" s="26">
        <f>IFERROR(__xludf.DUMMYFUNCTION("IFNA(GOOGLEFINANCE(""NSE:""&amp;B32,""price""),0)"),661.1)</f>
        <v>661.1</v>
      </c>
      <c r="I32" s="70">
        <v>20.0</v>
      </c>
      <c r="J32" s="23">
        <f t="shared" si="1"/>
        <v>10000</v>
      </c>
      <c r="K32" s="23">
        <f t="shared" si="2"/>
        <v>3222</v>
      </c>
      <c r="L32" s="27">
        <f t="shared" si="3"/>
        <v>0.3222</v>
      </c>
      <c r="M32" s="23">
        <f>IFERROR(__xludf.DUMMYFUNCTION("IF(G32&gt;0,0, IFNA(GOOGLEFINANCE(""NSE:""&amp;B32,""change""),0))"),-2.3)</f>
        <v>-2.3</v>
      </c>
      <c r="N32" s="23">
        <f t="shared" si="4"/>
        <v>-46</v>
      </c>
      <c r="O32" s="23">
        <f t="shared" si="5"/>
        <v>0</v>
      </c>
      <c r="P32" s="27">
        <f t="shared" si="6"/>
        <v>0</v>
      </c>
      <c r="Q32" s="68"/>
      <c r="R32" s="68"/>
      <c r="S32" s="11"/>
      <c r="T32" s="11"/>
      <c r="U32" s="11"/>
    </row>
    <row r="33" ht="22.5" customHeight="1">
      <c r="A33" s="22">
        <v>32.0</v>
      </c>
      <c r="B33" s="72" t="s">
        <v>27</v>
      </c>
      <c r="C33" s="22" t="s">
        <v>97</v>
      </c>
      <c r="D33" s="73"/>
      <c r="E33" s="67">
        <v>93.66</v>
      </c>
      <c r="F33" s="73"/>
      <c r="G33" s="67">
        <v>0.0</v>
      </c>
      <c r="H33" s="26">
        <f>IFERROR(__xludf.DUMMYFUNCTION("IFNA(GOOGLEFINANCE(""NSE:""&amp;B33,""price""),0)"),116.72)</f>
        <v>116.72</v>
      </c>
      <c r="I33" s="70">
        <v>443.0</v>
      </c>
      <c r="J33" s="23">
        <f t="shared" si="1"/>
        <v>41491.38</v>
      </c>
      <c r="K33" s="23">
        <f t="shared" si="2"/>
        <v>10215.58</v>
      </c>
      <c r="L33" s="27">
        <f t="shared" si="3"/>
        <v>0.2462096946</v>
      </c>
      <c r="M33" s="23">
        <f>IFERROR(__xludf.DUMMYFUNCTION("IF(G33&gt;0,0, IFNA(GOOGLEFINANCE(""NSE:""&amp;B33,""change""),0))"),0.58)</f>
        <v>0.58</v>
      </c>
      <c r="N33" s="23">
        <f t="shared" si="4"/>
        <v>256.94</v>
      </c>
      <c r="O33" s="23">
        <f t="shared" si="5"/>
        <v>0</v>
      </c>
      <c r="P33" s="27">
        <f t="shared" si="6"/>
        <v>0</v>
      </c>
      <c r="Q33" s="68"/>
      <c r="R33" s="68"/>
      <c r="S33" s="11"/>
      <c r="T33" s="11"/>
      <c r="U33" s="11"/>
    </row>
    <row r="34" ht="22.5" customHeight="1">
      <c r="A34" s="22">
        <v>33.0</v>
      </c>
      <c r="B34" s="72" t="s">
        <v>52</v>
      </c>
      <c r="C34" s="22" t="s">
        <v>97</v>
      </c>
      <c r="D34" s="73"/>
      <c r="E34" s="67">
        <v>95.89</v>
      </c>
      <c r="F34" s="73"/>
      <c r="G34" s="67">
        <v>0.0</v>
      </c>
      <c r="H34" s="26">
        <f>IFERROR(__xludf.DUMMYFUNCTION("IFNA(GOOGLEFINANCE(""NSE:""&amp;B34,""price""),0)"),168.98)</f>
        <v>168.98</v>
      </c>
      <c r="I34" s="70">
        <v>190.0</v>
      </c>
      <c r="J34" s="23">
        <f t="shared" si="1"/>
        <v>18219.1</v>
      </c>
      <c r="K34" s="23">
        <f t="shared" si="2"/>
        <v>13887.1</v>
      </c>
      <c r="L34" s="27">
        <f t="shared" si="3"/>
        <v>0.7622275524</v>
      </c>
      <c r="M34" s="23">
        <f>IFERROR(__xludf.DUMMYFUNCTION("IF(G34&gt;0,0, IFNA(GOOGLEFINANCE(""NSE:""&amp;B34,""change""),0))"),2.12)</f>
        <v>2.12</v>
      </c>
      <c r="N34" s="23">
        <f t="shared" si="4"/>
        <v>402.8</v>
      </c>
      <c r="O34" s="23">
        <f t="shared" si="5"/>
        <v>0</v>
      </c>
      <c r="P34" s="27">
        <f t="shared" si="6"/>
        <v>0</v>
      </c>
      <c r="Q34" s="68"/>
      <c r="R34" s="68"/>
      <c r="S34" s="11"/>
      <c r="T34" s="11"/>
      <c r="U34" s="11"/>
    </row>
    <row r="35" ht="22.5" customHeight="1">
      <c r="A35" s="22">
        <v>34.0</v>
      </c>
      <c r="B35" s="72" t="s">
        <v>11</v>
      </c>
      <c r="C35" s="22" t="s">
        <v>97</v>
      </c>
      <c r="D35" s="73"/>
      <c r="E35" s="67">
        <v>28.38</v>
      </c>
      <c r="F35" s="73"/>
      <c r="G35" s="67">
        <v>0.0</v>
      </c>
      <c r="H35" s="26">
        <f>IFERROR(__xludf.DUMMYFUNCTION("IFNA(GOOGLEFINANCE(""NSE:""&amp;B35,""price""),0)"),25.31)</f>
        <v>25.31</v>
      </c>
      <c r="I35" s="70">
        <v>751.0</v>
      </c>
      <c r="J35" s="23">
        <f t="shared" si="1"/>
        <v>21313.38</v>
      </c>
      <c r="K35" s="23">
        <f t="shared" si="2"/>
        <v>-2305.57</v>
      </c>
      <c r="L35" s="27">
        <f t="shared" si="3"/>
        <v>-0.108174771</v>
      </c>
      <c r="M35" s="23">
        <f>IFERROR(__xludf.DUMMYFUNCTION("IF(G35&gt;0,0, IFNA(GOOGLEFINANCE(""NSE:""&amp;B35,""change""),0))"),-0.05)</f>
        <v>-0.05</v>
      </c>
      <c r="N35" s="23">
        <f t="shared" si="4"/>
        <v>-37.55</v>
      </c>
      <c r="O35" s="23">
        <f t="shared" si="5"/>
        <v>0</v>
      </c>
      <c r="P35" s="27">
        <f t="shared" si="6"/>
        <v>0</v>
      </c>
      <c r="Q35" s="68"/>
      <c r="R35" s="68"/>
      <c r="S35" s="11"/>
      <c r="T35" s="11"/>
      <c r="U35" s="11"/>
    </row>
    <row r="36" ht="22.5" customHeight="1">
      <c r="A36" s="22">
        <v>35.0</v>
      </c>
      <c r="B36" s="72" t="s">
        <v>61</v>
      </c>
      <c r="C36" s="22" t="s">
        <v>97</v>
      </c>
      <c r="D36" s="73"/>
      <c r="E36" s="67">
        <v>102.62</v>
      </c>
      <c r="F36" s="73"/>
      <c r="G36" s="67">
        <v>0.0</v>
      </c>
      <c r="H36" s="26">
        <f>IFERROR(__xludf.DUMMYFUNCTION("IFNA(GOOGLEFINANCE(""NSE:""&amp;B36,""price""),0)"),114.45)</f>
        <v>114.45</v>
      </c>
      <c r="I36" s="70">
        <v>50.0</v>
      </c>
      <c r="J36" s="23">
        <f t="shared" si="1"/>
        <v>5131</v>
      </c>
      <c r="K36" s="23">
        <f t="shared" si="2"/>
        <v>591.5</v>
      </c>
      <c r="L36" s="27">
        <f t="shared" si="3"/>
        <v>0.1152796726</v>
      </c>
      <c r="M36" s="23">
        <f>IFERROR(__xludf.DUMMYFUNCTION("IF(G36&gt;0,0, IFNA(GOOGLEFINANCE(""NSE:""&amp;B36,""change""),0))"),0.42)</f>
        <v>0.42</v>
      </c>
      <c r="N36" s="23">
        <f t="shared" si="4"/>
        <v>21</v>
      </c>
      <c r="O36" s="23">
        <f t="shared" si="5"/>
        <v>0</v>
      </c>
      <c r="P36" s="27">
        <f t="shared" si="6"/>
        <v>0</v>
      </c>
      <c r="Q36" s="68"/>
      <c r="R36" s="68"/>
      <c r="S36" s="11"/>
      <c r="T36" s="11"/>
      <c r="U36" s="11"/>
    </row>
    <row r="37" ht="22.5" customHeight="1">
      <c r="A37" s="22">
        <v>36.0</v>
      </c>
      <c r="B37" s="67" t="s">
        <v>26</v>
      </c>
      <c r="C37" s="22" t="s">
        <v>97</v>
      </c>
      <c r="D37" s="73"/>
      <c r="E37" s="67">
        <v>90.5</v>
      </c>
      <c r="F37" s="73"/>
      <c r="G37" s="67">
        <v>0.0</v>
      </c>
      <c r="H37" s="26">
        <f>IFERROR(__xludf.DUMMYFUNCTION("IFNA(GOOGLEFINANCE(""NSE:""&amp;B37,""price""),0)"),91.15)</f>
        <v>91.15</v>
      </c>
      <c r="I37" s="70">
        <v>50.0</v>
      </c>
      <c r="J37" s="23">
        <f t="shared" si="1"/>
        <v>4525</v>
      </c>
      <c r="K37" s="23">
        <f t="shared" si="2"/>
        <v>32.5</v>
      </c>
      <c r="L37" s="27">
        <f t="shared" si="3"/>
        <v>0.007182320442</v>
      </c>
      <c r="M37" s="23">
        <f>IFERROR(__xludf.DUMMYFUNCTION("IF(G37&gt;0,0, IFNA(GOOGLEFINANCE(""NSE:""&amp;B37,""change""),0))"),1.19)</f>
        <v>1.19</v>
      </c>
      <c r="N37" s="23">
        <f t="shared" si="4"/>
        <v>59.5</v>
      </c>
      <c r="O37" s="23">
        <f t="shared" si="5"/>
        <v>0</v>
      </c>
      <c r="P37" s="27">
        <f t="shared" si="6"/>
        <v>0</v>
      </c>
      <c r="Q37" s="68"/>
      <c r="R37" s="68"/>
      <c r="S37" s="11"/>
      <c r="T37" s="11"/>
      <c r="U37" s="11"/>
    </row>
    <row r="38" ht="22.5" customHeight="1">
      <c r="A38" s="22">
        <v>37.0</v>
      </c>
      <c r="B38" s="72" t="s">
        <v>67</v>
      </c>
      <c r="C38" s="22" t="s">
        <v>97</v>
      </c>
      <c r="D38" s="73"/>
      <c r="E38" s="67">
        <v>66.56</v>
      </c>
      <c r="F38" s="73"/>
      <c r="G38" s="67">
        <v>0.0</v>
      </c>
      <c r="H38" s="26">
        <f>IFERROR(__xludf.DUMMYFUNCTION("IFNA(GOOGLEFINANCE(""NSE:""&amp;B38,""price""),0)"),116.68)</f>
        <v>116.68</v>
      </c>
      <c r="I38" s="70">
        <v>100.0</v>
      </c>
      <c r="J38" s="23">
        <f t="shared" si="1"/>
        <v>6656</v>
      </c>
      <c r="K38" s="23">
        <f t="shared" si="2"/>
        <v>5012</v>
      </c>
      <c r="L38" s="27">
        <f t="shared" si="3"/>
        <v>0.7530048077</v>
      </c>
      <c r="M38" s="23">
        <f>IFERROR(__xludf.DUMMYFUNCTION("IF(G38&gt;0,0, IFNA(GOOGLEFINANCE(""NSE:""&amp;B38,""change""),0))"),1.7)</f>
        <v>1.7</v>
      </c>
      <c r="N38" s="23">
        <f t="shared" si="4"/>
        <v>170</v>
      </c>
      <c r="O38" s="23">
        <f t="shared" si="5"/>
        <v>0</v>
      </c>
      <c r="P38" s="27">
        <f t="shared" si="6"/>
        <v>0</v>
      </c>
      <c r="Q38" s="68"/>
      <c r="R38" s="68"/>
      <c r="S38" s="10"/>
      <c r="T38" s="11"/>
      <c r="U38" s="11"/>
    </row>
    <row r="39" ht="22.5" customHeight="1">
      <c r="A39" s="22">
        <v>38.0</v>
      </c>
      <c r="B39" s="72" t="s">
        <v>15</v>
      </c>
      <c r="C39" s="22" t="s">
        <v>97</v>
      </c>
      <c r="D39" s="73"/>
      <c r="E39" s="67">
        <v>12.8</v>
      </c>
      <c r="F39" s="73"/>
      <c r="G39" s="67">
        <v>0.0</v>
      </c>
      <c r="H39" s="26">
        <f>IFERROR(__xludf.DUMMYFUNCTION("IFNA(GOOGLEFINANCE(""NSE:""&amp;B39,""price""),0)"),21.49)</f>
        <v>21.49</v>
      </c>
      <c r="I39" s="70">
        <v>700.0</v>
      </c>
      <c r="J39" s="23">
        <f t="shared" si="1"/>
        <v>8960</v>
      </c>
      <c r="K39" s="23">
        <f t="shared" si="2"/>
        <v>6083</v>
      </c>
      <c r="L39" s="27">
        <f t="shared" si="3"/>
        <v>0.67890625</v>
      </c>
      <c r="M39" s="23">
        <f>IFERROR(__xludf.DUMMYFUNCTION("IF(G39&gt;0,0, IFNA(GOOGLEFINANCE(""NSE:""&amp;B39,""change""),0))"),0.34)</f>
        <v>0.34</v>
      </c>
      <c r="N39" s="23">
        <f t="shared" si="4"/>
        <v>238</v>
      </c>
      <c r="O39" s="23">
        <f t="shared" si="5"/>
        <v>0</v>
      </c>
      <c r="P39" s="27">
        <f t="shared" si="6"/>
        <v>0</v>
      </c>
      <c r="Q39" s="68"/>
      <c r="R39" s="68"/>
      <c r="S39" s="10"/>
      <c r="T39" s="11"/>
      <c r="U39" s="11"/>
    </row>
    <row r="40" ht="22.5" customHeight="1">
      <c r="A40" s="22">
        <v>39.0</v>
      </c>
      <c r="B40" s="72" t="s">
        <v>67</v>
      </c>
      <c r="C40" s="22" t="s">
        <v>97</v>
      </c>
      <c r="D40" s="73">
        <v>45854.0</v>
      </c>
      <c r="E40" s="67">
        <v>83.75</v>
      </c>
      <c r="F40" s="73"/>
      <c r="G40" s="67">
        <v>0.0</v>
      </c>
      <c r="H40" s="26">
        <f>IFERROR(__xludf.DUMMYFUNCTION("IFNA(GOOGLEFINANCE(""NSE:""&amp;B40,""price""),0)"),116.68)</f>
        <v>116.68</v>
      </c>
      <c r="I40" s="70">
        <v>50.0</v>
      </c>
      <c r="J40" s="23">
        <f t="shared" si="1"/>
        <v>4187.5</v>
      </c>
      <c r="K40" s="23">
        <f t="shared" si="2"/>
        <v>1646.5</v>
      </c>
      <c r="L40" s="27">
        <f t="shared" si="3"/>
        <v>0.3931940299</v>
      </c>
      <c r="M40" s="23">
        <f>IFERROR(__xludf.DUMMYFUNCTION("IF(G40&gt;0,0, IFNA(GOOGLEFINANCE(""NSE:""&amp;B40,""change""),0))"),1.7)</f>
        <v>1.7</v>
      </c>
      <c r="N40" s="23">
        <f t="shared" si="4"/>
        <v>85</v>
      </c>
      <c r="O40" s="23">
        <f t="shared" si="5"/>
        <v>0</v>
      </c>
      <c r="P40" s="27">
        <f t="shared" si="6"/>
        <v>0</v>
      </c>
      <c r="Q40" s="68"/>
      <c r="R40" s="68"/>
      <c r="S40" s="10"/>
      <c r="T40" s="11"/>
      <c r="U40" s="11"/>
    </row>
    <row r="41" ht="22.5" customHeight="1">
      <c r="A41" s="22">
        <v>40.0</v>
      </c>
      <c r="B41" s="72" t="s">
        <v>60</v>
      </c>
      <c r="C41" s="22" t="s">
        <v>97</v>
      </c>
      <c r="D41" s="73">
        <v>45854.0</v>
      </c>
      <c r="E41" s="67">
        <v>22.35</v>
      </c>
      <c r="F41" s="73">
        <v>46013.0</v>
      </c>
      <c r="G41" s="67">
        <v>22.73</v>
      </c>
      <c r="H41" s="26">
        <f>IFERROR(__xludf.DUMMYFUNCTION("IFNA(GOOGLEFINANCE(""NSE:""&amp;B41,""price""),0)"),22.76)</f>
        <v>22.76</v>
      </c>
      <c r="I41" s="70">
        <v>300.0</v>
      </c>
      <c r="J41" s="23">
        <f t="shared" si="1"/>
        <v>6705</v>
      </c>
      <c r="K41" s="23">
        <f t="shared" si="2"/>
        <v>0</v>
      </c>
      <c r="L41" s="27">
        <f t="shared" si="3"/>
        <v>0</v>
      </c>
      <c r="M41" s="23">
        <f>IFERROR(__xludf.DUMMYFUNCTION("IF(G41&gt;0,0, IFNA(GOOGLEFINANCE(""NSE:""&amp;B41,""change""),0))"),0.0)</f>
        <v>0</v>
      </c>
      <c r="N41" s="23">
        <f t="shared" si="4"/>
        <v>0</v>
      </c>
      <c r="O41" s="23">
        <f t="shared" si="5"/>
        <v>114</v>
      </c>
      <c r="P41" s="27">
        <f t="shared" si="6"/>
        <v>0.01700223714</v>
      </c>
      <c r="Q41" s="68"/>
      <c r="R41" s="67"/>
      <c r="S41" s="10"/>
      <c r="T41" s="11"/>
      <c r="U41" s="11"/>
    </row>
    <row r="42" ht="22.5" customHeight="1">
      <c r="A42" s="22">
        <v>41.0</v>
      </c>
      <c r="B42" s="72" t="s">
        <v>71</v>
      </c>
      <c r="C42" s="22" t="s">
        <v>97</v>
      </c>
      <c r="D42" s="73">
        <v>45883.0</v>
      </c>
      <c r="E42" s="67">
        <v>3018.0</v>
      </c>
      <c r="F42" s="73">
        <v>45968.0</v>
      </c>
      <c r="G42" s="67">
        <v>3367.3</v>
      </c>
      <c r="H42" s="26">
        <f>IFERROR(__xludf.DUMMYFUNCTION("IFNA(GOOGLEFINANCE(""NSE:""&amp;B42,""price""),0)"),3685.2)</f>
        <v>3685.2</v>
      </c>
      <c r="I42" s="70">
        <v>3.0</v>
      </c>
      <c r="J42" s="23">
        <f t="shared" si="1"/>
        <v>9054</v>
      </c>
      <c r="K42" s="23">
        <f t="shared" si="2"/>
        <v>0</v>
      </c>
      <c r="L42" s="27">
        <f t="shared" si="3"/>
        <v>0</v>
      </c>
      <c r="M42" s="23">
        <f>IFERROR(__xludf.DUMMYFUNCTION("IF(G42&gt;0,0, IFNA(GOOGLEFINANCE(""NSE:""&amp;B42,""change""),0))"),0.0)</f>
        <v>0</v>
      </c>
      <c r="N42" s="23">
        <f t="shared" si="4"/>
        <v>0</v>
      </c>
      <c r="O42" s="23">
        <f t="shared" si="5"/>
        <v>1047.9</v>
      </c>
      <c r="P42" s="27">
        <f t="shared" si="6"/>
        <v>0.1157388999</v>
      </c>
      <c r="Q42" s="70" t="s">
        <v>105</v>
      </c>
      <c r="R42" s="67"/>
    </row>
    <row r="43" ht="22.5" customHeight="1">
      <c r="A43" s="22">
        <v>42.0</v>
      </c>
      <c r="B43" s="72" t="s">
        <v>17</v>
      </c>
      <c r="C43" s="22" t="s">
        <v>97</v>
      </c>
      <c r="D43" s="73"/>
      <c r="E43" s="67">
        <v>123.5</v>
      </c>
      <c r="F43" s="73"/>
      <c r="G43" s="67">
        <v>0.0</v>
      </c>
      <c r="H43" s="26">
        <f>IFERROR(__xludf.DUMMYFUNCTION("IFNA(GOOGLEFINANCE(""NSE:""&amp;B43,""price""),0)"),178.1)</f>
        <v>178.1</v>
      </c>
      <c r="I43" s="70">
        <v>14.0</v>
      </c>
      <c r="J43" s="23">
        <f t="shared" si="1"/>
        <v>1729</v>
      </c>
      <c r="K43" s="23">
        <f t="shared" si="2"/>
        <v>764.4</v>
      </c>
      <c r="L43" s="27">
        <f t="shared" si="3"/>
        <v>0.4421052632</v>
      </c>
      <c r="M43" s="23">
        <f>IFERROR(__xludf.DUMMYFUNCTION("IF(G43&gt;0,0, IFNA(GOOGLEFINANCE(""NSE:""&amp;B43,""change""),0))"),1.05)</f>
        <v>1.05</v>
      </c>
      <c r="N43" s="23">
        <f t="shared" si="4"/>
        <v>14.7</v>
      </c>
      <c r="O43" s="23">
        <f t="shared" si="5"/>
        <v>0</v>
      </c>
      <c r="P43" s="27">
        <f t="shared" si="6"/>
        <v>0</v>
      </c>
      <c r="Q43" s="68"/>
      <c r="R43" s="67"/>
    </row>
    <row r="44" ht="22.5" customHeight="1">
      <c r="A44" s="22">
        <v>43.0</v>
      </c>
      <c r="B44" s="72" t="s">
        <v>39</v>
      </c>
      <c r="C44" s="22" t="s">
        <v>97</v>
      </c>
      <c r="D44" s="73">
        <v>45951.0</v>
      </c>
      <c r="E44" s="67">
        <v>1469.0</v>
      </c>
      <c r="F44" s="73"/>
      <c r="G44" s="67">
        <v>0.0</v>
      </c>
      <c r="H44" s="26">
        <f>IFERROR(__xludf.DUMMYFUNCTION("IFNA(GOOGLEFINANCE(""NSE:""&amp;B44,""price""),0)"),1569.0)</f>
        <v>1569</v>
      </c>
      <c r="I44" s="70">
        <v>5.0</v>
      </c>
      <c r="J44" s="23">
        <f t="shared" si="1"/>
        <v>7345</v>
      </c>
      <c r="K44" s="23">
        <f t="shared" si="2"/>
        <v>500</v>
      </c>
      <c r="L44" s="27">
        <f t="shared" si="3"/>
        <v>0.0680735194</v>
      </c>
      <c r="M44" s="23">
        <f>IFERROR(__xludf.DUMMYFUNCTION("IF(G44&gt;0,0, IFNA(GOOGLEFINANCE(""NSE:""&amp;B44,""change""),0))"),-6.4)</f>
        <v>-6.4</v>
      </c>
      <c r="N44" s="23">
        <f t="shared" si="4"/>
        <v>-32</v>
      </c>
      <c r="O44" s="23">
        <f t="shared" si="5"/>
        <v>0</v>
      </c>
      <c r="P44" s="27">
        <f t="shared" si="6"/>
        <v>0</v>
      </c>
      <c r="Q44" s="68" t="s">
        <v>129</v>
      </c>
      <c r="R44" s="67"/>
    </row>
    <row r="45" ht="22.5" customHeight="1">
      <c r="A45" s="22">
        <v>44.0</v>
      </c>
      <c r="B45" s="72" t="s">
        <v>26</v>
      </c>
      <c r="C45" s="22" t="s">
        <v>97</v>
      </c>
      <c r="D45" s="73">
        <v>45951.0</v>
      </c>
      <c r="E45" s="67">
        <v>94.12</v>
      </c>
      <c r="F45" s="73"/>
      <c r="G45" s="67">
        <v>0.0</v>
      </c>
      <c r="H45" s="26">
        <f>IFERROR(__xludf.DUMMYFUNCTION("IFNA(GOOGLEFINANCE(""NSE:""&amp;B45,""price""),0)"),91.15)</f>
        <v>91.15</v>
      </c>
      <c r="I45" s="70">
        <v>21.0</v>
      </c>
      <c r="J45" s="23">
        <f t="shared" si="1"/>
        <v>1976.52</v>
      </c>
      <c r="K45" s="23">
        <f t="shared" si="2"/>
        <v>-62.37</v>
      </c>
      <c r="L45" s="27">
        <f t="shared" si="3"/>
        <v>-0.03155546111</v>
      </c>
      <c r="M45" s="23">
        <f>IFERROR(__xludf.DUMMYFUNCTION("IF(G45&gt;0,0, IFNA(GOOGLEFINANCE(""NSE:""&amp;B45,""change""),0))"),1.19)</f>
        <v>1.19</v>
      </c>
      <c r="N45" s="23">
        <f t="shared" si="4"/>
        <v>24.99</v>
      </c>
      <c r="O45" s="23">
        <f t="shared" si="5"/>
        <v>0</v>
      </c>
      <c r="P45" s="27">
        <f t="shared" si="6"/>
        <v>0</v>
      </c>
      <c r="Q45" s="68" t="s">
        <v>129</v>
      </c>
      <c r="R45" s="67"/>
    </row>
    <row r="46" ht="22.5" customHeight="1">
      <c r="A46" s="22">
        <v>45.0</v>
      </c>
      <c r="B46" s="72" t="s">
        <v>54</v>
      </c>
      <c r="C46" s="22" t="s">
        <v>97</v>
      </c>
      <c r="D46" s="73">
        <v>45989.0</v>
      </c>
      <c r="E46" s="67">
        <v>117.2</v>
      </c>
      <c r="F46" s="73"/>
      <c r="G46" s="67">
        <v>0.0</v>
      </c>
      <c r="H46" s="26">
        <f>IFERROR(__xludf.DUMMYFUNCTION("IFNA(GOOGLEFINANCE(""NSE:""&amp;B46,""price""),0)"),120.27)</f>
        <v>120.27</v>
      </c>
      <c r="I46" s="70">
        <v>30.0</v>
      </c>
      <c r="J46" s="23">
        <f t="shared" si="1"/>
        <v>3516</v>
      </c>
      <c r="K46" s="23">
        <f t="shared" si="2"/>
        <v>92.1</v>
      </c>
      <c r="L46" s="27">
        <f t="shared" si="3"/>
        <v>0.02619453925</v>
      </c>
      <c r="M46" s="23">
        <f>IFERROR(__xludf.DUMMYFUNCTION("IF(G46&gt;0,0, IFNA(GOOGLEFINANCE(""NSE:""&amp;B46,""change""),0))"),-0.84)</f>
        <v>-0.84</v>
      </c>
      <c r="N46" s="23">
        <f t="shared" si="4"/>
        <v>-25.2</v>
      </c>
      <c r="O46" s="23">
        <f t="shared" si="5"/>
        <v>0</v>
      </c>
      <c r="P46" s="27">
        <f t="shared" si="6"/>
        <v>0</v>
      </c>
      <c r="Q46" s="68"/>
      <c r="R46" s="67"/>
    </row>
    <row r="47" ht="22.5" customHeight="1">
      <c r="A47" s="22">
        <v>46.0</v>
      </c>
      <c r="B47" s="72" t="s">
        <v>54</v>
      </c>
      <c r="C47" s="22" t="s">
        <v>97</v>
      </c>
      <c r="D47" s="73">
        <v>45995.0</v>
      </c>
      <c r="E47" s="67">
        <v>117.5</v>
      </c>
      <c r="F47" s="73"/>
      <c r="G47" s="67">
        <v>0.0</v>
      </c>
      <c r="H47" s="26">
        <f>IFERROR(__xludf.DUMMYFUNCTION("IFNA(GOOGLEFINANCE(""NSE:""&amp;B47,""price""),0)"),120.27)</f>
        <v>120.27</v>
      </c>
      <c r="I47" s="70">
        <v>50.0</v>
      </c>
      <c r="J47" s="23">
        <f t="shared" si="1"/>
        <v>5875</v>
      </c>
      <c r="K47" s="23">
        <f t="shared" si="2"/>
        <v>138.5</v>
      </c>
      <c r="L47" s="27">
        <f t="shared" si="3"/>
        <v>0.02357446809</v>
      </c>
      <c r="M47" s="23">
        <f>IFERROR(__xludf.DUMMYFUNCTION("IF(G47&gt;0,0, IFNA(GOOGLEFINANCE(""NSE:""&amp;B47,""change""),0))"),-0.84)</f>
        <v>-0.84</v>
      </c>
      <c r="N47" s="23">
        <f t="shared" si="4"/>
        <v>-42</v>
      </c>
      <c r="O47" s="23">
        <f t="shared" si="5"/>
        <v>0</v>
      </c>
      <c r="P47" s="27">
        <f t="shared" si="6"/>
        <v>0</v>
      </c>
      <c r="Q47" s="68"/>
      <c r="R47" s="67"/>
    </row>
    <row r="48" ht="22.5" customHeight="1">
      <c r="A48" s="22">
        <v>47.0</v>
      </c>
      <c r="B48" s="72" t="s">
        <v>62</v>
      </c>
      <c r="C48" s="22" t="s">
        <v>97</v>
      </c>
      <c r="D48" s="73">
        <v>46013.0</v>
      </c>
      <c r="E48" s="67">
        <v>78.35</v>
      </c>
      <c r="F48" s="73"/>
      <c r="G48" s="67">
        <v>0.0</v>
      </c>
      <c r="H48" s="26">
        <f>IFERROR(__xludf.DUMMYFUNCTION("IFNA(GOOGLEFINANCE(""NSE:""&amp;B48,""price""),0)"),81.55)</f>
        <v>81.55</v>
      </c>
      <c r="I48" s="70">
        <v>100.0</v>
      </c>
      <c r="J48" s="23">
        <f t="shared" si="1"/>
        <v>7835</v>
      </c>
      <c r="K48" s="23">
        <f t="shared" si="2"/>
        <v>320</v>
      </c>
      <c r="L48" s="27">
        <f t="shared" si="3"/>
        <v>0.04084237396</v>
      </c>
      <c r="M48" s="23">
        <f>IFERROR(__xludf.DUMMYFUNCTION("IF(G48&gt;0,0, IFNA(GOOGLEFINANCE(""NSE:""&amp;B48,""change""),0))"),3.03)</f>
        <v>3.03</v>
      </c>
      <c r="N48" s="23">
        <f t="shared" si="4"/>
        <v>303</v>
      </c>
      <c r="O48" s="23">
        <f t="shared" si="5"/>
        <v>0</v>
      </c>
      <c r="P48" s="27">
        <f t="shared" si="6"/>
        <v>0</v>
      </c>
      <c r="Q48" s="68"/>
      <c r="R48" s="67"/>
    </row>
    <row r="49" ht="22.5" customHeight="1">
      <c r="A49" s="22">
        <v>48.0</v>
      </c>
      <c r="B49" s="72" t="s">
        <v>33</v>
      </c>
      <c r="C49" s="22" t="s">
        <v>97</v>
      </c>
      <c r="D49" s="73">
        <v>46013.0</v>
      </c>
      <c r="E49" s="67">
        <v>1454.8</v>
      </c>
      <c r="F49" s="73"/>
      <c r="G49" s="67">
        <v>0.0</v>
      </c>
      <c r="H49" s="26">
        <f>IFERROR(__xludf.DUMMYFUNCTION("IFNA(GOOGLEFINANCE(""NSE:""&amp;B49,""price""),0)"),1457.7)</f>
        <v>1457.7</v>
      </c>
      <c r="I49" s="70">
        <v>4.0</v>
      </c>
      <c r="J49" s="23">
        <f t="shared" si="1"/>
        <v>5819.2</v>
      </c>
      <c r="K49" s="23">
        <f t="shared" si="2"/>
        <v>11.6</v>
      </c>
      <c r="L49" s="27">
        <f t="shared" si="3"/>
        <v>0.001993401155</v>
      </c>
      <c r="M49" s="23">
        <f>IFERROR(__xludf.DUMMYFUNCTION("IF(G49&gt;0,0, IFNA(GOOGLEFINANCE(""NSE:""&amp;B49,""change""),0))"),1.5)</f>
        <v>1.5</v>
      </c>
      <c r="N49" s="23">
        <f t="shared" si="4"/>
        <v>6</v>
      </c>
      <c r="O49" s="23">
        <f t="shared" si="5"/>
        <v>0</v>
      </c>
      <c r="P49" s="27">
        <f t="shared" si="6"/>
        <v>0</v>
      </c>
      <c r="Q49" s="68"/>
      <c r="R49" s="67"/>
    </row>
    <row r="50" ht="22.5" customHeight="1">
      <c r="A50" s="22">
        <v>49.0</v>
      </c>
      <c r="B50" s="72" t="s">
        <v>15</v>
      </c>
      <c r="C50" s="22" t="s">
        <v>97</v>
      </c>
      <c r="D50" s="73">
        <v>46013.0</v>
      </c>
      <c r="E50" s="67">
        <v>21.15</v>
      </c>
      <c r="F50" s="73"/>
      <c r="G50" s="67">
        <v>0.0</v>
      </c>
      <c r="H50" s="26">
        <f>IFERROR(__xludf.DUMMYFUNCTION("IFNA(GOOGLEFINANCE(""NSE:""&amp;B50,""price""),0)"),21.49)</f>
        <v>21.49</v>
      </c>
      <c r="I50" s="70">
        <v>300.0</v>
      </c>
      <c r="J50" s="23">
        <f t="shared" si="1"/>
        <v>6345</v>
      </c>
      <c r="K50" s="23">
        <f t="shared" si="2"/>
        <v>102</v>
      </c>
      <c r="L50" s="27">
        <f t="shared" si="3"/>
        <v>0.01607565012</v>
      </c>
      <c r="M50" s="23">
        <f>IFERROR(__xludf.DUMMYFUNCTION("IF(G50&gt;0,0, IFNA(GOOGLEFINANCE(""NSE:""&amp;B50,""change""),0))"),0.34)</f>
        <v>0.34</v>
      </c>
      <c r="N50" s="23">
        <f t="shared" si="4"/>
        <v>102</v>
      </c>
      <c r="O50" s="23">
        <f t="shared" si="5"/>
        <v>0</v>
      </c>
      <c r="P50" s="27">
        <f t="shared" si="6"/>
        <v>0</v>
      </c>
      <c r="Q50" s="68"/>
      <c r="R50" s="67"/>
    </row>
    <row r="51">
      <c r="H51" s="64"/>
    </row>
    <row r="52">
      <c r="I52" s="62"/>
    </row>
    <row r="53">
      <c r="I53" s="62"/>
    </row>
  </sheetData>
  <conditionalFormatting sqref="K2:P50 S3:S37 T3:U41 Q42:Q43">
    <cfRule type="cellIs" dxfId="0" priority="1" operator="lessThan">
      <formula>0</formula>
    </cfRule>
  </conditionalFormatting>
  <conditionalFormatting sqref="K2:P50 S3:S37 T3:U41 Q42:Q43">
    <cfRule type="cellIs" dxfId="1" priority="2" operator="greaterThan">
      <formula>0</formula>
    </cfRule>
  </conditionalFormatting>
  <dataValidations>
    <dataValidation type="custom" allowBlank="1" showDropDown="1" sqref="D2:D50">
      <formula1>OR(NOT(ISERROR(DATEVALUE(D2))), AND(ISNUMBER(D2), LEFT(CELL("format", D2))="D"))</formula1>
    </dataValidation>
    <dataValidation type="custom" allowBlank="1" showDropDown="1" sqref="E2:E50 G2:H50 J2:P50">
      <formula1>AND(ISNUMBER(E2),(NOT(OR(NOT(ISERROR(DATEVALUE(E2))), AND(ISNUMBER(E2), LEFT(CELL("format", E2))="D")))))</formula1>
    </dataValidation>
  </dataValidations>
  <drawing r:id="rId2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3" max="3" width="15.0"/>
    <col customWidth="1" min="4" max="4" width="15.38"/>
    <col customWidth="1" min="5" max="5" width="11.5"/>
    <col customWidth="1" min="6" max="6" width="15.25"/>
    <col customWidth="1" min="7" max="7" width="11.38"/>
    <col customWidth="1" min="8" max="8" width="11.5"/>
    <col customWidth="1" min="9" max="9" width="5.0"/>
    <col customWidth="1" min="10" max="10" width="15.0"/>
    <col customWidth="1" min="11" max="11" width="15.25"/>
    <col customWidth="1" min="12" max="12" width="19.63"/>
    <col customWidth="1" min="13" max="13" width="14.5"/>
    <col customWidth="1" min="14" max="15" width="14.38"/>
    <col customWidth="1" min="16" max="16" width="18.13"/>
    <col customWidth="1" min="17" max="17" width="14.5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21.5"/>
    <col customWidth="1" min="29" max="30" width="17.88"/>
    <col customWidth="1" min="33" max="33" width="20.75"/>
  </cols>
  <sheetData>
    <row r="1" ht="22.5" customHeight="1">
      <c r="A1" s="18" t="s">
        <v>134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6</v>
      </c>
      <c r="M1" s="18" t="s">
        <v>82</v>
      </c>
      <c r="N1" s="18" t="s">
        <v>84</v>
      </c>
      <c r="O1" s="18" t="s">
        <v>135</v>
      </c>
      <c r="P1" s="18" t="s">
        <v>5</v>
      </c>
      <c r="Q1" s="18" t="s">
        <v>85</v>
      </c>
      <c r="R1" s="18" t="s">
        <v>86</v>
      </c>
      <c r="S1" s="18" t="s">
        <v>87</v>
      </c>
      <c r="T1" s="18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18" t="s">
        <v>93</v>
      </c>
      <c r="Z1" s="18" t="s">
        <v>94</v>
      </c>
      <c r="AA1" s="18" t="s">
        <v>95</v>
      </c>
      <c r="AB1" s="18" t="s">
        <v>96</v>
      </c>
      <c r="AC1" s="65" t="s">
        <v>72</v>
      </c>
      <c r="AD1" s="21"/>
    </row>
    <row r="2" ht="22.5" customHeight="1">
      <c r="A2" s="22">
        <v>1.0</v>
      </c>
      <c r="B2" s="23" t="s">
        <v>39</v>
      </c>
      <c r="C2" s="24" t="s">
        <v>136</v>
      </c>
      <c r="D2" s="25">
        <v>44944.0</v>
      </c>
      <c r="E2" s="75">
        <v>1242.675</v>
      </c>
      <c r="F2" s="25"/>
      <c r="G2" s="23">
        <v>0.0</v>
      </c>
      <c r="H2" s="26">
        <f>IFERROR(__xludf.DUMMYFUNCTION("GOOGLEFINANCE(""NSE:""&amp;B2,""price"")"),1569.0)</f>
        <v>1569</v>
      </c>
      <c r="I2" s="22">
        <v>5.0</v>
      </c>
      <c r="J2" s="23">
        <f t="shared" ref="J2:J102" si="1">E2*I2</f>
        <v>6213.375</v>
      </c>
      <c r="K2" s="23">
        <f t="shared" ref="K2:K102" si="2">IF(G2&gt;0,(E2+G2)*I2,E2*I2)</f>
        <v>6213.375</v>
      </c>
      <c r="L2" s="23">
        <f t="shared" ref="L2:L34" si="3">IF(G2&gt;0,0,(H2-E2)*I2)</f>
        <v>1631.625</v>
      </c>
      <c r="M2" s="27">
        <f t="shared" ref="M2:M34" si="4">IF(G2&gt;0,0,(H2-E2)/E2)</f>
        <v>0.2625988291</v>
      </c>
      <c r="N2" s="23">
        <f>IFERROR(__xludf.DUMMYFUNCTION("IF(G2&gt;0,0,GOOGLEFINANCE(""NSE:""&amp;B2,""change""))"),-6.4)</f>
        <v>-6.4</v>
      </c>
      <c r="O2" s="23">
        <f t="shared" ref="O2:O102" si="5">I2*N2</f>
        <v>-32</v>
      </c>
      <c r="P2" s="23">
        <f t="shared" ref="P2:P102" si="6">IF(G2=0,0,(G2-E2)*I2)</f>
        <v>0</v>
      </c>
      <c r="Q2" s="27">
        <f t="shared" ref="Q2:Q102" si="7">IF(G2&gt;0,(G2-E2)/E2,0)</f>
        <v>0</v>
      </c>
      <c r="R2" s="23">
        <f t="shared" ref="R2:R8" si="8">0.001*K2</f>
        <v>6.213375</v>
      </c>
      <c r="S2" s="23">
        <f t="shared" ref="S2:S8" si="9">0.0000325*K2</f>
        <v>0.2019346875</v>
      </c>
      <c r="T2" s="23">
        <f t="shared" ref="T2:T9" si="10">0.18*S2</f>
        <v>0.03634824375</v>
      </c>
      <c r="U2" s="28">
        <f t="shared" ref="U2:U8" si="11">0.0000005*K2</f>
        <v>0.0031066875</v>
      </c>
      <c r="V2" s="23">
        <f t="shared" ref="V2:V9" si="12">R2+S2+T2+U2</f>
        <v>6.454764619</v>
      </c>
      <c r="W2" s="23">
        <f t="shared" ref="W2:W4" si="13">IF(G2&gt;0,15.34,0)</f>
        <v>0</v>
      </c>
      <c r="X2" s="23">
        <f t="shared" ref="X2:X9" si="14">V2+W2</f>
        <v>6.454764619</v>
      </c>
      <c r="Y2" s="23">
        <f t="shared" ref="Y2:Y4" si="15">IF(G2&gt;0,P2-X2,0)</f>
        <v>0</v>
      </c>
      <c r="Z2" s="27">
        <f t="shared" ref="Z2:Z8" si="16">Y2/J2</f>
        <v>0</v>
      </c>
      <c r="AA2" s="29" t="str">
        <f>sum(#REF!,Y2)</f>
        <v>#REF!</v>
      </c>
      <c r="AB2" s="35" t="s">
        <v>137</v>
      </c>
      <c r="AC2" s="76"/>
    </row>
    <row r="3" ht="22.5" customHeight="1">
      <c r="A3" s="22">
        <v>2.0</v>
      </c>
      <c r="B3" s="23" t="s">
        <v>138</v>
      </c>
      <c r="C3" s="24" t="s">
        <v>136</v>
      </c>
      <c r="D3" s="25">
        <v>44944.0</v>
      </c>
      <c r="E3" s="23">
        <v>1685.0</v>
      </c>
      <c r="F3" s="25">
        <v>45183.0</v>
      </c>
      <c r="G3" s="23">
        <v>1923.7</v>
      </c>
      <c r="H3" s="26">
        <f>IFERROR(__xludf.DUMMYFUNCTION("GOOGLEFINANCE(""NSE:""&amp;B3,""price"")"),2823.1)</f>
        <v>2823.1</v>
      </c>
      <c r="I3" s="22">
        <v>10.0</v>
      </c>
      <c r="J3" s="23">
        <f t="shared" si="1"/>
        <v>16850</v>
      </c>
      <c r="K3" s="23">
        <f t="shared" si="2"/>
        <v>36087</v>
      </c>
      <c r="L3" s="23">
        <f t="shared" si="3"/>
        <v>0</v>
      </c>
      <c r="M3" s="27">
        <f t="shared" si="4"/>
        <v>0</v>
      </c>
      <c r="N3" s="23">
        <f>IFERROR(__xludf.DUMMYFUNCTION("IF(G3&gt;0,0,GOOGLEFINANCE(""NSE:""&amp;B3,""change""))"),0.0)</f>
        <v>0</v>
      </c>
      <c r="O3" s="23">
        <f t="shared" si="5"/>
        <v>0</v>
      </c>
      <c r="P3" s="23">
        <f t="shared" si="6"/>
        <v>2387</v>
      </c>
      <c r="Q3" s="27">
        <f t="shared" si="7"/>
        <v>0.1416617211</v>
      </c>
      <c r="R3" s="23">
        <f t="shared" si="8"/>
        <v>36.087</v>
      </c>
      <c r="S3" s="23">
        <f t="shared" si="9"/>
        <v>1.1728275</v>
      </c>
      <c r="T3" s="23">
        <f t="shared" si="10"/>
        <v>0.21110895</v>
      </c>
      <c r="U3" s="23">
        <f t="shared" si="11"/>
        <v>0.0180435</v>
      </c>
      <c r="V3" s="23">
        <f t="shared" si="12"/>
        <v>37.48897995</v>
      </c>
      <c r="W3" s="23">
        <f t="shared" si="13"/>
        <v>15.34</v>
      </c>
      <c r="X3" s="23">
        <f t="shared" si="14"/>
        <v>52.82897995</v>
      </c>
      <c r="Y3" s="23">
        <f t="shared" si="15"/>
        <v>2334.17102</v>
      </c>
      <c r="Z3" s="27">
        <f t="shared" si="16"/>
        <v>0.13852647</v>
      </c>
      <c r="AA3" s="29" t="str">
        <f t="shared" ref="AA3:AA9" si="17">sum(AA2,Y3)</f>
        <v>#REF!</v>
      </c>
      <c r="AB3" s="30"/>
      <c r="AC3" s="77"/>
    </row>
    <row r="4" ht="22.5" customHeight="1">
      <c r="A4" s="22">
        <v>3.0</v>
      </c>
      <c r="B4" s="23" t="s">
        <v>39</v>
      </c>
      <c r="C4" s="24" t="s">
        <v>136</v>
      </c>
      <c r="D4" s="25">
        <v>44956.0</v>
      </c>
      <c r="E4" s="75">
        <v>1167.375</v>
      </c>
      <c r="F4" s="25"/>
      <c r="G4" s="23">
        <v>0.0</v>
      </c>
      <c r="H4" s="26">
        <f>IFERROR(__xludf.DUMMYFUNCTION("GOOGLEFINANCE(""NSE:""&amp;B4,""price"")"),1569.0)</f>
        <v>1569</v>
      </c>
      <c r="I4" s="22">
        <v>2.0</v>
      </c>
      <c r="J4" s="23">
        <f t="shared" si="1"/>
        <v>2334.75</v>
      </c>
      <c r="K4" s="23">
        <f t="shared" si="2"/>
        <v>2334.75</v>
      </c>
      <c r="L4" s="23">
        <f t="shared" si="3"/>
        <v>803.25</v>
      </c>
      <c r="M4" s="27">
        <f t="shared" si="4"/>
        <v>0.3440411179</v>
      </c>
      <c r="N4" s="23">
        <f>IFERROR(__xludf.DUMMYFUNCTION("IF(G4&gt;0,0,GOOGLEFINANCE(""NSE:""&amp;B4,""change""))"),-6.4)</f>
        <v>-6.4</v>
      </c>
      <c r="O4" s="23">
        <f t="shared" si="5"/>
        <v>-12.8</v>
      </c>
      <c r="P4" s="23">
        <f t="shared" si="6"/>
        <v>0</v>
      </c>
      <c r="Q4" s="27">
        <f t="shared" si="7"/>
        <v>0</v>
      </c>
      <c r="R4" s="23">
        <f t="shared" si="8"/>
        <v>2.33475</v>
      </c>
      <c r="S4" s="23">
        <f t="shared" si="9"/>
        <v>0.075879375</v>
      </c>
      <c r="T4" s="23">
        <f t="shared" si="10"/>
        <v>0.0136582875</v>
      </c>
      <c r="U4" s="23">
        <f t="shared" si="11"/>
        <v>0.001167375</v>
      </c>
      <c r="V4" s="23">
        <f t="shared" si="12"/>
        <v>2.425455038</v>
      </c>
      <c r="W4" s="23">
        <f t="shared" si="13"/>
        <v>0</v>
      </c>
      <c r="X4" s="23">
        <f t="shared" si="14"/>
        <v>2.425455038</v>
      </c>
      <c r="Y4" s="23">
        <f t="shared" si="15"/>
        <v>0</v>
      </c>
      <c r="Z4" s="27">
        <f t="shared" si="16"/>
        <v>0</v>
      </c>
      <c r="AA4" s="29" t="str">
        <f t="shared" si="17"/>
        <v>#REF!</v>
      </c>
      <c r="AB4" s="35" t="s">
        <v>137</v>
      </c>
      <c r="AC4" s="76"/>
    </row>
    <row r="5" ht="22.5" customHeight="1">
      <c r="A5" s="22">
        <v>4.0</v>
      </c>
      <c r="B5" s="38" t="s">
        <v>22</v>
      </c>
      <c r="C5" s="24" t="s">
        <v>136</v>
      </c>
      <c r="D5" s="25">
        <v>44960.0</v>
      </c>
      <c r="E5" s="23">
        <v>327.72</v>
      </c>
      <c r="F5" s="25"/>
      <c r="G5" s="23">
        <v>0.0</v>
      </c>
      <c r="H5" s="26">
        <f>IFERROR(__xludf.DUMMYFUNCTION("GOOGLEFINANCE(""NSE:""&amp;B5,""price"")"),369.7)</f>
        <v>369.7</v>
      </c>
      <c r="I5" s="22">
        <v>10.0</v>
      </c>
      <c r="J5" s="23">
        <f t="shared" si="1"/>
        <v>3277.2</v>
      </c>
      <c r="K5" s="23">
        <f t="shared" si="2"/>
        <v>3277.2</v>
      </c>
      <c r="L5" s="23">
        <f t="shared" si="3"/>
        <v>419.8</v>
      </c>
      <c r="M5" s="27">
        <f t="shared" si="4"/>
        <v>0.1280971561</v>
      </c>
      <c r="N5" s="23">
        <f>IFERROR(__xludf.DUMMYFUNCTION("IF(G5&gt;0,0,GOOGLEFINANCE(""NSE:""&amp;B5,""change""))"),-0.2)</f>
        <v>-0.2</v>
      </c>
      <c r="O5" s="23">
        <f t="shared" si="5"/>
        <v>-2</v>
      </c>
      <c r="P5" s="23">
        <f t="shared" si="6"/>
        <v>0</v>
      </c>
      <c r="Q5" s="27">
        <f t="shared" si="7"/>
        <v>0</v>
      </c>
      <c r="R5" s="23">
        <f t="shared" si="8"/>
        <v>3.2772</v>
      </c>
      <c r="S5" s="23">
        <f t="shared" si="9"/>
        <v>0.106509</v>
      </c>
      <c r="T5" s="23">
        <f t="shared" si="10"/>
        <v>0.01917162</v>
      </c>
      <c r="U5" s="23">
        <f t="shared" si="11"/>
        <v>0.0016386</v>
      </c>
      <c r="V5" s="23">
        <f t="shared" si="12"/>
        <v>3.40451922</v>
      </c>
      <c r="W5" s="23" t="str">
        <f>IF(#REF!&gt;0,15.34,0)</f>
        <v>#REF!</v>
      </c>
      <c r="X5" s="23" t="str">
        <f t="shared" si="14"/>
        <v>#REF!</v>
      </c>
      <c r="Y5" s="23" t="str">
        <f>IF(#REF!&gt;0,P5-X5,0)</f>
        <v>#REF!</v>
      </c>
      <c r="Z5" s="27" t="str">
        <f t="shared" si="16"/>
        <v>#REF!</v>
      </c>
      <c r="AA5" s="29" t="str">
        <f t="shared" si="17"/>
        <v>#REF!</v>
      </c>
      <c r="AB5" s="30"/>
      <c r="AC5" s="77"/>
    </row>
    <row r="6" ht="22.5" customHeight="1">
      <c r="A6" s="22">
        <v>5.0</v>
      </c>
      <c r="B6" s="38" t="s">
        <v>148</v>
      </c>
      <c r="C6" s="24" t="s">
        <v>149</v>
      </c>
      <c r="D6" s="25">
        <v>44972.0</v>
      </c>
      <c r="E6" s="23">
        <v>49.48</v>
      </c>
      <c r="F6" s="25">
        <v>45660.0</v>
      </c>
      <c r="G6" s="23">
        <v>82.2</v>
      </c>
      <c r="H6" s="26">
        <f>IFERROR(__xludf.DUMMYFUNCTION("GOOGLEFINANCE(""NSE:""&amp;B6,""price"")"),83.27)</f>
        <v>83.27</v>
      </c>
      <c r="I6" s="22">
        <v>65.0</v>
      </c>
      <c r="J6" s="23">
        <f t="shared" si="1"/>
        <v>3216.2</v>
      </c>
      <c r="K6" s="23">
        <f t="shared" si="2"/>
        <v>8559.2</v>
      </c>
      <c r="L6" s="23">
        <f t="shared" si="3"/>
        <v>0</v>
      </c>
      <c r="M6" s="27">
        <f t="shared" si="4"/>
        <v>0</v>
      </c>
      <c r="N6" s="23">
        <f>IFERROR(__xludf.DUMMYFUNCTION("IF(G6&gt;0,0,GOOGLEFINANCE(""NSE:""&amp;B6,""change""))"),0.0)</f>
        <v>0</v>
      </c>
      <c r="O6" s="23">
        <f t="shared" si="5"/>
        <v>0</v>
      </c>
      <c r="P6" s="23">
        <f t="shared" si="6"/>
        <v>2126.8</v>
      </c>
      <c r="Q6" s="27">
        <f t="shared" si="7"/>
        <v>0.6612772838</v>
      </c>
      <c r="R6" s="23">
        <f t="shared" si="8"/>
        <v>8.5592</v>
      </c>
      <c r="S6" s="23">
        <f t="shared" si="9"/>
        <v>0.278174</v>
      </c>
      <c r="T6" s="23">
        <f t="shared" si="10"/>
        <v>0.05007132</v>
      </c>
      <c r="U6" s="23">
        <f t="shared" si="11"/>
        <v>0.0042796</v>
      </c>
      <c r="V6" s="23">
        <f t="shared" si="12"/>
        <v>8.89172492</v>
      </c>
      <c r="W6" s="23">
        <f t="shared" ref="W6:W9" si="18">IF(G5&gt;0,15.34,0)</f>
        <v>0</v>
      </c>
      <c r="X6" s="23">
        <f t="shared" si="14"/>
        <v>8.89172492</v>
      </c>
      <c r="Y6" s="23">
        <f t="shared" ref="Y6:Y9" si="19">IF(G5&gt;0,P6-X6,0)</f>
        <v>0</v>
      </c>
      <c r="Z6" s="27">
        <f t="shared" si="16"/>
        <v>0</v>
      </c>
      <c r="AA6" s="29" t="str">
        <f t="shared" si="17"/>
        <v>#REF!</v>
      </c>
      <c r="AB6" s="30"/>
      <c r="AC6" s="77"/>
    </row>
    <row r="7" ht="22.5" customHeight="1">
      <c r="A7" s="22">
        <v>6.0</v>
      </c>
      <c r="B7" s="38" t="s">
        <v>27</v>
      </c>
      <c r="C7" s="24" t="s">
        <v>153</v>
      </c>
      <c r="D7" s="25">
        <v>44972.0</v>
      </c>
      <c r="E7" s="23">
        <v>57.93</v>
      </c>
      <c r="F7" s="25"/>
      <c r="G7" s="23">
        <v>0.0</v>
      </c>
      <c r="H7" s="26">
        <f>IFERROR(__xludf.DUMMYFUNCTION("GOOGLEFINANCE(""NSE:""&amp;B7,""price"")"),116.72)</f>
        <v>116.72</v>
      </c>
      <c r="I7" s="22">
        <v>60.0</v>
      </c>
      <c r="J7" s="23">
        <f t="shared" si="1"/>
        <v>3475.8</v>
      </c>
      <c r="K7" s="23">
        <f t="shared" si="2"/>
        <v>3475.8</v>
      </c>
      <c r="L7" s="23">
        <f t="shared" si="3"/>
        <v>3527.4</v>
      </c>
      <c r="M7" s="27">
        <f t="shared" si="4"/>
        <v>1.014845503</v>
      </c>
      <c r="N7" s="23">
        <f>IFERROR(__xludf.DUMMYFUNCTION("IF(G7&gt;0,0,GOOGLEFINANCE(""NSE:""&amp;B7,""change""))"),0.58)</f>
        <v>0.58</v>
      </c>
      <c r="O7" s="23">
        <f t="shared" si="5"/>
        <v>34.8</v>
      </c>
      <c r="P7" s="23">
        <f t="shared" si="6"/>
        <v>0</v>
      </c>
      <c r="Q7" s="27">
        <f t="shared" si="7"/>
        <v>0</v>
      </c>
      <c r="R7" s="23">
        <f t="shared" si="8"/>
        <v>3.4758</v>
      </c>
      <c r="S7" s="23">
        <f t="shared" si="9"/>
        <v>0.1129635</v>
      </c>
      <c r="T7" s="23">
        <f t="shared" si="10"/>
        <v>0.02033343</v>
      </c>
      <c r="U7" s="23">
        <f t="shared" si="11"/>
        <v>0.0017379</v>
      </c>
      <c r="V7" s="23">
        <f t="shared" si="12"/>
        <v>3.61083483</v>
      </c>
      <c r="W7" s="23">
        <f t="shared" si="18"/>
        <v>15.34</v>
      </c>
      <c r="X7" s="23">
        <f t="shared" si="14"/>
        <v>18.95083483</v>
      </c>
      <c r="Y7" s="23">
        <f t="shared" si="19"/>
        <v>-18.95083483</v>
      </c>
      <c r="Z7" s="27">
        <f t="shared" si="16"/>
        <v>-0.005452222461</v>
      </c>
      <c r="AA7" s="29" t="str">
        <f t="shared" si="17"/>
        <v>#REF!</v>
      </c>
      <c r="AC7" s="78"/>
    </row>
    <row r="8" ht="22.5" customHeight="1">
      <c r="A8" s="22">
        <v>7.0</v>
      </c>
      <c r="B8" s="38" t="s">
        <v>156</v>
      </c>
      <c r="C8" s="24" t="s">
        <v>149</v>
      </c>
      <c r="D8" s="25">
        <v>44972.0</v>
      </c>
      <c r="E8" s="23">
        <v>41.54</v>
      </c>
      <c r="F8" s="25">
        <v>45204.0</v>
      </c>
      <c r="G8" s="23">
        <v>44.66</v>
      </c>
      <c r="H8" s="26">
        <v>48.75</v>
      </c>
      <c r="I8" s="22">
        <v>80.0</v>
      </c>
      <c r="J8" s="23">
        <f t="shared" si="1"/>
        <v>3323.2</v>
      </c>
      <c r="K8" s="23">
        <f t="shared" si="2"/>
        <v>6896</v>
      </c>
      <c r="L8" s="23">
        <f t="shared" si="3"/>
        <v>0</v>
      </c>
      <c r="M8" s="27">
        <f t="shared" si="4"/>
        <v>0</v>
      </c>
      <c r="N8" s="23">
        <f>IFERROR(__xludf.DUMMYFUNCTION("IF(G8&gt;0,0,GOOGLEFINANCE(""NSE:""&amp;B8,""change""))"),0.0)</f>
        <v>0</v>
      </c>
      <c r="O8" s="23">
        <f t="shared" si="5"/>
        <v>0</v>
      </c>
      <c r="P8" s="23">
        <f t="shared" si="6"/>
        <v>249.6</v>
      </c>
      <c r="Q8" s="27">
        <f t="shared" si="7"/>
        <v>0.07510832932</v>
      </c>
      <c r="R8" s="23">
        <f t="shared" si="8"/>
        <v>6.896</v>
      </c>
      <c r="S8" s="23">
        <f t="shared" si="9"/>
        <v>0.22412</v>
      </c>
      <c r="T8" s="23">
        <f t="shared" si="10"/>
        <v>0.0403416</v>
      </c>
      <c r="U8" s="23">
        <f t="shared" si="11"/>
        <v>0.003448</v>
      </c>
      <c r="V8" s="23">
        <f t="shared" si="12"/>
        <v>7.1639096</v>
      </c>
      <c r="W8" s="23">
        <f t="shared" si="18"/>
        <v>0</v>
      </c>
      <c r="X8" s="23">
        <f t="shared" si="14"/>
        <v>7.1639096</v>
      </c>
      <c r="Y8" s="23">
        <f t="shared" si="19"/>
        <v>0</v>
      </c>
      <c r="Z8" s="27">
        <f t="shared" si="16"/>
        <v>0</v>
      </c>
      <c r="AA8" s="29" t="str">
        <f t="shared" si="17"/>
        <v>#REF!</v>
      </c>
      <c r="AC8" s="78"/>
    </row>
    <row r="9" ht="22.5" customHeight="1">
      <c r="A9" s="22">
        <v>8.0</v>
      </c>
      <c r="B9" s="38" t="s">
        <v>69</v>
      </c>
      <c r="C9" s="24" t="s">
        <v>97</v>
      </c>
      <c r="D9" s="25">
        <v>45091.0</v>
      </c>
      <c r="E9" s="23">
        <v>113.8</v>
      </c>
      <c r="F9" s="25">
        <v>45483.0</v>
      </c>
      <c r="G9" s="23">
        <v>168.42</v>
      </c>
      <c r="H9" s="26">
        <f>IFERROR(__xludf.DUMMYFUNCTION("GOOGLEFINANCE(""NSE:""&amp;B9,""price"")"),170.82)</f>
        <v>170.82</v>
      </c>
      <c r="I9" s="22">
        <v>40.0</v>
      </c>
      <c r="J9" s="23">
        <f t="shared" si="1"/>
        <v>4552</v>
      </c>
      <c r="K9" s="23">
        <f t="shared" si="2"/>
        <v>11288.8</v>
      </c>
      <c r="L9" s="23">
        <f t="shared" si="3"/>
        <v>0</v>
      </c>
      <c r="M9" s="27">
        <f t="shared" si="4"/>
        <v>0</v>
      </c>
      <c r="N9" s="23">
        <f>IFERROR(__xludf.DUMMYFUNCTION("IF(G9&gt;0,0,GOOGLEFINANCE(""NSE:""&amp;B9,""change""))"),0.0)</f>
        <v>0</v>
      </c>
      <c r="O9" s="23">
        <f t="shared" si="5"/>
        <v>0</v>
      </c>
      <c r="P9" s="23">
        <f t="shared" si="6"/>
        <v>2184.8</v>
      </c>
      <c r="Q9" s="27">
        <f t="shared" si="7"/>
        <v>0.4799648506</v>
      </c>
      <c r="R9" s="23" t="str">
        <f>0.001*#REF!</f>
        <v>#REF!</v>
      </c>
      <c r="S9" s="23" t="str">
        <f>0.0000325*#REF!</f>
        <v>#REF!</v>
      </c>
      <c r="T9" s="23" t="str">
        <f t="shared" si="10"/>
        <v>#REF!</v>
      </c>
      <c r="U9" s="23" t="str">
        <f>0.0000005*#REF!</f>
        <v>#REF!</v>
      </c>
      <c r="V9" s="23" t="str">
        <f t="shared" si="12"/>
        <v>#REF!</v>
      </c>
      <c r="W9" s="23">
        <f t="shared" si="18"/>
        <v>15.34</v>
      </c>
      <c r="X9" s="23" t="str">
        <f t="shared" si="14"/>
        <v>#REF!</v>
      </c>
      <c r="Y9" s="23" t="str">
        <f t="shared" si="19"/>
        <v>#REF!</v>
      </c>
      <c r="Z9" s="27" t="str">
        <f>Y9/#REF!</f>
        <v>#REF!</v>
      </c>
      <c r="AA9" s="29" t="str">
        <f t="shared" si="17"/>
        <v>#REF!</v>
      </c>
      <c r="AC9" s="78"/>
    </row>
    <row r="10" ht="22.5" customHeight="1">
      <c r="A10" s="22">
        <v>9.0</v>
      </c>
      <c r="B10" s="38" t="s">
        <v>27</v>
      </c>
      <c r="C10" s="24" t="s">
        <v>153</v>
      </c>
      <c r="D10" s="25">
        <v>45145.0</v>
      </c>
      <c r="E10" s="23">
        <v>69.86</v>
      </c>
      <c r="F10" s="25"/>
      <c r="G10" s="23">
        <v>0.0</v>
      </c>
      <c r="H10" s="26">
        <f>IFERROR(__xludf.DUMMYFUNCTION("GOOGLEFINANCE(""NSE:""&amp;B10,""price"")"),116.72)</f>
        <v>116.72</v>
      </c>
      <c r="I10" s="22">
        <v>45.0</v>
      </c>
      <c r="J10" s="23">
        <f t="shared" si="1"/>
        <v>3143.7</v>
      </c>
      <c r="K10" s="23">
        <f t="shared" si="2"/>
        <v>3143.7</v>
      </c>
      <c r="L10" s="23">
        <f t="shared" si="3"/>
        <v>2108.7</v>
      </c>
      <c r="M10" s="27">
        <f t="shared" si="4"/>
        <v>0.6707701117</v>
      </c>
      <c r="N10" s="23">
        <f>IFERROR(__xludf.DUMMYFUNCTION("IF(G10&gt;0,0,GOOGLEFINANCE(""NSE:""&amp;B10,""change""))"),0.58)</f>
        <v>0.58</v>
      </c>
      <c r="O10" s="23">
        <f t="shared" si="5"/>
        <v>26.1</v>
      </c>
      <c r="P10" s="23">
        <f t="shared" si="6"/>
        <v>0</v>
      </c>
      <c r="Q10" s="27">
        <f t="shared" si="7"/>
        <v>0</v>
      </c>
      <c r="R10" s="23"/>
      <c r="S10" s="23"/>
      <c r="T10" s="23"/>
      <c r="U10" s="23"/>
      <c r="V10" s="23"/>
      <c r="W10" s="23"/>
      <c r="X10" s="23"/>
      <c r="Y10" s="23"/>
      <c r="Z10" s="27"/>
      <c r="AA10" s="23"/>
      <c r="AC10" s="78"/>
    </row>
    <row r="11" ht="22.5" customHeight="1">
      <c r="A11" s="22">
        <v>10.0</v>
      </c>
      <c r="B11" s="23" t="s">
        <v>115</v>
      </c>
      <c r="C11" s="41" t="s">
        <v>152</v>
      </c>
      <c r="D11" s="25">
        <v>45168.0</v>
      </c>
      <c r="E11" s="23">
        <v>639.4</v>
      </c>
      <c r="F11" s="25"/>
      <c r="G11" s="23">
        <v>0.0</v>
      </c>
      <c r="H11" s="26">
        <f>IFERROR(__xludf.DUMMYFUNCTION("GOOGLEFINANCE(""NSE:""&amp;B11,""price"")"),763.0)</f>
        <v>763</v>
      </c>
      <c r="I11" s="22">
        <v>11.0</v>
      </c>
      <c r="J11" s="23">
        <f t="shared" si="1"/>
        <v>7033.4</v>
      </c>
      <c r="K11" s="23">
        <f t="shared" si="2"/>
        <v>7033.4</v>
      </c>
      <c r="L11" s="23">
        <f t="shared" si="3"/>
        <v>1359.6</v>
      </c>
      <c r="M11" s="27">
        <f t="shared" si="4"/>
        <v>0.1933062246</v>
      </c>
      <c r="N11" s="23">
        <f>IFERROR(__xludf.DUMMYFUNCTION("IF(G11&gt;0,0,GOOGLEFINANCE(""NSE:""&amp;B11,""change""))"),1.2)</f>
        <v>1.2</v>
      </c>
      <c r="O11" s="23">
        <f t="shared" si="5"/>
        <v>13.2</v>
      </c>
      <c r="P11" s="23">
        <f t="shared" si="6"/>
        <v>0</v>
      </c>
      <c r="Q11" s="27">
        <f t="shared" si="7"/>
        <v>0</v>
      </c>
      <c r="R11" s="23"/>
      <c r="S11" s="23"/>
      <c r="T11" s="23"/>
      <c r="U11" s="23"/>
      <c r="V11" s="23"/>
      <c r="W11" s="23"/>
      <c r="X11" s="23"/>
      <c r="Y11" s="23"/>
      <c r="Z11" s="27"/>
      <c r="AA11" s="23"/>
      <c r="AC11" s="78"/>
    </row>
    <row r="12" ht="22.5" customHeight="1">
      <c r="A12" s="22">
        <v>11.0</v>
      </c>
      <c r="B12" s="23" t="s">
        <v>36</v>
      </c>
      <c r="C12" s="24" t="s">
        <v>136</v>
      </c>
      <c r="D12" s="25"/>
      <c r="E12" s="23">
        <v>1.0</v>
      </c>
      <c r="F12" s="25"/>
      <c r="G12" s="23">
        <v>0.0</v>
      </c>
      <c r="H12" s="26">
        <f>IFERROR(__xludf.DUMMYFUNCTION("GOOGLEFINANCE(""NSE:""&amp;B12,""price"")"),298.5)</f>
        <v>298.5</v>
      </c>
      <c r="I12" s="22">
        <v>7.0</v>
      </c>
      <c r="J12" s="23">
        <f t="shared" si="1"/>
        <v>7</v>
      </c>
      <c r="K12" s="23">
        <f t="shared" si="2"/>
        <v>7</v>
      </c>
      <c r="L12" s="23">
        <f t="shared" si="3"/>
        <v>2082.5</v>
      </c>
      <c r="M12" s="27">
        <f t="shared" si="4"/>
        <v>297.5</v>
      </c>
      <c r="N12" s="23">
        <f>IFERROR(__xludf.DUMMYFUNCTION("IF(G12&gt;0,0,GOOGLEFINANCE(""NSE:""&amp;B12,""change""))"),-0.25)</f>
        <v>-0.25</v>
      </c>
      <c r="O12" s="23">
        <f t="shared" si="5"/>
        <v>-1.75</v>
      </c>
      <c r="P12" s="23">
        <f t="shared" si="6"/>
        <v>0</v>
      </c>
      <c r="Q12" s="27">
        <f t="shared" si="7"/>
        <v>0</v>
      </c>
      <c r="R12" s="23"/>
      <c r="S12" s="23"/>
      <c r="T12" s="23"/>
      <c r="U12" s="23"/>
      <c r="V12" s="23"/>
      <c r="W12" s="23"/>
      <c r="X12" s="23"/>
      <c r="Y12" s="23"/>
      <c r="Z12" s="27"/>
      <c r="AA12" s="23"/>
      <c r="AC12" s="78"/>
    </row>
    <row r="13" ht="22.5" customHeight="1">
      <c r="A13" s="22">
        <v>12.0</v>
      </c>
      <c r="B13" s="22" t="s">
        <v>38</v>
      </c>
      <c r="C13" s="24" t="s">
        <v>147</v>
      </c>
      <c r="D13" s="25">
        <v>42950.0</v>
      </c>
      <c r="E13" s="23">
        <v>263.63</v>
      </c>
      <c r="F13" s="80">
        <v>45348.0</v>
      </c>
      <c r="G13" s="23">
        <v>443.0</v>
      </c>
      <c r="H13" s="26">
        <f>IFERROR(__xludf.DUMMYFUNCTION("GOOGLEFINANCE(""NSE:""&amp;B13,""price"")"),400.65)</f>
        <v>400.65</v>
      </c>
      <c r="I13" s="22">
        <v>30.0</v>
      </c>
      <c r="J13" s="23">
        <f t="shared" si="1"/>
        <v>7908.9</v>
      </c>
      <c r="K13" s="23">
        <f t="shared" si="2"/>
        <v>21198.9</v>
      </c>
      <c r="L13" s="23">
        <f t="shared" si="3"/>
        <v>0</v>
      </c>
      <c r="M13" s="27">
        <f t="shared" si="4"/>
        <v>0</v>
      </c>
      <c r="N13" s="23">
        <f>IFERROR(__xludf.DUMMYFUNCTION("IF(G13&gt;0,0,GOOGLEFINANCE(""NSE:""&amp;B13,""change""))"),0.0)</f>
        <v>0</v>
      </c>
      <c r="O13" s="23">
        <f t="shared" si="5"/>
        <v>0</v>
      </c>
      <c r="P13" s="23">
        <f t="shared" si="6"/>
        <v>5381.1</v>
      </c>
      <c r="Q13" s="27">
        <f t="shared" si="7"/>
        <v>0.6803853886</v>
      </c>
      <c r="R13" s="23"/>
      <c r="S13" s="23"/>
      <c r="T13" s="23"/>
      <c r="U13" s="23"/>
      <c r="V13" s="23"/>
      <c r="W13" s="23"/>
      <c r="X13" s="23"/>
      <c r="Y13" s="23"/>
      <c r="Z13" s="27"/>
      <c r="AA13" s="23"/>
      <c r="AC13" s="78"/>
    </row>
    <row r="14" ht="22.5" customHeight="1">
      <c r="A14" s="22">
        <v>13.0</v>
      </c>
      <c r="B14" s="22" t="s">
        <v>141</v>
      </c>
      <c r="C14" s="24" t="s">
        <v>147</v>
      </c>
      <c r="D14" s="25">
        <v>43858.0</v>
      </c>
      <c r="E14" s="23">
        <v>187.15</v>
      </c>
      <c r="F14" s="25">
        <v>44363.0</v>
      </c>
      <c r="G14" s="23">
        <v>1200.0</v>
      </c>
      <c r="H14" s="26">
        <f>IFERROR(__xludf.DUMMYFUNCTION("GOOGLEFINANCE(""NSE:""&amp;B14,""price"")"),1017.0)</f>
        <v>1017</v>
      </c>
      <c r="I14" s="22">
        <v>10.0</v>
      </c>
      <c r="J14" s="23">
        <f t="shared" si="1"/>
        <v>1871.5</v>
      </c>
      <c r="K14" s="23">
        <f t="shared" si="2"/>
        <v>13871.5</v>
      </c>
      <c r="L14" s="23">
        <f t="shared" si="3"/>
        <v>0</v>
      </c>
      <c r="M14" s="27">
        <f t="shared" si="4"/>
        <v>0</v>
      </c>
      <c r="N14" s="23">
        <f>IFERROR(__xludf.DUMMYFUNCTION("IF(G14&gt;0,0,GOOGLEFINANCE(""NSE:""&amp;B14,""change""))"),0.0)</f>
        <v>0</v>
      </c>
      <c r="O14" s="23">
        <f t="shared" si="5"/>
        <v>0</v>
      </c>
      <c r="P14" s="23">
        <f t="shared" si="6"/>
        <v>10128.5</v>
      </c>
      <c r="Q14" s="27">
        <f t="shared" si="7"/>
        <v>5.411969009</v>
      </c>
      <c r="R14" s="23"/>
      <c r="S14" s="23"/>
      <c r="T14" s="23"/>
      <c r="U14" s="23"/>
      <c r="V14" s="23"/>
      <c r="W14" s="23"/>
      <c r="X14" s="23"/>
      <c r="Y14" s="23"/>
      <c r="Z14" s="27"/>
      <c r="AA14" s="23"/>
      <c r="AC14" s="78"/>
    </row>
    <row r="15" ht="22.5" customHeight="1">
      <c r="A15" s="22">
        <v>14.0</v>
      </c>
      <c r="B15" s="22" t="s">
        <v>66</v>
      </c>
      <c r="C15" s="24" t="s">
        <v>147</v>
      </c>
      <c r="D15" s="25">
        <v>43873.0</v>
      </c>
      <c r="E15" s="23">
        <v>324.7</v>
      </c>
      <c r="F15" s="80">
        <v>45345.0</v>
      </c>
      <c r="G15" s="23">
        <v>759.4</v>
      </c>
      <c r="H15" s="26">
        <f>IFERROR(__xludf.DUMMYFUNCTION("GOOGLEFINANCE(""NSE:""&amp;B15,""price"")"),971.25)</f>
        <v>971.25</v>
      </c>
      <c r="I15" s="22">
        <v>1.0</v>
      </c>
      <c r="J15" s="23">
        <f t="shared" si="1"/>
        <v>324.7</v>
      </c>
      <c r="K15" s="23">
        <f t="shared" si="2"/>
        <v>1084.1</v>
      </c>
      <c r="L15" s="23">
        <f t="shared" si="3"/>
        <v>0</v>
      </c>
      <c r="M15" s="27">
        <f t="shared" si="4"/>
        <v>0</v>
      </c>
      <c r="N15" s="23">
        <f>IFERROR(__xludf.DUMMYFUNCTION("IF(G15&gt;0,0,GOOGLEFINANCE(""NSE:""&amp;B15,""change""))"),0.0)</f>
        <v>0</v>
      </c>
      <c r="O15" s="23">
        <f t="shared" si="5"/>
        <v>0</v>
      </c>
      <c r="P15" s="23">
        <f t="shared" si="6"/>
        <v>434.7</v>
      </c>
      <c r="Q15" s="27">
        <f t="shared" si="7"/>
        <v>1.338774253</v>
      </c>
      <c r="R15" s="23"/>
      <c r="S15" s="23"/>
      <c r="T15" s="23"/>
      <c r="U15" s="23"/>
      <c r="V15" s="23"/>
      <c r="W15" s="23"/>
      <c r="X15" s="23"/>
      <c r="Y15" s="23"/>
      <c r="Z15" s="27"/>
      <c r="AA15" s="23"/>
      <c r="AC15" s="78"/>
    </row>
    <row r="16" ht="22.5" customHeight="1">
      <c r="A16" s="22">
        <v>15.0</v>
      </c>
      <c r="B16" s="22" t="s">
        <v>167</v>
      </c>
      <c r="C16" s="24" t="s">
        <v>147</v>
      </c>
      <c r="D16" s="25">
        <v>44253.0</v>
      </c>
      <c r="E16" s="23">
        <v>595.9</v>
      </c>
      <c r="F16" s="25">
        <v>45404.0</v>
      </c>
      <c r="G16" s="75">
        <v>1087.05</v>
      </c>
      <c r="H16" s="26">
        <f>IFERROR(__xludf.DUMMYFUNCTION("GOOGLEFINANCE(""NSE:""&amp;B16,""price"")"),1362.4)</f>
        <v>1362.4</v>
      </c>
      <c r="I16" s="22">
        <v>20.0</v>
      </c>
      <c r="J16" s="23">
        <f t="shared" si="1"/>
        <v>11918</v>
      </c>
      <c r="K16" s="23">
        <f t="shared" si="2"/>
        <v>33659</v>
      </c>
      <c r="L16" s="23">
        <f t="shared" si="3"/>
        <v>0</v>
      </c>
      <c r="M16" s="27">
        <f t="shared" si="4"/>
        <v>0</v>
      </c>
      <c r="N16" s="23">
        <f>IFERROR(__xludf.DUMMYFUNCTION("IF(G16&gt;0,0,GOOGLEFINANCE(""NSE:""&amp;B16,""change""))"),0.0)</f>
        <v>0</v>
      </c>
      <c r="O16" s="23">
        <f t="shared" si="5"/>
        <v>0</v>
      </c>
      <c r="P16" s="23">
        <f t="shared" si="6"/>
        <v>9823</v>
      </c>
      <c r="Q16" s="27">
        <f t="shared" si="7"/>
        <v>0.8242154724</v>
      </c>
      <c r="R16" s="23"/>
      <c r="S16" s="23"/>
      <c r="T16" s="23"/>
      <c r="U16" s="23"/>
      <c r="V16" s="23"/>
      <c r="W16" s="23"/>
      <c r="X16" s="23"/>
      <c r="Y16" s="23"/>
      <c r="Z16" s="27"/>
      <c r="AA16" s="23"/>
      <c r="AC16" s="78"/>
    </row>
    <row r="17" ht="22.5" customHeight="1">
      <c r="A17" s="22">
        <v>16.0</v>
      </c>
      <c r="B17" s="22" t="s">
        <v>144</v>
      </c>
      <c r="C17" s="24" t="s">
        <v>147</v>
      </c>
      <c r="D17" s="25">
        <v>44277.0</v>
      </c>
      <c r="E17" s="23">
        <v>722.5</v>
      </c>
      <c r="F17" s="25">
        <v>44344.0</v>
      </c>
      <c r="G17" s="23">
        <v>782.5</v>
      </c>
      <c r="H17" s="26">
        <f>IFERROR(__xludf.DUMMYFUNCTION("GOOGLEFINANCE(""NSE:""&amp;B17,""price"")"),1492.8)</f>
        <v>1492.8</v>
      </c>
      <c r="I17" s="22">
        <v>5.0</v>
      </c>
      <c r="J17" s="23">
        <f t="shared" si="1"/>
        <v>3612.5</v>
      </c>
      <c r="K17" s="23">
        <f t="shared" si="2"/>
        <v>7525</v>
      </c>
      <c r="L17" s="23">
        <f t="shared" si="3"/>
        <v>0</v>
      </c>
      <c r="M17" s="27">
        <f t="shared" si="4"/>
        <v>0</v>
      </c>
      <c r="N17" s="23">
        <f>IFERROR(__xludf.DUMMYFUNCTION("IF(G17&gt;0,0,GOOGLEFINANCE(""NSE:""&amp;B17,""change""))"),0.0)</f>
        <v>0</v>
      </c>
      <c r="O17" s="23">
        <f t="shared" si="5"/>
        <v>0</v>
      </c>
      <c r="P17" s="23">
        <f t="shared" si="6"/>
        <v>300</v>
      </c>
      <c r="Q17" s="27">
        <f t="shared" si="7"/>
        <v>0.0830449827</v>
      </c>
      <c r="R17" s="23"/>
      <c r="S17" s="23"/>
      <c r="T17" s="23"/>
      <c r="U17" s="23"/>
      <c r="V17" s="23"/>
      <c r="W17" s="23"/>
      <c r="X17" s="23"/>
      <c r="Y17" s="23"/>
      <c r="Z17" s="27"/>
      <c r="AA17" s="23"/>
      <c r="AC17" s="78"/>
    </row>
    <row r="18" ht="22.5" customHeight="1">
      <c r="A18" s="22">
        <v>17.0</v>
      </c>
      <c r="B18" s="22" t="s">
        <v>52</v>
      </c>
      <c r="C18" s="24" t="s">
        <v>147</v>
      </c>
      <c r="D18" s="25">
        <v>44323.0</v>
      </c>
      <c r="E18" s="23">
        <v>48.6</v>
      </c>
      <c r="F18" s="80">
        <v>45404.0</v>
      </c>
      <c r="G18" s="75">
        <v>95.89</v>
      </c>
      <c r="H18" s="26">
        <f>IFERROR(__xludf.DUMMYFUNCTION("GOOGLEFINANCE(""NSE:""&amp;B18,""price"")"),168.98)</f>
        <v>168.98</v>
      </c>
      <c r="I18" s="22">
        <v>102.0</v>
      </c>
      <c r="J18" s="23">
        <f t="shared" si="1"/>
        <v>4957.2</v>
      </c>
      <c r="K18" s="23">
        <f t="shared" si="2"/>
        <v>14737.98</v>
      </c>
      <c r="L18" s="23">
        <f t="shared" si="3"/>
        <v>0</v>
      </c>
      <c r="M18" s="27">
        <f t="shared" si="4"/>
        <v>0</v>
      </c>
      <c r="N18" s="23">
        <f>IFERROR(__xludf.DUMMYFUNCTION("IF(G18&gt;0,0,GOOGLEFINANCE(""NSE:""&amp;B18,""change""))"),0.0)</f>
        <v>0</v>
      </c>
      <c r="O18" s="23">
        <f t="shared" si="5"/>
        <v>0</v>
      </c>
      <c r="P18" s="23">
        <f t="shared" si="6"/>
        <v>4823.58</v>
      </c>
      <c r="Q18" s="27">
        <f t="shared" si="7"/>
        <v>0.9730452675</v>
      </c>
      <c r="R18" s="23"/>
      <c r="S18" s="23"/>
      <c r="T18" s="23"/>
      <c r="U18" s="23"/>
      <c r="V18" s="23"/>
      <c r="W18" s="23"/>
      <c r="X18" s="23"/>
      <c r="Y18" s="23"/>
      <c r="Z18" s="27"/>
      <c r="AA18" s="23"/>
      <c r="AC18" s="78"/>
      <c r="AL18" s="8"/>
      <c r="AR18" s="8"/>
    </row>
    <row r="19" ht="22.5" customHeight="1">
      <c r="A19" s="22">
        <v>18.0</v>
      </c>
      <c r="B19" s="22" t="s">
        <v>21</v>
      </c>
      <c r="C19" s="24" t="s">
        <v>147</v>
      </c>
      <c r="D19" s="25">
        <v>44406.0</v>
      </c>
      <c r="E19" s="23">
        <v>723.0</v>
      </c>
      <c r="F19" s="80">
        <v>45404.0</v>
      </c>
      <c r="G19" s="23">
        <v>1053.95</v>
      </c>
      <c r="H19" s="26">
        <f>IFERROR(__xludf.DUMMYFUNCTION("GOOGLEFINANCE(""NSE:""&amp;B19,""price"")"),1224.5)</f>
        <v>1224.5</v>
      </c>
      <c r="I19" s="22">
        <v>10.0</v>
      </c>
      <c r="J19" s="23">
        <f t="shared" si="1"/>
        <v>7230</v>
      </c>
      <c r="K19" s="23">
        <f t="shared" si="2"/>
        <v>17769.5</v>
      </c>
      <c r="L19" s="23">
        <f t="shared" si="3"/>
        <v>0</v>
      </c>
      <c r="M19" s="27">
        <f t="shared" si="4"/>
        <v>0</v>
      </c>
      <c r="N19" s="23">
        <f>IFERROR(__xludf.DUMMYFUNCTION("IF(G19&gt;0,0,GOOGLEFINANCE(""NSE:""&amp;B19,""change""))"),0.0)</f>
        <v>0</v>
      </c>
      <c r="O19" s="23">
        <f t="shared" si="5"/>
        <v>0</v>
      </c>
      <c r="P19" s="23">
        <f t="shared" si="6"/>
        <v>3309.5</v>
      </c>
      <c r="Q19" s="27">
        <f t="shared" si="7"/>
        <v>0.4577455048</v>
      </c>
      <c r="R19" s="23"/>
      <c r="S19" s="23"/>
      <c r="T19" s="23"/>
      <c r="U19" s="23"/>
      <c r="V19" s="23"/>
      <c r="W19" s="23"/>
      <c r="X19" s="23"/>
      <c r="Y19" s="23"/>
      <c r="Z19" s="27"/>
      <c r="AA19" s="23"/>
      <c r="AC19" s="78"/>
      <c r="AL19" s="8"/>
      <c r="AR19" s="8"/>
    </row>
    <row r="20" ht="22.5" customHeight="1">
      <c r="A20" s="22">
        <v>19.0</v>
      </c>
      <c r="B20" s="22" t="s">
        <v>35</v>
      </c>
      <c r="C20" s="24" t="s">
        <v>147</v>
      </c>
      <c r="D20" s="25">
        <v>44508.0</v>
      </c>
      <c r="E20" s="23">
        <v>833.3</v>
      </c>
      <c r="F20" s="80">
        <v>45404.0</v>
      </c>
      <c r="G20" s="23">
        <v>1000.05</v>
      </c>
      <c r="H20" s="26">
        <f>IFERROR(__xludf.DUMMYFUNCTION("GOOGLEFINANCE(""NSE:""&amp;B20,""price"")"),680.5)</f>
        <v>680.5</v>
      </c>
      <c r="I20" s="22">
        <v>11.0</v>
      </c>
      <c r="J20" s="23">
        <f t="shared" si="1"/>
        <v>9166.3</v>
      </c>
      <c r="K20" s="23">
        <f t="shared" si="2"/>
        <v>20166.85</v>
      </c>
      <c r="L20" s="23">
        <f t="shared" si="3"/>
        <v>0</v>
      </c>
      <c r="M20" s="27">
        <f t="shared" si="4"/>
        <v>0</v>
      </c>
      <c r="N20" s="23">
        <f>IFERROR(__xludf.DUMMYFUNCTION("IF(G20&gt;0,0,GOOGLEFINANCE(""NSE:""&amp;B20,""change""))"),0.0)</f>
        <v>0</v>
      </c>
      <c r="O20" s="23">
        <f t="shared" si="5"/>
        <v>0</v>
      </c>
      <c r="P20" s="23">
        <f t="shared" si="6"/>
        <v>1834.25</v>
      </c>
      <c r="Q20" s="27">
        <f t="shared" si="7"/>
        <v>0.2001080043</v>
      </c>
      <c r="R20" s="23"/>
      <c r="S20" s="23"/>
      <c r="T20" s="23"/>
      <c r="U20" s="23"/>
      <c r="V20" s="23"/>
      <c r="W20" s="23"/>
      <c r="X20" s="23"/>
      <c r="Y20" s="23"/>
      <c r="Z20" s="27"/>
      <c r="AA20" s="23"/>
      <c r="AC20" s="78"/>
    </row>
    <row r="21" ht="22.5" customHeight="1">
      <c r="A21" s="22">
        <v>20.0</v>
      </c>
      <c r="B21" s="22" t="s">
        <v>38</v>
      </c>
      <c r="C21" s="24" t="s">
        <v>147</v>
      </c>
      <c r="D21" s="25">
        <v>44552.0</v>
      </c>
      <c r="E21" s="23">
        <v>145.55</v>
      </c>
      <c r="F21" s="80">
        <v>45348.0</v>
      </c>
      <c r="G21" s="23">
        <v>443.0</v>
      </c>
      <c r="H21" s="26">
        <f>IFERROR(__xludf.DUMMYFUNCTION("GOOGLEFINANCE(""NSE:""&amp;B21,""price"")"),400.65)</f>
        <v>400.65</v>
      </c>
      <c r="I21" s="22">
        <v>3.0</v>
      </c>
      <c r="J21" s="23">
        <f t="shared" si="1"/>
        <v>436.65</v>
      </c>
      <c r="K21" s="23">
        <f t="shared" si="2"/>
        <v>1765.65</v>
      </c>
      <c r="L21" s="23">
        <f t="shared" si="3"/>
        <v>0</v>
      </c>
      <c r="M21" s="27">
        <f t="shared" si="4"/>
        <v>0</v>
      </c>
      <c r="N21" s="23">
        <f>IFERROR(__xludf.DUMMYFUNCTION("IF(G21&gt;0,0,GOOGLEFINANCE(""NSE:""&amp;B21,""change""))"),0.0)</f>
        <v>0</v>
      </c>
      <c r="O21" s="23">
        <f t="shared" si="5"/>
        <v>0</v>
      </c>
      <c r="P21" s="23">
        <f t="shared" si="6"/>
        <v>892.35</v>
      </c>
      <c r="Q21" s="27">
        <f t="shared" si="7"/>
        <v>2.043627619</v>
      </c>
      <c r="R21" s="23"/>
      <c r="S21" s="23"/>
      <c r="T21" s="23"/>
      <c r="U21" s="23"/>
      <c r="V21" s="23"/>
      <c r="W21" s="23"/>
      <c r="X21" s="23"/>
      <c r="Y21" s="23"/>
      <c r="Z21" s="27"/>
      <c r="AA21" s="23"/>
      <c r="AC21" s="78"/>
    </row>
    <row r="22" ht="22.5" customHeight="1">
      <c r="A22" s="22">
        <v>21.0</v>
      </c>
      <c r="B22" s="22" t="s">
        <v>52</v>
      </c>
      <c r="C22" s="24" t="s">
        <v>147</v>
      </c>
      <c r="D22" s="25">
        <v>44874.0</v>
      </c>
      <c r="E22" s="23">
        <v>35.23</v>
      </c>
      <c r="F22" s="80">
        <v>45404.0</v>
      </c>
      <c r="G22" s="75">
        <v>95.89</v>
      </c>
      <c r="H22" s="26">
        <f>IFERROR(__xludf.DUMMYFUNCTION("GOOGLEFINANCE(""NSE:""&amp;B22,""price"")"),168.98)</f>
        <v>168.98</v>
      </c>
      <c r="I22" s="22">
        <v>52.0</v>
      </c>
      <c r="J22" s="23">
        <f t="shared" si="1"/>
        <v>1831.96</v>
      </c>
      <c r="K22" s="23">
        <f t="shared" si="2"/>
        <v>6818.24</v>
      </c>
      <c r="L22" s="23">
        <f t="shared" si="3"/>
        <v>0</v>
      </c>
      <c r="M22" s="27">
        <f t="shared" si="4"/>
        <v>0</v>
      </c>
      <c r="N22" s="23">
        <f>IFERROR(__xludf.DUMMYFUNCTION("IF(G22&gt;0,0,GOOGLEFINANCE(""NSE:""&amp;B22,""change""))"),0.0)</f>
        <v>0</v>
      </c>
      <c r="O22" s="23">
        <f t="shared" si="5"/>
        <v>0</v>
      </c>
      <c r="P22" s="23">
        <f t="shared" si="6"/>
        <v>3154.32</v>
      </c>
      <c r="Q22" s="27">
        <f t="shared" si="7"/>
        <v>1.721827988</v>
      </c>
      <c r="R22" s="23"/>
      <c r="S22" s="23"/>
      <c r="T22" s="23"/>
      <c r="U22" s="23"/>
      <c r="V22" s="23"/>
      <c r="W22" s="23"/>
      <c r="X22" s="23"/>
      <c r="Y22" s="23"/>
      <c r="Z22" s="27"/>
      <c r="AA22" s="23"/>
      <c r="AC22" s="78"/>
    </row>
    <row r="23" ht="22.5" customHeight="1">
      <c r="A23" s="22">
        <v>22.0</v>
      </c>
      <c r="B23" s="22" t="s">
        <v>69</v>
      </c>
      <c r="C23" s="24" t="s">
        <v>147</v>
      </c>
      <c r="D23" s="25">
        <v>44770.0</v>
      </c>
      <c r="E23" s="23">
        <v>98.1</v>
      </c>
      <c r="F23" s="80">
        <v>45348.0</v>
      </c>
      <c r="G23" s="23">
        <v>142.65</v>
      </c>
      <c r="H23" s="26">
        <f>IFERROR(__xludf.DUMMYFUNCTION("GOOGLEFINANCE(""NSE:""&amp;B23,""price"")"),170.82)</f>
        <v>170.82</v>
      </c>
      <c r="I23" s="22">
        <v>50.0</v>
      </c>
      <c r="J23" s="23">
        <f t="shared" si="1"/>
        <v>4905</v>
      </c>
      <c r="K23" s="23">
        <f t="shared" si="2"/>
        <v>12037.5</v>
      </c>
      <c r="L23" s="23">
        <f t="shared" si="3"/>
        <v>0</v>
      </c>
      <c r="M23" s="27">
        <f t="shared" si="4"/>
        <v>0</v>
      </c>
      <c r="N23" s="23">
        <f>IFERROR(__xludf.DUMMYFUNCTION("IF(G23&gt;0,0,GOOGLEFINANCE(""NSE:""&amp;B23,""change""))"),0.0)</f>
        <v>0</v>
      </c>
      <c r="O23" s="23">
        <f t="shared" si="5"/>
        <v>0</v>
      </c>
      <c r="P23" s="23">
        <f t="shared" si="6"/>
        <v>2227.5</v>
      </c>
      <c r="Q23" s="27">
        <f t="shared" si="7"/>
        <v>0.4541284404</v>
      </c>
      <c r="R23" s="23"/>
      <c r="S23" s="23"/>
      <c r="T23" s="23"/>
      <c r="U23" s="23"/>
      <c r="V23" s="23"/>
      <c r="W23" s="23"/>
      <c r="X23" s="23"/>
      <c r="Y23" s="23"/>
      <c r="Z23" s="27"/>
      <c r="AA23" s="23"/>
      <c r="AC23" s="78"/>
    </row>
    <row r="24" ht="22.5" customHeight="1">
      <c r="A24" s="22">
        <v>23.0</v>
      </c>
      <c r="B24" s="22" t="s">
        <v>69</v>
      </c>
      <c r="C24" s="24" t="s">
        <v>147</v>
      </c>
      <c r="D24" s="25">
        <v>44858.0</v>
      </c>
      <c r="E24" s="23">
        <v>101.25</v>
      </c>
      <c r="F24" s="80">
        <v>45348.0</v>
      </c>
      <c r="G24" s="23">
        <v>142.65</v>
      </c>
      <c r="H24" s="26">
        <f>IFERROR(__xludf.DUMMYFUNCTION("GOOGLEFINANCE(""NSE:""&amp;B24,""price"")"),170.82)</f>
        <v>170.82</v>
      </c>
      <c r="I24" s="22">
        <v>51.0</v>
      </c>
      <c r="J24" s="23">
        <f t="shared" si="1"/>
        <v>5163.75</v>
      </c>
      <c r="K24" s="23">
        <f t="shared" si="2"/>
        <v>12438.9</v>
      </c>
      <c r="L24" s="23">
        <f t="shared" si="3"/>
        <v>0</v>
      </c>
      <c r="M24" s="27">
        <f t="shared" si="4"/>
        <v>0</v>
      </c>
      <c r="N24" s="23">
        <f>IFERROR(__xludf.DUMMYFUNCTION("IF(G24&gt;0,0,GOOGLEFINANCE(""NSE:""&amp;B24,""change""))"),0.0)</f>
        <v>0</v>
      </c>
      <c r="O24" s="23">
        <f t="shared" si="5"/>
        <v>0</v>
      </c>
      <c r="P24" s="23">
        <f t="shared" si="6"/>
        <v>2111.4</v>
      </c>
      <c r="Q24" s="27">
        <f t="shared" si="7"/>
        <v>0.4088888889</v>
      </c>
      <c r="R24" s="23"/>
      <c r="S24" s="23"/>
      <c r="T24" s="23"/>
      <c r="U24" s="23"/>
      <c r="V24" s="23"/>
      <c r="W24" s="23"/>
      <c r="X24" s="23"/>
      <c r="Y24" s="23"/>
      <c r="Z24" s="27"/>
      <c r="AA24" s="23"/>
      <c r="AC24" s="78"/>
    </row>
    <row r="25" ht="22.5" customHeight="1">
      <c r="A25" s="22">
        <v>24.0</v>
      </c>
      <c r="B25" s="22" t="s">
        <v>121</v>
      </c>
      <c r="C25" s="24" t="s">
        <v>152</v>
      </c>
      <c r="D25" s="25"/>
      <c r="E25" s="23">
        <v>835.68</v>
      </c>
      <c r="F25" s="25"/>
      <c r="G25" s="23">
        <v>0.0</v>
      </c>
      <c r="H25" s="26">
        <f>IFERROR(__xludf.DUMMYFUNCTION("GOOGLEFINANCE(""NSE:""&amp;B25,""price"")"),1185.2)</f>
        <v>1185.2</v>
      </c>
      <c r="I25" s="22">
        <v>11.0</v>
      </c>
      <c r="J25" s="23">
        <f t="shared" si="1"/>
        <v>9192.48</v>
      </c>
      <c r="K25" s="23">
        <f t="shared" si="2"/>
        <v>9192.48</v>
      </c>
      <c r="L25" s="23">
        <f t="shared" si="3"/>
        <v>3844.72</v>
      </c>
      <c r="M25" s="27">
        <f t="shared" si="4"/>
        <v>0.4182462186</v>
      </c>
      <c r="N25" s="23">
        <f>IFERROR(__xludf.DUMMYFUNCTION("IF(G25&gt;0,0,GOOGLEFINANCE(""NSE:""&amp;B25,""change""))"),6.4)</f>
        <v>6.4</v>
      </c>
      <c r="O25" s="23">
        <f t="shared" si="5"/>
        <v>70.4</v>
      </c>
      <c r="P25" s="23">
        <f t="shared" si="6"/>
        <v>0</v>
      </c>
      <c r="Q25" s="27">
        <f t="shared" si="7"/>
        <v>0</v>
      </c>
      <c r="R25" s="23"/>
      <c r="S25" s="23"/>
      <c r="T25" s="23"/>
      <c r="U25" s="23"/>
      <c r="V25" s="23"/>
      <c r="W25" s="23"/>
      <c r="X25" s="23"/>
      <c r="Y25" s="23"/>
      <c r="Z25" s="27"/>
      <c r="AA25" s="23"/>
      <c r="AC25" s="78"/>
      <c r="AL25" s="8"/>
      <c r="AR25" s="8"/>
    </row>
    <row r="26" ht="22.5" customHeight="1">
      <c r="A26" s="22">
        <v>25.0</v>
      </c>
      <c r="B26" s="22" t="s">
        <v>34</v>
      </c>
      <c r="C26" s="24" t="s">
        <v>152</v>
      </c>
      <c r="D26" s="25">
        <v>44928.0</v>
      </c>
      <c r="E26" s="23">
        <v>1211.36</v>
      </c>
      <c r="F26" s="25"/>
      <c r="G26" s="23">
        <v>0.0</v>
      </c>
      <c r="H26" s="26">
        <f>IFERROR(__xludf.DUMMYFUNCTION("GOOGLEFINANCE(""NSE:""&amp;B26,""price"")"),1674.8)</f>
        <v>1674.8</v>
      </c>
      <c r="I26" s="22">
        <v>10.0</v>
      </c>
      <c r="J26" s="23">
        <f t="shared" si="1"/>
        <v>12113.6</v>
      </c>
      <c r="K26" s="23">
        <f t="shared" si="2"/>
        <v>12113.6</v>
      </c>
      <c r="L26" s="23">
        <f t="shared" si="3"/>
        <v>4634.4</v>
      </c>
      <c r="M26" s="27">
        <f t="shared" si="4"/>
        <v>0.3825782591</v>
      </c>
      <c r="N26" s="23">
        <f>IFERROR(__xludf.DUMMYFUNCTION("IF(G26&gt;0,0,GOOGLEFINANCE(""NSE:""&amp;B26,""change""))"),4.5)</f>
        <v>4.5</v>
      </c>
      <c r="O26" s="23">
        <f t="shared" si="5"/>
        <v>45</v>
      </c>
      <c r="P26" s="23">
        <f t="shared" si="6"/>
        <v>0</v>
      </c>
      <c r="Q26" s="27">
        <f t="shared" si="7"/>
        <v>0</v>
      </c>
      <c r="R26" s="23"/>
      <c r="S26" s="23"/>
      <c r="T26" s="23"/>
      <c r="U26" s="23"/>
      <c r="V26" s="23"/>
      <c r="W26" s="23"/>
      <c r="X26" s="23"/>
      <c r="Y26" s="23"/>
      <c r="Z26" s="27"/>
      <c r="AA26" s="23"/>
      <c r="AC26" s="78"/>
    </row>
    <row r="27" ht="22.5" customHeight="1">
      <c r="A27" s="22">
        <v>26.0</v>
      </c>
      <c r="B27" s="22" t="s">
        <v>69</v>
      </c>
      <c r="C27" s="24" t="s">
        <v>152</v>
      </c>
      <c r="D27" s="25"/>
      <c r="E27" s="23">
        <v>115.47</v>
      </c>
      <c r="F27" s="25"/>
      <c r="G27" s="23">
        <v>0.0</v>
      </c>
      <c r="H27" s="26">
        <f>IFERROR(__xludf.DUMMYFUNCTION("GOOGLEFINANCE(""NSE:""&amp;B27,""price"")"),170.82)</f>
        <v>170.82</v>
      </c>
      <c r="I27" s="22">
        <v>11.0</v>
      </c>
      <c r="J27" s="23">
        <f t="shared" si="1"/>
        <v>1270.17</v>
      </c>
      <c r="K27" s="23">
        <f t="shared" si="2"/>
        <v>1270.17</v>
      </c>
      <c r="L27" s="23">
        <f t="shared" si="3"/>
        <v>608.85</v>
      </c>
      <c r="M27" s="27">
        <f t="shared" si="4"/>
        <v>0.4793452845</v>
      </c>
      <c r="N27" s="23">
        <f>IFERROR(__xludf.DUMMYFUNCTION("IF(G27&gt;0,0,GOOGLEFINANCE(""NSE:""&amp;B27,""change""))"),1.6)</f>
        <v>1.6</v>
      </c>
      <c r="O27" s="23">
        <f t="shared" si="5"/>
        <v>17.6</v>
      </c>
      <c r="P27" s="23">
        <f t="shared" si="6"/>
        <v>0</v>
      </c>
      <c r="Q27" s="27">
        <f t="shared" si="7"/>
        <v>0</v>
      </c>
      <c r="R27" s="23"/>
      <c r="S27" s="23"/>
      <c r="T27" s="23"/>
      <c r="U27" s="23"/>
      <c r="V27" s="23"/>
      <c r="W27" s="23"/>
      <c r="X27" s="23"/>
      <c r="Y27" s="23"/>
      <c r="Z27" s="27"/>
      <c r="AA27" s="23"/>
      <c r="AC27" s="78"/>
    </row>
    <row r="28" ht="22.5" customHeight="1">
      <c r="A28" s="22">
        <v>27.0</v>
      </c>
      <c r="B28" s="22" t="s">
        <v>34</v>
      </c>
      <c r="C28" s="24" t="s">
        <v>152</v>
      </c>
      <c r="D28" s="25">
        <v>44954.0</v>
      </c>
      <c r="E28" s="23">
        <v>1211.36</v>
      </c>
      <c r="F28" s="25"/>
      <c r="G28" s="23">
        <v>0.0</v>
      </c>
      <c r="H28" s="26">
        <f>IFERROR(__xludf.DUMMYFUNCTION("GOOGLEFINANCE(""NSE:""&amp;B28,""price"")"),1674.8)</f>
        <v>1674.8</v>
      </c>
      <c r="I28" s="22">
        <v>7.0</v>
      </c>
      <c r="J28" s="23">
        <f t="shared" si="1"/>
        <v>8479.52</v>
      </c>
      <c r="K28" s="23">
        <f t="shared" si="2"/>
        <v>8479.52</v>
      </c>
      <c r="L28" s="23">
        <f t="shared" si="3"/>
        <v>3244.08</v>
      </c>
      <c r="M28" s="27">
        <f t="shared" si="4"/>
        <v>0.3825782591</v>
      </c>
      <c r="N28" s="23">
        <f>IFERROR(__xludf.DUMMYFUNCTION("IF(G28&gt;0,0,GOOGLEFINANCE(""NSE:""&amp;B28,""change""))"),4.5)</f>
        <v>4.5</v>
      </c>
      <c r="O28" s="23">
        <f t="shared" si="5"/>
        <v>31.5</v>
      </c>
      <c r="P28" s="23">
        <f t="shared" si="6"/>
        <v>0</v>
      </c>
      <c r="Q28" s="27">
        <f t="shared" si="7"/>
        <v>0</v>
      </c>
      <c r="R28" s="23"/>
      <c r="S28" s="23"/>
      <c r="T28" s="23"/>
      <c r="U28" s="23"/>
      <c r="V28" s="23"/>
      <c r="W28" s="23"/>
      <c r="X28" s="23"/>
      <c r="Y28" s="23"/>
      <c r="Z28" s="27"/>
      <c r="AA28" s="23"/>
      <c r="AC28" s="78"/>
    </row>
    <row r="29" ht="22.5" customHeight="1">
      <c r="A29" s="22">
        <v>28.0</v>
      </c>
      <c r="B29" s="22" t="s">
        <v>22</v>
      </c>
      <c r="C29" s="24" t="s">
        <v>136</v>
      </c>
      <c r="D29" s="25"/>
      <c r="E29" s="26">
        <v>223.25</v>
      </c>
      <c r="F29" s="25"/>
      <c r="G29" s="23">
        <v>0.0</v>
      </c>
      <c r="H29" s="26">
        <f>IFERROR(__xludf.DUMMYFUNCTION("GOOGLEFINANCE(""NSE:""&amp;B29,""price"")"),369.7)</f>
        <v>369.7</v>
      </c>
      <c r="I29" s="22">
        <v>23.0</v>
      </c>
      <c r="J29" s="23">
        <f t="shared" si="1"/>
        <v>5134.75</v>
      </c>
      <c r="K29" s="23">
        <f t="shared" si="2"/>
        <v>5134.75</v>
      </c>
      <c r="L29" s="23">
        <f t="shared" si="3"/>
        <v>3368.35</v>
      </c>
      <c r="M29" s="27">
        <f t="shared" si="4"/>
        <v>0.6559910414</v>
      </c>
      <c r="N29" s="23">
        <f>IFERROR(__xludf.DUMMYFUNCTION("IF(G29&gt;0,0,GOOGLEFINANCE(""NSE:""&amp;B29,""change""))"),-0.2)</f>
        <v>-0.2</v>
      </c>
      <c r="O29" s="23">
        <f t="shared" si="5"/>
        <v>-4.6</v>
      </c>
      <c r="P29" s="23">
        <f t="shared" si="6"/>
        <v>0</v>
      </c>
      <c r="Q29" s="27">
        <f t="shared" si="7"/>
        <v>0</v>
      </c>
      <c r="R29" s="23"/>
      <c r="S29" s="23"/>
      <c r="T29" s="23"/>
      <c r="U29" s="23"/>
      <c r="V29" s="23"/>
      <c r="W29" s="23"/>
      <c r="X29" s="23"/>
      <c r="Y29" s="23"/>
      <c r="Z29" s="27"/>
      <c r="AA29" s="23"/>
      <c r="AC29" s="78"/>
    </row>
    <row r="30" ht="22.5" customHeight="1">
      <c r="A30" s="22">
        <v>29.0</v>
      </c>
      <c r="B30" s="22" t="s">
        <v>166</v>
      </c>
      <c r="C30" s="24" t="s">
        <v>136</v>
      </c>
      <c r="D30" s="25">
        <v>44259.0</v>
      </c>
      <c r="E30" s="23">
        <v>210.0</v>
      </c>
      <c r="F30" s="25">
        <v>45660.0</v>
      </c>
      <c r="G30" s="23">
        <v>427.0</v>
      </c>
      <c r="H30" s="26">
        <f>IFERROR(__xludf.DUMMYFUNCTION("GOOGLEFINANCE(""NSE:""&amp;B30,""price"")"),370.5)</f>
        <v>370.5</v>
      </c>
      <c r="I30" s="22">
        <v>25.0</v>
      </c>
      <c r="J30" s="23">
        <f t="shared" si="1"/>
        <v>5250</v>
      </c>
      <c r="K30" s="23">
        <f t="shared" si="2"/>
        <v>15925</v>
      </c>
      <c r="L30" s="23">
        <f t="shared" si="3"/>
        <v>0</v>
      </c>
      <c r="M30" s="27">
        <f t="shared" si="4"/>
        <v>0</v>
      </c>
      <c r="N30" s="23">
        <f>IFERROR(__xludf.DUMMYFUNCTION("IF(G30&gt;0,0,GOOGLEFINANCE(""NSE:""&amp;B30,""change""))"),0.0)</f>
        <v>0</v>
      </c>
      <c r="O30" s="23">
        <f t="shared" si="5"/>
        <v>0</v>
      </c>
      <c r="P30" s="23">
        <f t="shared" si="6"/>
        <v>5425</v>
      </c>
      <c r="Q30" s="27">
        <f t="shared" si="7"/>
        <v>1.033333333</v>
      </c>
      <c r="R30" s="23"/>
      <c r="S30" s="23"/>
      <c r="T30" s="23"/>
      <c r="U30" s="23"/>
      <c r="V30" s="23"/>
      <c r="W30" s="23"/>
      <c r="X30" s="23"/>
      <c r="Y30" s="23"/>
      <c r="Z30" s="27"/>
      <c r="AA30" s="23"/>
      <c r="AC30" s="78"/>
    </row>
    <row r="31" ht="22.5" customHeight="1">
      <c r="A31" s="22">
        <v>30.0</v>
      </c>
      <c r="B31" s="22" t="s">
        <v>166</v>
      </c>
      <c r="C31" s="24" t="s">
        <v>136</v>
      </c>
      <c r="D31" s="25">
        <v>44259.0</v>
      </c>
      <c r="E31" s="23">
        <v>210.0</v>
      </c>
      <c r="F31" s="25">
        <v>45614.0</v>
      </c>
      <c r="G31" s="23">
        <v>414.85</v>
      </c>
      <c r="H31" s="26">
        <f>IFERROR(__xludf.DUMMYFUNCTION("GOOGLEFINANCE(""NSE:""&amp;B31,""price"")"),370.5)</f>
        <v>370.5</v>
      </c>
      <c r="I31" s="22">
        <v>25.0</v>
      </c>
      <c r="J31" s="23">
        <f t="shared" si="1"/>
        <v>5250</v>
      </c>
      <c r="K31" s="23">
        <f t="shared" si="2"/>
        <v>15621.25</v>
      </c>
      <c r="L31" s="23">
        <f t="shared" si="3"/>
        <v>0</v>
      </c>
      <c r="M31" s="27">
        <f t="shared" si="4"/>
        <v>0</v>
      </c>
      <c r="N31" s="23">
        <f>IFERROR(__xludf.DUMMYFUNCTION("IF(G31&gt;0,0,GOOGLEFINANCE(""NSE:""&amp;B31,""change""))"),0.0)</f>
        <v>0</v>
      </c>
      <c r="O31" s="23">
        <f t="shared" si="5"/>
        <v>0</v>
      </c>
      <c r="P31" s="23">
        <f t="shared" si="6"/>
        <v>5121.25</v>
      </c>
      <c r="Q31" s="27">
        <f t="shared" si="7"/>
        <v>0.9754761905</v>
      </c>
      <c r="R31" s="23"/>
      <c r="S31" s="23"/>
      <c r="T31" s="23"/>
      <c r="U31" s="23"/>
      <c r="V31" s="23"/>
      <c r="W31" s="23"/>
      <c r="X31" s="23"/>
      <c r="Y31" s="23"/>
      <c r="Z31" s="27"/>
      <c r="AA31" s="23"/>
      <c r="AC31" s="78"/>
    </row>
    <row r="32" ht="22.5" customHeight="1">
      <c r="A32" s="22">
        <v>31.0</v>
      </c>
      <c r="B32" s="22" t="s">
        <v>68</v>
      </c>
      <c r="C32" s="24" t="s">
        <v>136</v>
      </c>
      <c r="D32" s="25"/>
      <c r="E32" s="23">
        <v>225.15</v>
      </c>
      <c r="F32" s="25"/>
      <c r="G32" s="23">
        <v>0.0</v>
      </c>
      <c r="H32" s="26">
        <f>IFERROR(__xludf.DUMMYFUNCTION("GOOGLEFINANCE(""NSE:""&amp;B32,""price"")"),382.4)</f>
        <v>382.4</v>
      </c>
      <c r="I32" s="22">
        <v>27.0</v>
      </c>
      <c r="J32" s="23">
        <f t="shared" si="1"/>
        <v>6079.05</v>
      </c>
      <c r="K32" s="23">
        <f t="shared" si="2"/>
        <v>6079.05</v>
      </c>
      <c r="L32" s="23">
        <f t="shared" si="3"/>
        <v>4245.75</v>
      </c>
      <c r="M32" s="27">
        <f t="shared" si="4"/>
        <v>0.6984232734</v>
      </c>
      <c r="N32" s="23">
        <f>IFERROR(__xludf.DUMMYFUNCTION("IF(G32&gt;0,0,GOOGLEFINANCE(""NSE:""&amp;B32,""change""))"),1.6)</f>
        <v>1.6</v>
      </c>
      <c r="O32" s="23">
        <f t="shared" si="5"/>
        <v>43.2</v>
      </c>
      <c r="P32" s="23">
        <f t="shared" si="6"/>
        <v>0</v>
      </c>
      <c r="Q32" s="27">
        <f t="shared" si="7"/>
        <v>0</v>
      </c>
      <c r="R32" s="23"/>
      <c r="S32" s="23"/>
      <c r="T32" s="23"/>
      <c r="U32" s="23"/>
      <c r="V32" s="23"/>
      <c r="W32" s="23"/>
      <c r="X32" s="23"/>
      <c r="Y32" s="23"/>
      <c r="Z32" s="27"/>
      <c r="AA32" s="23"/>
      <c r="AC32" s="78"/>
    </row>
    <row r="33" ht="22.5" customHeight="1">
      <c r="A33" s="22">
        <v>32.0</v>
      </c>
      <c r="B33" s="22" t="s">
        <v>50</v>
      </c>
      <c r="C33" s="24" t="s">
        <v>136</v>
      </c>
      <c r="D33" s="25"/>
      <c r="E33" s="23">
        <v>76.0</v>
      </c>
      <c r="F33" s="25"/>
      <c r="G33" s="23">
        <v>0.0</v>
      </c>
      <c r="H33" s="26">
        <f>IFERROR(__xludf.DUMMYFUNCTION("GOOGLEFINANCE(""NSE:""&amp;B33,""price"")"),284.25)</f>
        <v>284.25</v>
      </c>
      <c r="I33" s="22">
        <v>75.0</v>
      </c>
      <c r="J33" s="23">
        <f t="shared" si="1"/>
        <v>5700</v>
      </c>
      <c r="K33" s="23">
        <f t="shared" si="2"/>
        <v>5700</v>
      </c>
      <c r="L33" s="23">
        <f t="shared" si="3"/>
        <v>15618.75</v>
      </c>
      <c r="M33" s="27">
        <f t="shared" si="4"/>
        <v>2.740131579</v>
      </c>
      <c r="N33" s="23">
        <f>IFERROR(__xludf.DUMMYFUNCTION("IF(G33&gt;0,0,GOOGLEFINANCE(""NSE:""&amp;B33,""change""))"),-2.45)</f>
        <v>-2.45</v>
      </c>
      <c r="O33" s="23">
        <f t="shared" si="5"/>
        <v>-183.75</v>
      </c>
      <c r="P33" s="23">
        <f t="shared" si="6"/>
        <v>0</v>
      </c>
      <c r="Q33" s="27">
        <f t="shared" si="7"/>
        <v>0</v>
      </c>
      <c r="R33" s="23"/>
      <c r="S33" s="23"/>
      <c r="T33" s="23"/>
      <c r="U33" s="23"/>
      <c r="V33" s="23"/>
      <c r="W33" s="23"/>
      <c r="X33" s="23"/>
      <c r="Y33" s="23"/>
      <c r="Z33" s="27"/>
      <c r="AA33" s="23"/>
      <c r="AC33" s="78"/>
    </row>
    <row r="34" ht="22.5" customHeight="1">
      <c r="A34" s="22">
        <v>33.0</v>
      </c>
      <c r="B34" s="22" t="s">
        <v>169</v>
      </c>
      <c r="C34" s="24" t="s">
        <v>136</v>
      </c>
      <c r="D34" s="25"/>
      <c r="E34" s="23">
        <v>501.65</v>
      </c>
      <c r="F34" s="25"/>
      <c r="G34" s="23">
        <v>0.0</v>
      </c>
      <c r="H34" s="26" t="str">
        <f>IFERROR(__xludf.DUMMYFUNCTION("GOOGLEFINANCE(""NSE:""&amp;B34,""price"")"),"#N/A")</f>
        <v>#N/A</v>
      </c>
      <c r="I34" s="22">
        <v>4.0</v>
      </c>
      <c r="J34" s="23">
        <f t="shared" si="1"/>
        <v>2006.6</v>
      </c>
      <c r="K34" s="23">
        <f t="shared" si="2"/>
        <v>2006.6</v>
      </c>
      <c r="L34" s="23" t="str">
        <f t="shared" si="3"/>
        <v>#N/A</v>
      </c>
      <c r="M34" s="27" t="str">
        <f t="shared" si="4"/>
        <v>#N/A</v>
      </c>
      <c r="N34" s="23" t="str">
        <f>IFERROR(__xludf.DUMMYFUNCTION("IF(G34&gt;0,0,GOOGLEFINANCE(""NSE:""&amp;B34,""change""))"),"#N/A")</f>
        <v>#N/A</v>
      </c>
      <c r="O34" s="23" t="str">
        <f t="shared" si="5"/>
        <v>#N/A</v>
      </c>
      <c r="P34" s="23">
        <f t="shared" si="6"/>
        <v>0</v>
      </c>
      <c r="Q34" s="27">
        <f t="shared" si="7"/>
        <v>0</v>
      </c>
      <c r="R34" s="23"/>
      <c r="S34" s="23"/>
      <c r="T34" s="23"/>
      <c r="U34" s="23"/>
      <c r="V34" s="23"/>
      <c r="W34" s="23"/>
      <c r="X34" s="23"/>
      <c r="Y34" s="23"/>
      <c r="Z34" s="27"/>
      <c r="AA34" s="23"/>
      <c r="AC34" s="78"/>
    </row>
    <row r="35" ht="22.5" customHeight="1">
      <c r="A35" s="22">
        <v>34.0</v>
      </c>
      <c r="B35" s="22" t="s">
        <v>51</v>
      </c>
      <c r="C35" s="24" t="s">
        <v>136</v>
      </c>
      <c r="D35" s="25"/>
      <c r="E35" s="23">
        <v>715.0</v>
      </c>
      <c r="F35" s="25">
        <v>45813.0</v>
      </c>
      <c r="G35" s="23">
        <v>495.7</v>
      </c>
      <c r="H35" s="26">
        <f>IFERROR(__xludf.DUMMYFUNCTION("GOOGLEFINANCE(""NSE:""&amp;B35,""price"")"),271.3)</f>
        <v>271.3</v>
      </c>
      <c r="I35" s="22">
        <v>18.0</v>
      </c>
      <c r="J35" s="23">
        <f t="shared" si="1"/>
        <v>12870</v>
      </c>
      <c r="K35" s="23">
        <f t="shared" si="2"/>
        <v>21792.6</v>
      </c>
      <c r="L35" s="23">
        <f t="shared" ref="L35:L43" si="20">IFNA(IF(G35&gt;0,0,(H35-E35)*I35),0)</f>
        <v>0</v>
      </c>
      <c r="M35" s="27">
        <f t="shared" ref="M35:M43" si="21">IFNA(IF(G35&gt;0,0,(H35-E35)/E35),0)</f>
        <v>0</v>
      </c>
      <c r="N35" s="23">
        <f>IFERROR(__xludf.DUMMYFUNCTION("IF(G35&gt;0,0,GOOGLEFINANCE(""NSE:""&amp;B35,""change""))"),0.0)</f>
        <v>0</v>
      </c>
      <c r="O35" s="23">
        <f t="shared" si="5"/>
        <v>0</v>
      </c>
      <c r="P35" s="23">
        <f t="shared" si="6"/>
        <v>-3947.4</v>
      </c>
      <c r="Q35" s="27">
        <f t="shared" si="7"/>
        <v>-0.3067132867</v>
      </c>
      <c r="R35" s="23"/>
      <c r="S35" s="23"/>
      <c r="T35" s="23"/>
      <c r="U35" s="23"/>
      <c r="V35" s="23"/>
      <c r="W35" s="23"/>
      <c r="X35" s="23"/>
      <c r="Y35" s="23"/>
      <c r="Z35" s="27"/>
      <c r="AA35" s="23"/>
      <c r="AC35" s="78"/>
    </row>
    <row r="36" ht="22.5" customHeight="1">
      <c r="A36" s="22">
        <v>35.0</v>
      </c>
      <c r="B36" s="22" t="s">
        <v>27</v>
      </c>
      <c r="C36" s="24" t="s">
        <v>153</v>
      </c>
      <c r="D36" s="25">
        <v>45204.0</v>
      </c>
      <c r="E36" s="23">
        <v>74.69</v>
      </c>
      <c r="F36" s="25"/>
      <c r="G36" s="23">
        <v>0.0</v>
      </c>
      <c r="H36" s="26">
        <f>IFERROR(__xludf.DUMMYFUNCTION("GOOGLEFINANCE(""NSE:""&amp;B36,""price"")"),116.72)</f>
        <v>116.72</v>
      </c>
      <c r="I36" s="22">
        <v>48.0</v>
      </c>
      <c r="J36" s="23">
        <f t="shared" si="1"/>
        <v>3585.12</v>
      </c>
      <c r="K36" s="23">
        <f t="shared" si="2"/>
        <v>3585.12</v>
      </c>
      <c r="L36" s="23">
        <f t="shared" si="20"/>
        <v>2017.44</v>
      </c>
      <c r="M36" s="27">
        <f t="shared" si="21"/>
        <v>0.5627259339</v>
      </c>
      <c r="N36" s="23">
        <f>IFERROR(__xludf.DUMMYFUNCTION("IF(G36&gt;0,0,GOOGLEFINANCE(""NSE:""&amp;B36,""change""))"),0.58)</f>
        <v>0.58</v>
      </c>
      <c r="O36" s="23">
        <f t="shared" si="5"/>
        <v>27.84</v>
      </c>
      <c r="P36" s="23">
        <f t="shared" si="6"/>
        <v>0</v>
      </c>
      <c r="Q36" s="27">
        <f t="shared" si="7"/>
        <v>0</v>
      </c>
      <c r="R36" s="23"/>
      <c r="S36" s="23"/>
      <c r="T36" s="23"/>
      <c r="U36" s="23"/>
      <c r="V36" s="23"/>
      <c r="W36" s="23"/>
      <c r="X36" s="23"/>
      <c r="Y36" s="23"/>
      <c r="Z36" s="27"/>
      <c r="AA36" s="23"/>
      <c r="AB36" s="42"/>
      <c r="AC36" s="66"/>
    </row>
    <row r="37" ht="22.5" customHeight="1">
      <c r="A37" s="22">
        <v>36.0</v>
      </c>
      <c r="B37" s="22" t="s">
        <v>32</v>
      </c>
      <c r="C37" s="24" t="s">
        <v>147</v>
      </c>
      <c r="D37" s="25">
        <v>45259.0</v>
      </c>
      <c r="E37" s="23">
        <v>32.0</v>
      </c>
      <c r="F37" s="25">
        <v>45259.0</v>
      </c>
      <c r="G37" s="23">
        <v>52.8</v>
      </c>
      <c r="H37" s="26">
        <f>IFERROR(__xludf.DUMMYFUNCTION("GOOGLEFINANCE(""NSE:""&amp;B37,""price"")"),139.0)</f>
        <v>139</v>
      </c>
      <c r="I37" s="22">
        <v>160.0</v>
      </c>
      <c r="J37" s="23">
        <f t="shared" si="1"/>
        <v>5120</v>
      </c>
      <c r="K37" s="23">
        <f t="shared" si="2"/>
        <v>13568</v>
      </c>
      <c r="L37" s="23">
        <f t="shared" si="20"/>
        <v>0</v>
      </c>
      <c r="M37" s="27">
        <f t="shared" si="21"/>
        <v>0</v>
      </c>
      <c r="N37" s="23">
        <f>IFERROR(__xludf.DUMMYFUNCTION("IFNA(IF(G37&gt;0,0,GOOGLEFINANCE(""NSE:""&amp;B37,""change"")),0)"),0.0)</f>
        <v>0</v>
      </c>
      <c r="O37" s="23">
        <f t="shared" si="5"/>
        <v>0</v>
      </c>
      <c r="P37" s="23">
        <f t="shared" si="6"/>
        <v>3328</v>
      </c>
      <c r="Q37" s="27">
        <f t="shared" si="7"/>
        <v>0.65</v>
      </c>
      <c r="R37" s="23"/>
      <c r="S37" s="23"/>
      <c r="T37" s="23"/>
      <c r="U37" s="23"/>
      <c r="V37" s="23"/>
      <c r="W37" s="23"/>
      <c r="X37" s="23"/>
      <c r="Y37" s="23"/>
      <c r="Z37" s="27"/>
      <c r="AA37" s="23"/>
      <c r="AB37" s="42" t="s">
        <v>127</v>
      </c>
      <c r="AC37" s="66"/>
    </row>
    <row r="38" ht="22.5" customHeight="1">
      <c r="A38" s="22">
        <v>37.0</v>
      </c>
      <c r="B38" s="22" t="s">
        <v>32</v>
      </c>
      <c r="C38" s="24" t="s">
        <v>147</v>
      </c>
      <c r="D38" s="25">
        <v>45259.0</v>
      </c>
      <c r="E38" s="23">
        <v>32.0</v>
      </c>
      <c r="F38" s="80">
        <v>45348.0</v>
      </c>
      <c r="G38" s="23">
        <v>151.5</v>
      </c>
      <c r="H38" s="26">
        <f>IFERROR(__xludf.DUMMYFUNCTION("GOOGLEFINANCE(""NSE:""&amp;B38,""price"")"),139.0)</f>
        <v>139</v>
      </c>
      <c r="I38" s="22">
        <v>300.0</v>
      </c>
      <c r="J38" s="23">
        <f t="shared" si="1"/>
        <v>9600</v>
      </c>
      <c r="K38" s="23">
        <f t="shared" si="2"/>
        <v>55050</v>
      </c>
      <c r="L38" s="23">
        <f t="shared" si="20"/>
        <v>0</v>
      </c>
      <c r="M38" s="27">
        <f t="shared" si="21"/>
        <v>0</v>
      </c>
      <c r="N38" s="23">
        <f>IFERROR(__xludf.DUMMYFUNCTION("IFNA(IF(G38&gt;0,0,GOOGLEFINANCE(""NSE:""&amp;B38,""change"")),0)"),0.0)</f>
        <v>0</v>
      </c>
      <c r="O38" s="23">
        <f t="shared" si="5"/>
        <v>0</v>
      </c>
      <c r="P38" s="23">
        <f t="shared" si="6"/>
        <v>35850</v>
      </c>
      <c r="Q38" s="27">
        <f t="shared" si="7"/>
        <v>3.734375</v>
      </c>
      <c r="R38" s="81"/>
      <c r="S38" s="81"/>
      <c r="T38" s="81"/>
      <c r="U38" s="81"/>
      <c r="V38" s="81"/>
      <c r="W38" s="81"/>
      <c r="X38" s="81"/>
      <c r="Y38" s="81"/>
      <c r="Z38" s="82"/>
      <c r="AA38" s="81"/>
      <c r="AB38" s="42" t="s">
        <v>127</v>
      </c>
      <c r="AC38" s="66"/>
    </row>
    <row r="39" ht="22.5" customHeight="1">
      <c r="A39" s="22">
        <v>38.0</v>
      </c>
      <c r="B39" s="22" t="s">
        <v>70</v>
      </c>
      <c r="C39" s="24" t="s">
        <v>147</v>
      </c>
      <c r="D39" s="25">
        <v>45260.0</v>
      </c>
      <c r="E39" s="23">
        <v>500.0</v>
      </c>
      <c r="F39" s="25">
        <v>45260.0</v>
      </c>
      <c r="G39" s="23">
        <v>1305.4</v>
      </c>
      <c r="H39" s="26">
        <f>IFERROR(__xludf.DUMMYFUNCTION("GOOGLEFINANCE(""NSE:""&amp;B39,""price"")"),661.1)</f>
        <v>661.1</v>
      </c>
      <c r="I39" s="22">
        <v>10.0</v>
      </c>
      <c r="J39" s="23">
        <f t="shared" si="1"/>
        <v>5000</v>
      </c>
      <c r="K39" s="23">
        <f t="shared" si="2"/>
        <v>18054</v>
      </c>
      <c r="L39" s="23">
        <f t="shared" si="20"/>
        <v>0</v>
      </c>
      <c r="M39" s="27">
        <f t="shared" si="21"/>
        <v>0</v>
      </c>
      <c r="N39" s="23">
        <f>IFERROR(__xludf.DUMMYFUNCTION("IFNA(IF(G39&gt;0,0,GOOGLEFINANCE(""NSE:""&amp;B39,""change"")),0)"),0.0)</f>
        <v>0</v>
      </c>
      <c r="O39" s="23">
        <f t="shared" si="5"/>
        <v>0</v>
      </c>
      <c r="P39" s="23">
        <f t="shared" si="6"/>
        <v>8054</v>
      </c>
      <c r="Q39" s="27">
        <f t="shared" si="7"/>
        <v>1.6108</v>
      </c>
      <c r="R39" s="81"/>
      <c r="S39" s="81"/>
      <c r="T39" s="81"/>
      <c r="U39" s="81"/>
      <c r="V39" s="81"/>
      <c r="W39" s="81"/>
      <c r="X39" s="81"/>
      <c r="Y39" s="81"/>
      <c r="Z39" s="82"/>
      <c r="AA39" s="81"/>
      <c r="AB39" s="42" t="s">
        <v>127</v>
      </c>
      <c r="AC39" s="66"/>
    </row>
    <row r="40" ht="22.5" customHeight="1">
      <c r="A40" s="22">
        <v>39.0</v>
      </c>
      <c r="B40" s="22" t="s">
        <v>70</v>
      </c>
      <c r="C40" s="24" t="s">
        <v>147</v>
      </c>
      <c r="D40" s="25">
        <v>45260.0</v>
      </c>
      <c r="E40" s="23">
        <v>500.0</v>
      </c>
      <c r="F40" s="25">
        <v>45404.0</v>
      </c>
      <c r="G40" s="75">
        <v>1051.75</v>
      </c>
      <c r="H40" s="26">
        <f>IFERROR(__xludf.DUMMYFUNCTION("GOOGLEFINANCE(""NSE:""&amp;B40,""price"")"),661.1)</f>
        <v>661.1</v>
      </c>
      <c r="I40" s="22">
        <v>20.0</v>
      </c>
      <c r="J40" s="23">
        <f t="shared" si="1"/>
        <v>10000</v>
      </c>
      <c r="K40" s="23">
        <f t="shared" si="2"/>
        <v>31035</v>
      </c>
      <c r="L40" s="23">
        <f t="shared" si="20"/>
        <v>0</v>
      </c>
      <c r="M40" s="27">
        <f t="shared" si="21"/>
        <v>0</v>
      </c>
      <c r="N40" s="23">
        <f>IFERROR(__xludf.DUMMYFUNCTION("IFNA(IF(G40&gt;0,0,GOOGLEFINANCE(""NSE:""&amp;B40,""change"")),0)"),0.0)</f>
        <v>0</v>
      </c>
      <c r="O40" s="23">
        <f t="shared" si="5"/>
        <v>0</v>
      </c>
      <c r="P40" s="23">
        <f t="shared" si="6"/>
        <v>11035</v>
      </c>
      <c r="Q40" s="27">
        <f t="shared" si="7"/>
        <v>1.1035</v>
      </c>
      <c r="R40" s="81"/>
      <c r="S40" s="81"/>
      <c r="T40" s="81"/>
      <c r="U40" s="81"/>
      <c r="V40" s="81"/>
      <c r="W40" s="81"/>
      <c r="X40" s="81"/>
      <c r="Y40" s="81"/>
      <c r="Z40" s="82"/>
      <c r="AA40" s="81"/>
      <c r="AB40" s="42" t="s">
        <v>127</v>
      </c>
      <c r="AC40" s="66"/>
    </row>
    <row r="41" ht="22.5" customHeight="1">
      <c r="A41" s="22">
        <v>40.0</v>
      </c>
      <c r="B41" s="22" t="s">
        <v>31</v>
      </c>
      <c r="C41" s="24" t="s">
        <v>136</v>
      </c>
      <c r="D41" s="25">
        <v>45261.0</v>
      </c>
      <c r="E41" s="23">
        <v>86.0</v>
      </c>
      <c r="F41" s="25"/>
      <c r="G41" s="23">
        <v>0.0</v>
      </c>
      <c r="H41" s="26">
        <f>IFERROR(__xludf.DUMMYFUNCTION("GOOGLEFINANCE(""NSE:""&amp;B41,""price"")"),84.9)</f>
        <v>84.9</v>
      </c>
      <c r="I41" s="22">
        <v>35.0</v>
      </c>
      <c r="J41" s="23">
        <f t="shared" si="1"/>
        <v>3010</v>
      </c>
      <c r="K41" s="23">
        <f t="shared" si="2"/>
        <v>3010</v>
      </c>
      <c r="L41" s="23">
        <f t="shared" si="20"/>
        <v>-38.5</v>
      </c>
      <c r="M41" s="27">
        <f t="shared" si="21"/>
        <v>-0.01279069767</v>
      </c>
      <c r="N41" s="23">
        <f>IFERROR(__xludf.DUMMYFUNCTION("IFNA(IF(G41&gt;0,0,GOOGLEFINANCE(""NSE:""&amp;B41,""change"")),0)"),-0.45)</f>
        <v>-0.45</v>
      </c>
      <c r="O41" s="23">
        <f t="shared" si="5"/>
        <v>-15.75</v>
      </c>
      <c r="P41" s="23">
        <f t="shared" si="6"/>
        <v>0</v>
      </c>
      <c r="Q41" s="27">
        <f t="shared" si="7"/>
        <v>0</v>
      </c>
      <c r="R41" s="81"/>
      <c r="S41" s="81"/>
      <c r="T41" s="81"/>
      <c r="U41" s="81"/>
      <c r="V41" s="81"/>
      <c r="W41" s="81"/>
      <c r="X41" s="81"/>
      <c r="Y41" s="81"/>
      <c r="Z41" s="82"/>
      <c r="AA41" s="81"/>
      <c r="AC41" s="78"/>
    </row>
    <row r="42" ht="22.5" customHeight="1">
      <c r="A42" s="22">
        <v>41.0</v>
      </c>
      <c r="B42" s="22" t="s">
        <v>31</v>
      </c>
      <c r="C42" s="24" t="s">
        <v>136</v>
      </c>
      <c r="D42" s="25">
        <v>45289.0</v>
      </c>
      <c r="E42" s="23">
        <v>88.25</v>
      </c>
      <c r="F42" s="25"/>
      <c r="G42" s="23">
        <v>0.0</v>
      </c>
      <c r="H42" s="26">
        <f>IFERROR(__xludf.DUMMYFUNCTION("GOOGLEFINANCE(""NSE:""&amp;B42,""price"")"),84.9)</f>
        <v>84.9</v>
      </c>
      <c r="I42" s="22">
        <v>35.0</v>
      </c>
      <c r="J42" s="23">
        <f t="shared" si="1"/>
        <v>3088.75</v>
      </c>
      <c r="K42" s="23">
        <f t="shared" si="2"/>
        <v>3088.75</v>
      </c>
      <c r="L42" s="23">
        <f t="shared" si="20"/>
        <v>-117.25</v>
      </c>
      <c r="M42" s="27">
        <f t="shared" si="21"/>
        <v>-0.03796033994</v>
      </c>
      <c r="N42" s="23">
        <f>IFERROR(__xludf.DUMMYFUNCTION("IFNA(IF(G42&gt;0,0,GOOGLEFINANCE(""NSE:""&amp;B42,""change"")),0)"),-0.45)</f>
        <v>-0.45</v>
      </c>
      <c r="O42" s="23">
        <f t="shared" si="5"/>
        <v>-15.75</v>
      </c>
      <c r="P42" s="23">
        <f t="shared" si="6"/>
        <v>0</v>
      </c>
      <c r="Q42" s="27">
        <f t="shared" si="7"/>
        <v>0</v>
      </c>
      <c r="R42" s="81"/>
      <c r="S42" s="81"/>
      <c r="T42" s="81"/>
      <c r="U42" s="81"/>
      <c r="V42" s="81"/>
      <c r="W42" s="81"/>
      <c r="X42" s="81"/>
      <c r="Y42" s="81"/>
      <c r="Z42" s="82"/>
      <c r="AA42" s="81"/>
      <c r="AC42" s="78"/>
    </row>
    <row r="43" ht="22.5" customHeight="1">
      <c r="A43" s="22">
        <v>42.0</v>
      </c>
      <c r="B43" s="22" t="s">
        <v>168</v>
      </c>
      <c r="C43" s="24" t="s">
        <v>147</v>
      </c>
      <c r="D43" s="25">
        <v>45287.0</v>
      </c>
      <c r="E43" s="23">
        <v>850.0</v>
      </c>
      <c r="F43" s="25">
        <v>45287.0</v>
      </c>
      <c r="G43" s="23">
        <v>1010.45</v>
      </c>
      <c r="H43" s="26">
        <f>IFERROR(__xludf.DUMMYFUNCTION("GOOGLEFINANCE(""NSE:""&amp;B43,""price"")"),1096.0)</f>
        <v>1096</v>
      </c>
      <c r="I43" s="22">
        <v>17.0</v>
      </c>
      <c r="J43" s="23">
        <f t="shared" si="1"/>
        <v>14450</v>
      </c>
      <c r="K43" s="23">
        <f t="shared" si="2"/>
        <v>31627.65</v>
      </c>
      <c r="L43" s="23">
        <f t="shared" si="20"/>
        <v>0</v>
      </c>
      <c r="M43" s="27">
        <f t="shared" si="21"/>
        <v>0</v>
      </c>
      <c r="N43" s="23">
        <f>IFERROR(__xludf.DUMMYFUNCTION("IFNA(IF(G43&gt;0,0,GOOGLEFINANCE(""NSE:""&amp;B43,""change"")),0)"),0.0)</f>
        <v>0</v>
      </c>
      <c r="O43" s="23">
        <f t="shared" si="5"/>
        <v>0</v>
      </c>
      <c r="P43" s="23">
        <f t="shared" si="6"/>
        <v>2727.65</v>
      </c>
      <c r="Q43" s="27">
        <f t="shared" si="7"/>
        <v>0.1887647059</v>
      </c>
      <c r="R43" s="81"/>
      <c r="S43" s="81"/>
      <c r="T43" s="81"/>
      <c r="U43" s="81"/>
      <c r="V43" s="81"/>
      <c r="W43" s="81"/>
      <c r="X43" s="81"/>
      <c r="Y43" s="81"/>
      <c r="Z43" s="82"/>
      <c r="AA43" s="81"/>
      <c r="AB43" s="42" t="s">
        <v>127</v>
      </c>
      <c r="AC43" s="66"/>
    </row>
    <row r="44" ht="22.5" customHeight="1">
      <c r="A44" s="22">
        <v>43.0</v>
      </c>
      <c r="B44" s="23" t="s">
        <v>25</v>
      </c>
      <c r="C44" s="24" t="s">
        <v>136</v>
      </c>
      <c r="D44" s="25">
        <v>45288.0</v>
      </c>
      <c r="E44" s="23">
        <v>524.0</v>
      </c>
      <c r="F44" s="25">
        <v>45288.0</v>
      </c>
      <c r="G44" s="23">
        <v>722.75</v>
      </c>
      <c r="H44" s="26">
        <f>IFERROR(__xludf.DUMMYFUNCTION("GOOGLEFINANCE(""NSE:""&amp;B44,""price"")"),1658.0)</f>
        <v>1658</v>
      </c>
      <c r="I44" s="22">
        <v>20.0</v>
      </c>
      <c r="J44" s="23">
        <f t="shared" si="1"/>
        <v>10480</v>
      </c>
      <c r="K44" s="23">
        <f t="shared" si="2"/>
        <v>24935</v>
      </c>
      <c r="L44" s="23">
        <f t="shared" ref="L44:L88" si="22">IF(G44&gt;0,0,(H44-E44)*I44)</f>
        <v>0</v>
      </c>
      <c r="M44" s="27">
        <f t="shared" ref="M44:M102" si="23">IF(G44&gt;0,0,(H44-E44)/E44)</f>
        <v>0</v>
      </c>
      <c r="N44" s="23">
        <f>IFERROR(__xludf.DUMMYFUNCTION("IF(G44&gt;0,0,GOOGLEFINANCE(""NSE:""&amp;B44,""change""))"),0.0)</f>
        <v>0</v>
      </c>
      <c r="O44" s="23">
        <f t="shared" si="5"/>
        <v>0</v>
      </c>
      <c r="P44" s="23">
        <f t="shared" si="6"/>
        <v>3975</v>
      </c>
      <c r="Q44" s="27">
        <f t="shared" si="7"/>
        <v>0.3792938931</v>
      </c>
      <c r="R44" s="81"/>
      <c r="S44" s="81"/>
      <c r="T44" s="81"/>
      <c r="U44" s="81"/>
      <c r="V44" s="81"/>
      <c r="W44" s="81"/>
      <c r="X44" s="81"/>
      <c r="Y44" s="81"/>
      <c r="Z44" s="82"/>
      <c r="AA44" s="81"/>
      <c r="AB44" s="42" t="s">
        <v>127</v>
      </c>
      <c r="AC44" s="66"/>
    </row>
    <row r="45" ht="22.5" customHeight="1">
      <c r="A45" s="22">
        <v>44.0</v>
      </c>
      <c r="B45" s="23" t="s">
        <v>25</v>
      </c>
      <c r="C45" s="24" t="s">
        <v>136</v>
      </c>
      <c r="D45" s="25">
        <v>45288.0</v>
      </c>
      <c r="E45" s="23">
        <v>524.0</v>
      </c>
      <c r="F45" s="25">
        <v>45852.0</v>
      </c>
      <c r="G45" s="23">
        <v>1549.15</v>
      </c>
      <c r="H45" s="26">
        <f>IFERROR(__xludf.DUMMYFUNCTION("GOOGLEFINANCE(""NSE:""&amp;B45,""price"")"),1658.0)</f>
        <v>1658</v>
      </c>
      <c r="I45" s="22">
        <v>8.0</v>
      </c>
      <c r="J45" s="23">
        <f t="shared" si="1"/>
        <v>4192</v>
      </c>
      <c r="K45" s="23">
        <f t="shared" si="2"/>
        <v>16585.2</v>
      </c>
      <c r="L45" s="23">
        <f t="shared" si="22"/>
        <v>0</v>
      </c>
      <c r="M45" s="27">
        <f t="shared" si="23"/>
        <v>0</v>
      </c>
      <c r="N45" s="23">
        <f>IFERROR(__xludf.DUMMYFUNCTION("IF(G45&gt;0,0,GOOGLEFINANCE(""NSE:""&amp;B45,""change""))"),0.0)</f>
        <v>0</v>
      </c>
      <c r="O45" s="23">
        <f t="shared" si="5"/>
        <v>0</v>
      </c>
      <c r="P45" s="23">
        <f t="shared" si="6"/>
        <v>8201.2</v>
      </c>
      <c r="Q45" s="27">
        <f t="shared" si="7"/>
        <v>1.95639313</v>
      </c>
      <c r="R45" s="81"/>
      <c r="S45" s="81"/>
      <c r="T45" s="81"/>
      <c r="U45" s="81"/>
      <c r="V45" s="81"/>
      <c r="W45" s="81"/>
      <c r="X45" s="81"/>
      <c r="Y45" s="81"/>
      <c r="Z45" s="82"/>
      <c r="AA45" s="81"/>
      <c r="AB45" s="42" t="s">
        <v>127</v>
      </c>
      <c r="AC45" s="59" t="s">
        <v>105</v>
      </c>
    </row>
    <row r="46" ht="22.5" customHeight="1">
      <c r="A46" s="22">
        <v>45.0</v>
      </c>
      <c r="B46" s="23" t="s">
        <v>164</v>
      </c>
      <c r="C46" s="24" t="s">
        <v>153</v>
      </c>
      <c r="D46" s="25">
        <v>45279.0</v>
      </c>
      <c r="E46" s="23">
        <v>790.0</v>
      </c>
      <c r="F46" s="25">
        <v>45280.0</v>
      </c>
      <c r="G46" s="23">
        <v>1405.25</v>
      </c>
      <c r="H46" s="26">
        <f>IFERROR(__xludf.DUMMYFUNCTION("GOOGLEFINANCE(""NSE:""&amp;B46,""price"")"),2568.0)</f>
        <v>2568</v>
      </c>
      <c r="I46" s="22">
        <v>10.0</v>
      </c>
      <c r="J46" s="23">
        <f t="shared" si="1"/>
        <v>7900</v>
      </c>
      <c r="K46" s="23">
        <f t="shared" si="2"/>
        <v>21952.5</v>
      </c>
      <c r="L46" s="23">
        <f t="shared" si="22"/>
        <v>0</v>
      </c>
      <c r="M46" s="27">
        <f t="shared" si="23"/>
        <v>0</v>
      </c>
      <c r="N46" s="23">
        <f>IFERROR(__xludf.DUMMYFUNCTION("IF(G46&gt;0,0,GOOGLEFINANCE(""NSE:""&amp;B46,""change""))"),0.0)</f>
        <v>0</v>
      </c>
      <c r="O46" s="23">
        <f t="shared" si="5"/>
        <v>0</v>
      </c>
      <c r="P46" s="23">
        <f t="shared" si="6"/>
        <v>6152.5</v>
      </c>
      <c r="Q46" s="27">
        <f t="shared" si="7"/>
        <v>0.7787974684</v>
      </c>
      <c r="R46" s="81"/>
      <c r="S46" s="81"/>
      <c r="T46" s="81"/>
      <c r="U46" s="81"/>
      <c r="V46" s="81"/>
      <c r="W46" s="81"/>
      <c r="X46" s="81"/>
      <c r="Y46" s="81"/>
      <c r="Z46" s="82"/>
      <c r="AA46" s="81"/>
      <c r="AB46" s="42" t="s">
        <v>127</v>
      </c>
      <c r="AC46" s="66"/>
    </row>
    <row r="47" ht="22.5" customHeight="1">
      <c r="A47" s="22">
        <v>46.0</v>
      </c>
      <c r="B47" s="23" t="s">
        <v>164</v>
      </c>
      <c r="C47" s="24" t="s">
        <v>153</v>
      </c>
      <c r="D47" s="25">
        <v>45279.0</v>
      </c>
      <c r="E47" s="23">
        <v>790.0</v>
      </c>
      <c r="F47" s="25"/>
      <c r="G47" s="23">
        <v>0.0</v>
      </c>
      <c r="H47" s="26">
        <f>IFERROR(__xludf.DUMMYFUNCTION("GOOGLEFINANCE(""NSE:""&amp;B47,""price"")"),2568.0)</f>
        <v>2568</v>
      </c>
      <c r="I47" s="22">
        <v>8.0</v>
      </c>
      <c r="J47" s="23">
        <f t="shared" si="1"/>
        <v>6320</v>
      </c>
      <c r="K47" s="23">
        <f t="shared" si="2"/>
        <v>6320</v>
      </c>
      <c r="L47" s="23">
        <f t="shared" si="22"/>
        <v>14224</v>
      </c>
      <c r="M47" s="27">
        <f t="shared" si="23"/>
        <v>2.250632911</v>
      </c>
      <c r="N47" s="23">
        <f>IFERROR(__xludf.DUMMYFUNCTION("IF(G47&gt;0,0,GOOGLEFINANCE(""NSE:""&amp;B47,""change""))"),-9.2)</f>
        <v>-9.2</v>
      </c>
      <c r="O47" s="23">
        <f t="shared" si="5"/>
        <v>-73.6</v>
      </c>
      <c r="P47" s="23">
        <f t="shared" si="6"/>
        <v>0</v>
      </c>
      <c r="Q47" s="27">
        <f t="shared" si="7"/>
        <v>0</v>
      </c>
      <c r="R47" s="81"/>
      <c r="S47" s="81"/>
      <c r="T47" s="81"/>
      <c r="U47" s="81"/>
      <c r="V47" s="81"/>
      <c r="W47" s="81"/>
      <c r="X47" s="81"/>
      <c r="Y47" s="81"/>
      <c r="Z47" s="82"/>
      <c r="AA47" s="81"/>
      <c r="AB47" s="42" t="s">
        <v>127</v>
      </c>
      <c r="AC47" s="66"/>
    </row>
    <row r="48" ht="22.5" customHeight="1">
      <c r="A48" s="22">
        <v>47.0</v>
      </c>
      <c r="B48" s="23" t="s">
        <v>59</v>
      </c>
      <c r="C48" s="24" t="s">
        <v>136</v>
      </c>
      <c r="D48" s="25">
        <v>45293.0</v>
      </c>
      <c r="E48" s="23">
        <v>3480.0</v>
      </c>
      <c r="F48" s="25"/>
      <c r="G48" s="23">
        <v>0.0</v>
      </c>
      <c r="H48" s="26">
        <f>IFERROR(__xludf.DUMMYFUNCTION("GOOGLEFINANCE(""NSE:""&amp;B48,""price"")"),4070.0)</f>
        <v>4070</v>
      </c>
      <c r="I48" s="22">
        <v>1.0</v>
      </c>
      <c r="J48" s="23">
        <f t="shared" si="1"/>
        <v>3480</v>
      </c>
      <c r="K48" s="23">
        <f t="shared" si="2"/>
        <v>3480</v>
      </c>
      <c r="L48" s="23">
        <f t="shared" si="22"/>
        <v>590</v>
      </c>
      <c r="M48" s="27">
        <f t="shared" si="23"/>
        <v>0.1695402299</v>
      </c>
      <c r="N48" s="23">
        <f>IFERROR(__xludf.DUMMYFUNCTION("IF(G48&gt;0,0,GOOGLEFINANCE(""NSE:""&amp;B48,""change""))"),-2.4)</f>
        <v>-2.4</v>
      </c>
      <c r="O48" s="23">
        <f t="shared" si="5"/>
        <v>-2.4</v>
      </c>
      <c r="P48" s="23">
        <f t="shared" si="6"/>
        <v>0</v>
      </c>
      <c r="Q48" s="27">
        <f t="shared" si="7"/>
        <v>0</v>
      </c>
      <c r="AC48" s="78"/>
    </row>
    <row r="49" ht="22.5" customHeight="1">
      <c r="A49" s="22">
        <v>48.0</v>
      </c>
      <c r="B49" s="23" t="s">
        <v>64</v>
      </c>
      <c r="C49" s="24" t="s">
        <v>136</v>
      </c>
      <c r="D49" s="25">
        <v>45307.0</v>
      </c>
      <c r="E49" s="23">
        <v>4322.0</v>
      </c>
      <c r="F49" s="25"/>
      <c r="G49" s="23">
        <v>0.0</v>
      </c>
      <c r="H49" s="26">
        <f>IFERROR(__xludf.DUMMYFUNCTION("GOOGLEFINANCE(""NSE:""&amp;B49,""price"")"),7638.0)</f>
        <v>7638</v>
      </c>
      <c r="I49" s="22">
        <v>1.0</v>
      </c>
      <c r="J49" s="23">
        <f t="shared" si="1"/>
        <v>4322</v>
      </c>
      <c r="K49" s="23">
        <f t="shared" si="2"/>
        <v>4322</v>
      </c>
      <c r="L49" s="23">
        <f t="shared" si="22"/>
        <v>3316</v>
      </c>
      <c r="M49" s="27">
        <f t="shared" si="23"/>
        <v>0.7672373901</v>
      </c>
      <c r="N49" s="23">
        <f>IFERROR(__xludf.DUMMYFUNCTION("IF(G49&gt;0,0,GOOGLEFINANCE(""NSE:""&amp;B49,""change""))"),35.0)</f>
        <v>35</v>
      </c>
      <c r="O49" s="23">
        <f t="shared" si="5"/>
        <v>35</v>
      </c>
      <c r="P49" s="23">
        <f t="shared" si="6"/>
        <v>0</v>
      </c>
      <c r="Q49" s="27">
        <f t="shared" si="7"/>
        <v>0</v>
      </c>
      <c r="AB49" s="42" t="s">
        <v>172</v>
      </c>
      <c r="AC49" s="66"/>
    </row>
    <row r="50" ht="22.5" customHeight="1">
      <c r="A50" s="22">
        <v>49.0</v>
      </c>
      <c r="B50" s="23" t="s">
        <v>59</v>
      </c>
      <c r="C50" s="24" t="s">
        <v>136</v>
      </c>
      <c r="D50" s="25">
        <v>45311.0</v>
      </c>
      <c r="E50" s="23">
        <v>3639.15</v>
      </c>
      <c r="F50" s="25"/>
      <c r="G50" s="23">
        <v>0.0</v>
      </c>
      <c r="H50" s="26">
        <f>IFERROR(__xludf.DUMMYFUNCTION("GOOGLEFINANCE(""NSE:""&amp;B50,""price"")"),4070.0)</f>
        <v>4070</v>
      </c>
      <c r="I50" s="22">
        <v>1.0</v>
      </c>
      <c r="J50" s="23">
        <f t="shared" si="1"/>
        <v>3639.15</v>
      </c>
      <c r="K50" s="23">
        <f t="shared" si="2"/>
        <v>3639.15</v>
      </c>
      <c r="L50" s="23">
        <f t="shared" si="22"/>
        <v>430.85</v>
      </c>
      <c r="M50" s="27">
        <f t="shared" si="23"/>
        <v>0.1183930313</v>
      </c>
      <c r="N50" s="23">
        <f>IFERROR(__xludf.DUMMYFUNCTION("IF(G50&gt;0,0,GOOGLEFINANCE(""NSE:""&amp;B50,""change""))"),-2.4)</f>
        <v>-2.4</v>
      </c>
      <c r="O50" s="23">
        <f t="shared" si="5"/>
        <v>-2.4</v>
      </c>
      <c r="P50" s="23">
        <f t="shared" si="6"/>
        <v>0</v>
      </c>
      <c r="Q50" s="27">
        <f t="shared" si="7"/>
        <v>0</v>
      </c>
      <c r="AC50" s="78"/>
    </row>
    <row r="51" ht="22.5" customHeight="1">
      <c r="A51" s="22">
        <v>50.0</v>
      </c>
      <c r="B51" s="23" t="s">
        <v>59</v>
      </c>
      <c r="C51" s="24" t="s">
        <v>136</v>
      </c>
      <c r="D51" s="25">
        <v>45322.0</v>
      </c>
      <c r="E51" s="23">
        <v>3429.9</v>
      </c>
      <c r="F51" s="25"/>
      <c r="G51" s="23">
        <v>0.0</v>
      </c>
      <c r="H51" s="26">
        <f>IFERROR(__xludf.DUMMYFUNCTION("GOOGLEFINANCE(""NSE:""&amp;B51,""price"")"),4070.0)</f>
        <v>4070</v>
      </c>
      <c r="I51" s="22">
        <v>1.0</v>
      </c>
      <c r="J51" s="23">
        <f t="shared" si="1"/>
        <v>3429.9</v>
      </c>
      <c r="K51" s="23">
        <f t="shared" si="2"/>
        <v>3429.9</v>
      </c>
      <c r="L51" s="23">
        <f t="shared" si="22"/>
        <v>640.1</v>
      </c>
      <c r="M51" s="27">
        <f t="shared" si="23"/>
        <v>0.1866235167</v>
      </c>
      <c r="N51" s="23">
        <f>IFERROR(__xludf.DUMMYFUNCTION("IF(G51&gt;0,0,GOOGLEFINANCE(""NSE:""&amp;B51,""change""))"),-2.4)</f>
        <v>-2.4</v>
      </c>
      <c r="O51" s="23">
        <f t="shared" si="5"/>
        <v>-2.4</v>
      </c>
      <c r="P51" s="23">
        <f t="shared" si="6"/>
        <v>0</v>
      </c>
      <c r="Q51" s="27">
        <f t="shared" si="7"/>
        <v>0</v>
      </c>
      <c r="AC51" s="78"/>
    </row>
    <row r="52" ht="22.5" customHeight="1">
      <c r="A52" s="22">
        <v>51.0</v>
      </c>
      <c r="B52" s="23" t="s">
        <v>59</v>
      </c>
      <c r="C52" s="24" t="s">
        <v>136</v>
      </c>
      <c r="D52" s="25">
        <v>45335.0</v>
      </c>
      <c r="E52" s="23">
        <v>3328.75</v>
      </c>
      <c r="F52" s="25"/>
      <c r="G52" s="23">
        <v>0.0</v>
      </c>
      <c r="H52" s="26">
        <f>IFERROR(__xludf.DUMMYFUNCTION("GOOGLEFINANCE(""NSE:""&amp;B52,""price"")"),4070.0)</f>
        <v>4070</v>
      </c>
      <c r="I52" s="22">
        <v>1.0</v>
      </c>
      <c r="J52" s="23">
        <f t="shared" si="1"/>
        <v>3328.75</v>
      </c>
      <c r="K52" s="23">
        <f t="shared" si="2"/>
        <v>3328.75</v>
      </c>
      <c r="L52" s="23">
        <f t="shared" si="22"/>
        <v>741.25</v>
      </c>
      <c r="M52" s="27">
        <f t="shared" si="23"/>
        <v>0.2226811866</v>
      </c>
      <c r="N52" s="23">
        <f>IFERROR(__xludf.DUMMYFUNCTION("IF(G52&gt;0,0,GOOGLEFINANCE(""NSE:""&amp;B52,""change""))"),-2.4)</f>
        <v>-2.4</v>
      </c>
      <c r="O52" s="23">
        <f t="shared" si="5"/>
        <v>-2.4</v>
      </c>
      <c r="P52" s="23">
        <f t="shared" si="6"/>
        <v>0</v>
      </c>
      <c r="Q52" s="27">
        <f t="shared" si="7"/>
        <v>0</v>
      </c>
      <c r="AC52" s="78"/>
    </row>
    <row r="53" ht="22.5" customHeight="1">
      <c r="A53" s="22">
        <v>52.0</v>
      </c>
      <c r="B53" s="23" t="s">
        <v>23</v>
      </c>
      <c r="C53" s="24" t="s">
        <v>147</v>
      </c>
      <c r="D53" s="25">
        <v>45331.0</v>
      </c>
      <c r="E53" s="23">
        <v>1405.95</v>
      </c>
      <c r="F53" s="25"/>
      <c r="G53" s="23">
        <v>0.0</v>
      </c>
      <c r="H53" s="26">
        <f>IFERROR(__xludf.DUMMYFUNCTION("GOOGLEFINANCE(""NSE:""&amp;B53,""price"")"),997.0)</f>
        <v>997</v>
      </c>
      <c r="I53" s="22">
        <v>3.0</v>
      </c>
      <c r="J53" s="23">
        <f t="shared" si="1"/>
        <v>4217.85</v>
      </c>
      <c r="K53" s="23">
        <f t="shared" si="2"/>
        <v>4217.85</v>
      </c>
      <c r="L53" s="23">
        <f t="shared" si="22"/>
        <v>-1226.85</v>
      </c>
      <c r="M53" s="27">
        <f t="shared" si="23"/>
        <v>-0.2908709414</v>
      </c>
      <c r="N53" s="23">
        <f>IFERROR(__xludf.DUMMYFUNCTION("IF(G53&gt;0,0,GOOGLEFINANCE(""NSE:""&amp;B53,""change""))"),9.3)</f>
        <v>9.3</v>
      </c>
      <c r="O53" s="23">
        <f t="shared" si="5"/>
        <v>27.9</v>
      </c>
      <c r="P53" s="23">
        <f t="shared" si="6"/>
        <v>0</v>
      </c>
      <c r="Q53" s="27">
        <f t="shared" si="7"/>
        <v>0</v>
      </c>
      <c r="AC53" s="78"/>
    </row>
    <row r="54" ht="22.5" customHeight="1">
      <c r="A54" s="22">
        <v>53.0</v>
      </c>
      <c r="B54" s="23" t="s">
        <v>65</v>
      </c>
      <c r="C54" s="24" t="s">
        <v>97</v>
      </c>
      <c r="D54" s="25">
        <v>45334.0</v>
      </c>
      <c r="E54" s="23">
        <v>126.95</v>
      </c>
      <c r="F54" s="25"/>
      <c r="G54" s="23">
        <v>0.0</v>
      </c>
      <c r="H54" s="26">
        <f>IFERROR(__xludf.DUMMYFUNCTION("GOOGLEFINANCE(""NSE:""&amp;B54,""price"")"),133.0)</f>
        <v>133</v>
      </c>
      <c r="I54" s="22">
        <v>20.0</v>
      </c>
      <c r="J54" s="23">
        <f t="shared" si="1"/>
        <v>2539</v>
      </c>
      <c r="K54" s="23">
        <f t="shared" si="2"/>
        <v>2539</v>
      </c>
      <c r="L54" s="23">
        <f t="shared" si="22"/>
        <v>121</v>
      </c>
      <c r="M54" s="27">
        <f t="shared" si="23"/>
        <v>0.0476565577</v>
      </c>
      <c r="N54" s="23">
        <f>IFERROR(__xludf.DUMMYFUNCTION("IF(G54&gt;0,0,GOOGLEFINANCE(""NSE:""&amp;B54,""change""))"),2.94)</f>
        <v>2.94</v>
      </c>
      <c r="O54" s="23">
        <f t="shared" si="5"/>
        <v>58.8</v>
      </c>
      <c r="P54" s="23">
        <f t="shared" si="6"/>
        <v>0</v>
      </c>
      <c r="Q54" s="27">
        <f t="shared" si="7"/>
        <v>0</v>
      </c>
      <c r="AC54" s="78"/>
    </row>
    <row r="55" ht="22.5" customHeight="1">
      <c r="A55" s="22">
        <v>54.0</v>
      </c>
      <c r="B55" s="23" t="s">
        <v>27</v>
      </c>
      <c r="C55" s="24" t="s">
        <v>97</v>
      </c>
      <c r="D55" s="25">
        <v>45345.0</v>
      </c>
      <c r="E55" s="23">
        <v>101.2</v>
      </c>
      <c r="F55" s="25"/>
      <c r="G55" s="23">
        <v>0.0</v>
      </c>
      <c r="H55" s="26">
        <f>IFERROR(__xludf.DUMMYFUNCTION("GOOGLEFINANCE(""NSE:""&amp;B55,""price"")"),116.72)</f>
        <v>116.72</v>
      </c>
      <c r="I55" s="22">
        <v>100.0</v>
      </c>
      <c r="J55" s="23">
        <f t="shared" si="1"/>
        <v>10120</v>
      </c>
      <c r="K55" s="23">
        <f t="shared" si="2"/>
        <v>10120</v>
      </c>
      <c r="L55" s="23">
        <f t="shared" si="22"/>
        <v>1552</v>
      </c>
      <c r="M55" s="27">
        <f t="shared" si="23"/>
        <v>0.1533596838</v>
      </c>
      <c r="N55" s="23">
        <f>IFERROR(__xludf.DUMMYFUNCTION("IF(G55&gt;0,0,GOOGLEFINANCE(""NSE:""&amp;B55,""change""))"),0.58)</f>
        <v>0.58</v>
      </c>
      <c r="O55" s="23">
        <f t="shared" si="5"/>
        <v>58</v>
      </c>
      <c r="P55" s="23">
        <f t="shared" si="6"/>
        <v>0</v>
      </c>
      <c r="Q55" s="27">
        <f t="shared" si="7"/>
        <v>0</v>
      </c>
      <c r="AB55" s="42" t="s">
        <v>174</v>
      </c>
      <c r="AC55" s="66"/>
    </row>
    <row r="56" ht="22.5" customHeight="1">
      <c r="A56" s="22">
        <v>55.0</v>
      </c>
      <c r="B56" s="23" t="s">
        <v>59</v>
      </c>
      <c r="C56" s="24" t="s">
        <v>136</v>
      </c>
      <c r="D56" s="25">
        <v>45349.0</v>
      </c>
      <c r="E56" s="23">
        <v>3495.0</v>
      </c>
      <c r="F56" s="25"/>
      <c r="G56" s="23">
        <v>0.0</v>
      </c>
      <c r="H56" s="26">
        <f>IFERROR(__xludf.DUMMYFUNCTION("GOOGLEFINANCE(""NSE:""&amp;B56,""price"")"),4070.0)</f>
        <v>4070</v>
      </c>
      <c r="I56" s="22">
        <v>1.0</v>
      </c>
      <c r="J56" s="23">
        <f t="shared" si="1"/>
        <v>3495</v>
      </c>
      <c r="K56" s="23">
        <f t="shared" si="2"/>
        <v>3495</v>
      </c>
      <c r="L56" s="23">
        <f t="shared" si="22"/>
        <v>575</v>
      </c>
      <c r="M56" s="27">
        <f t="shared" si="23"/>
        <v>0.1645207439</v>
      </c>
      <c r="N56" s="23">
        <f>IFERROR(__xludf.DUMMYFUNCTION("IF(G56&gt;0,0,GOOGLEFINANCE(""NSE:""&amp;B56,""change""))"),-2.4)</f>
        <v>-2.4</v>
      </c>
      <c r="O56" s="23">
        <f t="shared" si="5"/>
        <v>-2.4</v>
      </c>
      <c r="P56" s="23">
        <f t="shared" si="6"/>
        <v>0</v>
      </c>
      <c r="Q56" s="27">
        <f t="shared" si="7"/>
        <v>0</v>
      </c>
      <c r="AB56" s="42"/>
      <c r="AC56" s="66"/>
    </row>
    <row r="57" ht="22.5" customHeight="1">
      <c r="A57" s="22">
        <v>56.0</v>
      </c>
      <c r="B57" s="23" t="s">
        <v>56</v>
      </c>
      <c r="C57" s="24" t="s">
        <v>97</v>
      </c>
      <c r="D57" s="25">
        <v>45357.0</v>
      </c>
      <c r="E57" s="23">
        <v>1075.0</v>
      </c>
      <c r="F57" s="25"/>
      <c r="G57" s="23">
        <v>0.0</v>
      </c>
      <c r="H57" s="26">
        <f>IFERROR(__xludf.DUMMYFUNCTION("GOOGLEFINANCE(""NSE:""&amp;B57,""price"")"),776.9)</f>
        <v>776.9</v>
      </c>
      <c r="I57" s="22">
        <v>4.0</v>
      </c>
      <c r="J57" s="23">
        <f t="shared" si="1"/>
        <v>4300</v>
      </c>
      <c r="K57" s="23">
        <f t="shared" si="2"/>
        <v>4300</v>
      </c>
      <c r="L57" s="23">
        <f t="shared" si="22"/>
        <v>-1192.4</v>
      </c>
      <c r="M57" s="27">
        <f t="shared" si="23"/>
        <v>-0.2773023256</v>
      </c>
      <c r="N57" s="23">
        <f>IFERROR(__xludf.DUMMYFUNCTION("IF(G57&gt;0,0,GOOGLEFINANCE(""NSE:""&amp;B57,""change""))"),8.4)</f>
        <v>8.4</v>
      </c>
      <c r="O57" s="23">
        <f t="shared" si="5"/>
        <v>33.6</v>
      </c>
      <c r="P57" s="23">
        <f t="shared" si="6"/>
        <v>0</v>
      </c>
      <c r="Q57" s="27">
        <f t="shared" si="7"/>
        <v>0</v>
      </c>
      <c r="AB57" s="42" t="s">
        <v>174</v>
      </c>
      <c r="AC57" s="66"/>
    </row>
    <row r="58" ht="22.5" customHeight="1">
      <c r="A58" s="22">
        <v>57.0</v>
      </c>
      <c r="B58" s="23" t="s">
        <v>27</v>
      </c>
      <c r="C58" s="24" t="s">
        <v>97</v>
      </c>
      <c r="D58" s="25">
        <v>45377.0</v>
      </c>
      <c r="E58" s="23">
        <v>99.5</v>
      </c>
      <c r="F58" s="25"/>
      <c r="G58" s="23">
        <v>0.0</v>
      </c>
      <c r="H58" s="26">
        <f>IFERROR(__xludf.DUMMYFUNCTION("GOOGLEFINANCE(""NSE:""&amp;B58,""price"")"),116.72)</f>
        <v>116.72</v>
      </c>
      <c r="I58" s="22">
        <v>50.0</v>
      </c>
      <c r="J58" s="23">
        <f t="shared" si="1"/>
        <v>4975</v>
      </c>
      <c r="K58" s="23">
        <f t="shared" si="2"/>
        <v>4975</v>
      </c>
      <c r="L58" s="23">
        <f t="shared" si="22"/>
        <v>861</v>
      </c>
      <c r="M58" s="27">
        <f t="shared" si="23"/>
        <v>0.1730653266</v>
      </c>
      <c r="N58" s="23">
        <f>IFERROR(__xludf.DUMMYFUNCTION("IF(G58&gt;0,0,GOOGLEFINANCE(""NSE:""&amp;B58,""change""))"),0.58)</f>
        <v>0.58</v>
      </c>
      <c r="O58" s="23">
        <f t="shared" si="5"/>
        <v>29</v>
      </c>
      <c r="P58" s="23">
        <f t="shared" si="6"/>
        <v>0</v>
      </c>
      <c r="Q58" s="27">
        <f t="shared" si="7"/>
        <v>0</v>
      </c>
      <c r="AB58" s="42" t="s">
        <v>174</v>
      </c>
      <c r="AC58" s="66"/>
    </row>
    <row r="59" ht="22.5" customHeight="1">
      <c r="A59" s="22">
        <v>58.0</v>
      </c>
      <c r="B59" s="23" t="s">
        <v>170</v>
      </c>
      <c r="C59" s="24" t="s">
        <v>97</v>
      </c>
      <c r="D59" s="25">
        <v>45379.0</v>
      </c>
      <c r="E59" s="23">
        <v>5600.0</v>
      </c>
      <c r="F59" s="25">
        <v>45572.0</v>
      </c>
      <c r="G59" s="23">
        <v>7983.95</v>
      </c>
      <c r="H59" s="26">
        <f>IFERROR(__xludf.DUMMYFUNCTION("GOOGLEFINANCE(""NSE:""&amp;B59,""price"")"),1365.9)</f>
        <v>1365.9</v>
      </c>
      <c r="I59" s="22">
        <v>2.0</v>
      </c>
      <c r="J59" s="23">
        <f t="shared" si="1"/>
        <v>11200</v>
      </c>
      <c r="K59" s="23">
        <f t="shared" si="2"/>
        <v>27167.9</v>
      </c>
      <c r="L59" s="23">
        <f t="shared" si="22"/>
        <v>0</v>
      </c>
      <c r="M59" s="27">
        <f t="shared" si="23"/>
        <v>0</v>
      </c>
      <c r="N59" s="23">
        <f>IFERROR(__xludf.DUMMYFUNCTION("IF(G59&gt;0,0,GOOGLEFINANCE(""NSE:""&amp;B59,""change""))"),0.0)</f>
        <v>0</v>
      </c>
      <c r="O59" s="23">
        <f t="shared" si="5"/>
        <v>0</v>
      </c>
      <c r="P59" s="23">
        <f t="shared" si="6"/>
        <v>4767.9</v>
      </c>
      <c r="Q59" s="27">
        <f t="shared" si="7"/>
        <v>0.4257053571</v>
      </c>
      <c r="AB59" s="42" t="s">
        <v>174</v>
      </c>
      <c r="AC59" s="66"/>
    </row>
    <row r="60" ht="22.5" customHeight="1">
      <c r="A60" s="22">
        <v>59.0</v>
      </c>
      <c r="B60" s="23" t="s">
        <v>28</v>
      </c>
      <c r="C60" s="24" t="s">
        <v>136</v>
      </c>
      <c r="D60" s="25">
        <v>45425.0</v>
      </c>
      <c r="E60" s="23">
        <v>452.0</v>
      </c>
      <c r="F60" s="25">
        <v>45476.0</v>
      </c>
      <c r="G60" s="23">
        <v>556.0</v>
      </c>
      <c r="H60" s="26">
        <f>IFERROR(__xludf.DUMMYFUNCTION("GOOGLEFINANCE(""NSE:""&amp;B60,""price"")"),532.0)</f>
        <v>532</v>
      </c>
      <c r="I60" s="22">
        <v>10.0</v>
      </c>
      <c r="J60" s="23">
        <f t="shared" si="1"/>
        <v>4520</v>
      </c>
      <c r="K60" s="23">
        <f t="shared" si="2"/>
        <v>10080</v>
      </c>
      <c r="L60" s="23">
        <f t="shared" si="22"/>
        <v>0</v>
      </c>
      <c r="M60" s="27">
        <f t="shared" si="23"/>
        <v>0</v>
      </c>
      <c r="N60" s="23">
        <f>IFERROR(__xludf.DUMMYFUNCTION("IF(G60&gt;0,0,GOOGLEFINANCE(""NSE:""&amp;B60,""change""))"),0.0)</f>
        <v>0</v>
      </c>
      <c r="O60" s="23">
        <f t="shared" si="5"/>
        <v>0</v>
      </c>
      <c r="P60" s="23">
        <f t="shared" si="6"/>
        <v>1040</v>
      </c>
      <c r="Q60" s="27">
        <f t="shared" si="7"/>
        <v>0.2300884956</v>
      </c>
      <c r="AB60" s="42" t="s">
        <v>127</v>
      </c>
      <c r="AC60" s="66"/>
    </row>
    <row r="61" ht="22.5" customHeight="1">
      <c r="A61" s="22">
        <v>60.0</v>
      </c>
      <c r="B61" s="23" t="s">
        <v>15</v>
      </c>
      <c r="C61" s="24" t="s">
        <v>136</v>
      </c>
      <c r="D61" s="25">
        <v>45428.0</v>
      </c>
      <c r="E61" s="23">
        <v>11.77</v>
      </c>
      <c r="F61" s="25"/>
      <c r="G61" s="23">
        <v>0.0</v>
      </c>
      <c r="H61" s="26">
        <f>IFERROR(__xludf.DUMMYFUNCTION("GOOGLEFINANCE(""NSE:""&amp;B61,""price"")"),21.49)</f>
        <v>21.49</v>
      </c>
      <c r="I61" s="22">
        <v>500.0</v>
      </c>
      <c r="J61" s="23">
        <f t="shared" si="1"/>
        <v>5885</v>
      </c>
      <c r="K61" s="23">
        <f t="shared" si="2"/>
        <v>5885</v>
      </c>
      <c r="L61" s="23">
        <f t="shared" si="22"/>
        <v>4860</v>
      </c>
      <c r="M61" s="27">
        <f t="shared" si="23"/>
        <v>0.8258283772</v>
      </c>
      <c r="N61" s="23">
        <f>IFERROR(__xludf.DUMMYFUNCTION("IF(G61&gt;0,0,GOOGLEFINANCE(""NSE:""&amp;B61,""change""))"),0.34)</f>
        <v>0.34</v>
      </c>
      <c r="O61" s="23">
        <f t="shared" si="5"/>
        <v>170</v>
      </c>
      <c r="P61" s="23">
        <f t="shared" si="6"/>
        <v>0</v>
      </c>
      <c r="Q61" s="27">
        <f t="shared" si="7"/>
        <v>0</v>
      </c>
      <c r="AC61" s="78"/>
    </row>
    <row r="62" ht="22.5" customHeight="1">
      <c r="A62" s="22">
        <v>61.0</v>
      </c>
      <c r="B62" s="75" t="s">
        <v>61</v>
      </c>
      <c r="C62" s="83" t="s">
        <v>97</v>
      </c>
      <c r="D62" s="80">
        <v>45434.0</v>
      </c>
      <c r="E62" s="75">
        <v>102.62</v>
      </c>
      <c r="F62" s="80"/>
      <c r="G62" s="84">
        <v>0.0</v>
      </c>
      <c r="H62" s="26">
        <f>IFERROR(__xludf.DUMMYFUNCTION("GOOGLEFINANCE(""NSE:""&amp;B62,""price"")"),114.45)</f>
        <v>114.45</v>
      </c>
      <c r="I62" s="85">
        <v>50.0</v>
      </c>
      <c r="J62" s="23">
        <f t="shared" si="1"/>
        <v>5131</v>
      </c>
      <c r="K62" s="23">
        <f t="shared" si="2"/>
        <v>5131</v>
      </c>
      <c r="L62" s="23">
        <f t="shared" si="22"/>
        <v>591.5</v>
      </c>
      <c r="M62" s="27">
        <f t="shared" si="23"/>
        <v>0.1152796726</v>
      </c>
      <c r="N62" s="23">
        <f>IFERROR(__xludf.DUMMYFUNCTION("IF(G62&gt;0,0,GOOGLEFINANCE(""NSE:""&amp;B62,""change""))"),0.42)</f>
        <v>0.42</v>
      </c>
      <c r="O62" s="23">
        <f t="shared" si="5"/>
        <v>21</v>
      </c>
      <c r="P62" s="23">
        <f t="shared" si="6"/>
        <v>0</v>
      </c>
      <c r="Q62" s="27">
        <f t="shared" si="7"/>
        <v>0</v>
      </c>
      <c r="AC62" s="78"/>
    </row>
    <row r="63" ht="22.5" customHeight="1">
      <c r="A63" s="22">
        <v>62.0</v>
      </c>
      <c r="B63" s="75" t="s">
        <v>52</v>
      </c>
      <c r="C63" s="83" t="s">
        <v>136</v>
      </c>
      <c r="D63" s="80">
        <v>45404.0</v>
      </c>
      <c r="E63" s="75">
        <v>95.89</v>
      </c>
      <c r="F63" s="80"/>
      <c r="G63" s="84">
        <v>0.0</v>
      </c>
      <c r="H63" s="26">
        <f>IFERROR(__xludf.DUMMYFUNCTION("GOOGLEFINANCE(""NSE:""&amp;B63,""price"")"),168.98)</f>
        <v>168.98</v>
      </c>
      <c r="I63" s="85">
        <v>190.0</v>
      </c>
      <c r="J63" s="23">
        <f t="shared" si="1"/>
        <v>18219.1</v>
      </c>
      <c r="K63" s="23">
        <f t="shared" si="2"/>
        <v>18219.1</v>
      </c>
      <c r="L63" s="23">
        <f t="shared" si="22"/>
        <v>13887.1</v>
      </c>
      <c r="M63" s="27">
        <f t="shared" si="23"/>
        <v>0.7622275524</v>
      </c>
      <c r="N63" s="23">
        <f>IFERROR(__xludf.DUMMYFUNCTION("IF(G63&gt;0,0,GOOGLEFINANCE(""NSE:""&amp;B63,""change""))"),2.12)</f>
        <v>2.12</v>
      </c>
      <c r="O63" s="23">
        <f t="shared" si="5"/>
        <v>402.8</v>
      </c>
      <c r="P63" s="23">
        <f t="shared" si="6"/>
        <v>0</v>
      </c>
      <c r="Q63" s="27">
        <f t="shared" si="7"/>
        <v>0</v>
      </c>
      <c r="AC63" s="78"/>
    </row>
    <row r="64" ht="22.5" customHeight="1">
      <c r="A64" s="22">
        <v>63.0</v>
      </c>
      <c r="B64" s="75" t="s">
        <v>21</v>
      </c>
      <c r="C64" s="83" t="s">
        <v>136</v>
      </c>
      <c r="D64" s="80">
        <v>45404.0</v>
      </c>
      <c r="E64" s="75">
        <v>1053.95</v>
      </c>
      <c r="F64" s="80"/>
      <c r="G64" s="84">
        <v>0.0</v>
      </c>
      <c r="H64" s="26">
        <f>IFERROR(__xludf.DUMMYFUNCTION("GOOGLEFINANCE(""NSE:""&amp;B64,""price"")"),1224.5)</f>
        <v>1224.5</v>
      </c>
      <c r="I64" s="85">
        <v>10.0</v>
      </c>
      <c r="J64" s="23">
        <f t="shared" si="1"/>
        <v>10539.5</v>
      </c>
      <c r="K64" s="23">
        <f t="shared" si="2"/>
        <v>10539.5</v>
      </c>
      <c r="L64" s="23">
        <f t="shared" si="22"/>
        <v>1705.5</v>
      </c>
      <c r="M64" s="27">
        <f t="shared" si="23"/>
        <v>0.1618198207</v>
      </c>
      <c r="N64" s="23">
        <f>IFERROR(__xludf.DUMMYFUNCTION("IF(G64&gt;0,0,GOOGLEFINANCE(""NSE:""&amp;B64,""change""))"),-8.7)</f>
        <v>-8.7</v>
      </c>
      <c r="O64" s="23">
        <f t="shared" si="5"/>
        <v>-87</v>
      </c>
      <c r="P64" s="23">
        <f t="shared" si="6"/>
        <v>0</v>
      </c>
      <c r="Q64" s="27">
        <f t="shared" si="7"/>
        <v>0</v>
      </c>
      <c r="AC64" s="78"/>
    </row>
    <row r="65" ht="22.5" customHeight="1">
      <c r="A65" s="22">
        <v>64.0</v>
      </c>
      <c r="B65" s="75" t="s">
        <v>35</v>
      </c>
      <c r="C65" s="83" t="s">
        <v>136</v>
      </c>
      <c r="D65" s="80">
        <v>45404.0</v>
      </c>
      <c r="E65" s="75">
        <v>1000.05</v>
      </c>
      <c r="F65" s="80"/>
      <c r="G65" s="84">
        <v>0.0</v>
      </c>
      <c r="H65" s="26">
        <f>IFERROR(__xludf.DUMMYFUNCTION("GOOGLEFINANCE(""NSE:""&amp;B65,""price"")"),680.5)</f>
        <v>680.5</v>
      </c>
      <c r="I65" s="85">
        <v>10.0</v>
      </c>
      <c r="J65" s="23">
        <f t="shared" si="1"/>
        <v>10000.5</v>
      </c>
      <c r="K65" s="23">
        <f t="shared" si="2"/>
        <v>10000.5</v>
      </c>
      <c r="L65" s="23">
        <f t="shared" si="22"/>
        <v>-3195.5</v>
      </c>
      <c r="M65" s="27">
        <f t="shared" si="23"/>
        <v>-0.3195340233</v>
      </c>
      <c r="N65" s="23">
        <f>IFERROR(__xludf.DUMMYFUNCTION("IF(G65&gt;0,0,GOOGLEFINANCE(""NSE:""&amp;B65,""change""))"),-1.15)</f>
        <v>-1.15</v>
      </c>
      <c r="O65" s="23">
        <f t="shared" si="5"/>
        <v>-11.5</v>
      </c>
      <c r="P65" s="23">
        <f t="shared" si="6"/>
        <v>0</v>
      </c>
      <c r="Q65" s="27">
        <f t="shared" si="7"/>
        <v>0</v>
      </c>
      <c r="AC65" s="78"/>
    </row>
    <row r="66" ht="22.5" customHeight="1">
      <c r="A66" s="22">
        <v>65.0</v>
      </c>
      <c r="B66" s="75" t="s">
        <v>38</v>
      </c>
      <c r="C66" s="83" t="s">
        <v>136</v>
      </c>
      <c r="D66" s="80">
        <v>45348.0</v>
      </c>
      <c r="E66" s="75">
        <v>443.0</v>
      </c>
      <c r="F66" s="80"/>
      <c r="G66" s="84">
        <v>0.0</v>
      </c>
      <c r="H66" s="26">
        <f>IFERROR(__xludf.DUMMYFUNCTION("GOOGLEFINANCE(""NSE:""&amp;B66,""price"")"),400.65)</f>
        <v>400.65</v>
      </c>
      <c r="I66" s="85">
        <v>33.0</v>
      </c>
      <c r="J66" s="23">
        <f t="shared" si="1"/>
        <v>14619</v>
      </c>
      <c r="K66" s="23">
        <f t="shared" si="2"/>
        <v>14619</v>
      </c>
      <c r="L66" s="23">
        <f t="shared" si="22"/>
        <v>-1397.55</v>
      </c>
      <c r="M66" s="27">
        <f t="shared" si="23"/>
        <v>-0.09559819413</v>
      </c>
      <c r="N66" s="23">
        <f>IFERROR(__xludf.DUMMYFUNCTION("IF(G66&gt;0,0,GOOGLEFINANCE(""NSE:""&amp;B66,""change""))"),14.4)</f>
        <v>14.4</v>
      </c>
      <c r="O66" s="23">
        <f t="shared" si="5"/>
        <v>475.2</v>
      </c>
      <c r="P66" s="23">
        <f t="shared" si="6"/>
        <v>0</v>
      </c>
      <c r="Q66" s="27">
        <f t="shared" si="7"/>
        <v>0</v>
      </c>
      <c r="AC66" s="78"/>
    </row>
    <row r="67" ht="22.5" customHeight="1">
      <c r="A67" s="22">
        <v>66.0</v>
      </c>
      <c r="B67" s="75" t="s">
        <v>32</v>
      </c>
      <c r="C67" s="83" t="s">
        <v>136</v>
      </c>
      <c r="D67" s="80">
        <v>45348.0</v>
      </c>
      <c r="E67" s="75">
        <v>151.5</v>
      </c>
      <c r="F67" s="86">
        <v>45485.0</v>
      </c>
      <c r="G67" s="84">
        <v>294.78</v>
      </c>
      <c r="H67" s="26">
        <f>IFERROR(__xludf.DUMMYFUNCTION("GOOGLEFINANCE(""NSE:""&amp;B67,""price"")"),139.0)</f>
        <v>139</v>
      </c>
      <c r="I67" s="87">
        <v>150.0</v>
      </c>
      <c r="J67" s="23">
        <f t="shared" si="1"/>
        <v>22725</v>
      </c>
      <c r="K67" s="23">
        <f t="shared" si="2"/>
        <v>66942</v>
      </c>
      <c r="L67" s="23">
        <f t="shared" si="22"/>
        <v>0</v>
      </c>
      <c r="M67" s="27">
        <f t="shared" si="23"/>
        <v>0</v>
      </c>
      <c r="N67" s="23">
        <f>IFERROR(__xludf.DUMMYFUNCTION("IF(G67&gt;0,0,GOOGLEFINANCE(""NSE:""&amp;B67,""change""))"),0.0)</f>
        <v>0</v>
      </c>
      <c r="O67" s="23">
        <f t="shared" si="5"/>
        <v>0</v>
      </c>
      <c r="P67" s="23">
        <f t="shared" si="6"/>
        <v>21492</v>
      </c>
      <c r="Q67" s="27">
        <f t="shared" si="7"/>
        <v>0.9457425743</v>
      </c>
      <c r="AC67" s="78"/>
    </row>
    <row r="68" ht="22.5" customHeight="1">
      <c r="A68" s="22">
        <v>67.0</v>
      </c>
      <c r="B68" s="75" t="s">
        <v>70</v>
      </c>
      <c r="C68" s="83" t="s">
        <v>136</v>
      </c>
      <c r="D68" s="80">
        <v>45404.0</v>
      </c>
      <c r="E68" s="75">
        <v>1051.75</v>
      </c>
      <c r="F68" s="80"/>
      <c r="G68" s="84">
        <v>0.0</v>
      </c>
      <c r="H68" s="26">
        <f>IFERROR(__xludf.DUMMYFUNCTION("GOOGLEFINANCE(""NSE:""&amp;B68,""price"")"),661.1)</f>
        <v>661.1</v>
      </c>
      <c r="I68" s="85">
        <v>20.0</v>
      </c>
      <c r="J68" s="23">
        <f t="shared" si="1"/>
        <v>21035</v>
      </c>
      <c r="K68" s="23">
        <f t="shared" si="2"/>
        <v>21035</v>
      </c>
      <c r="L68" s="23">
        <f t="shared" si="22"/>
        <v>-7813</v>
      </c>
      <c r="M68" s="27">
        <f t="shared" si="23"/>
        <v>-0.3714285714</v>
      </c>
      <c r="N68" s="23">
        <f>IFERROR(__xludf.DUMMYFUNCTION("IF(G68&gt;0,0,GOOGLEFINANCE(""NSE:""&amp;B68,""change""))"),-2.3)</f>
        <v>-2.3</v>
      </c>
      <c r="O68" s="23">
        <f t="shared" si="5"/>
        <v>-46</v>
      </c>
      <c r="P68" s="23">
        <f t="shared" si="6"/>
        <v>0</v>
      </c>
      <c r="Q68" s="27">
        <f t="shared" si="7"/>
        <v>0</v>
      </c>
      <c r="AC68" s="78"/>
    </row>
    <row r="69" ht="22.5" customHeight="1">
      <c r="A69" s="22">
        <v>68.0</v>
      </c>
      <c r="B69" s="75" t="s">
        <v>41</v>
      </c>
      <c r="C69" s="83" t="s">
        <v>136</v>
      </c>
      <c r="D69" s="80">
        <v>45404.0</v>
      </c>
      <c r="E69" s="75">
        <v>1087.05</v>
      </c>
      <c r="F69" s="80"/>
      <c r="G69" s="84">
        <v>0.0</v>
      </c>
      <c r="H69" s="26">
        <f>IFERROR(__xludf.DUMMYFUNCTION("GOOGLEFINANCE(""NSE:""&amp;B69,""price"")"),1362.4)</f>
        <v>1362.4</v>
      </c>
      <c r="I69" s="85">
        <v>20.0</v>
      </c>
      <c r="J69" s="23">
        <f t="shared" si="1"/>
        <v>21741</v>
      </c>
      <c r="K69" s="23">
        <f t="shared" si="2"/>
        <v>21741</v>
      </c>
      <c r="L69" s="23">
        <f t="shared" si="22"/>
        <v>5507</v>
      </c>
      <c r="M69" s="27">
        <f t="shared" si="23"/>
        <v>0.2533002162</v>
      </c>
      <c r="N69" s="23">
        <f>IFERROR(__xludf.DUMMYFUNCTION("IF(G69&gt;0,0,GOOGLEFINANCE(""NSE:""&amp;B69,""change""))"),-6.1)</f>
        <v>-6.1</v>
      </c>
      <c r="O69" s="23">
        <f t="shared" si="5"/>
        <v>-122</v>
      </c>
      <c r="P69" s="23">
        <f t="shared" si="6"/>
        <v>0</v>
      </c>
      <c r="Q69" s="27">
        <f t="shared" si="7"/>
        <v>0</v>
      </c>
      <c r="AC69" s="78"/>
    </row>
    <row r="70" ht="22.5" customHeight="1">
      <c r="A70" s="22">
        <v>69.0</v>
      </c>
      <c r="B70" s="75" t="s">
        <v>66</v>
      </c>
      <c r="C70" s="83" t="s">
        <v>136</v>
      </c>
      <c r="D70" s="80">
        <v>45345.0</v>
      </c>
      <c r="E70" s="75">
        <v>759.4</v>
      </c>
      <c r="F70" s="80"/>
      <c r="G70" s="84">
        <v>0.0</v>
      </c>
      <c r="H70" s="26">
        <f>IFERROR(__xludf.DUMMYFUNCTION("GOOGLEFINANCE(""NSE:""&amp;B70,""price"")"),971.25)</f>
        <v>971.25</v>
      </c>
      <c r="I70" s="85">
        <v>1.0</v>
      </c>
      <c r="J70" s="23">
        <f t="shared" si="1"/>
        <v>759.4</v>
      </c>
      <c r="K70" s="23">
        <f t="shared" si="2"/>
        <v>759.4</v>
      </c>
      <c r="L70" s="23">
        <f t="shared" si="22"/>
        <v>211.85</v>
      </c>
      <c r="M70" s="27">
        <f t="shared" si="23"/>
        <v>0.2789702397</v>
      </c>
      <c r="N70" s="23">
        <f>IFERROR(__xludf.DUMMYFUNCTION("IF(G70&gt;0,0,GOOGLEFINANCE(""NSE:""&amp;B70,""change""))"),-3.05)</f>
        <v>-3.05</v>
      </c>
      <c r="O70" s="23">
        <f t="shared" si="5"/>
        <v>-3.05</v>
      </c>
      <c r="P70" s="23">
        <f t="shared" si="6"/>
        <v>0</v>
      </c>
      <c r="Q70" s="27">
        <f t="shared" si="7"/>
        <v>0</v>
      </c>
      <c r="AC70" s="78"/>
    </row>
    <row r="71" ht="22.5" customHeight="1">
      <c r="A71" s="22">
        <v>70.0</v>
      </c>
      <c r="B71" s="75" t="s">
        <v>69</v>
      </c>
      <c r="C71" s="83" t="s">
        <v>136</v>
      </c>
      <c r="D71" s="80">
        <v>45348.0</v>
      </c>
      <c r="E71" s="75">
        <v>142.65</v>
      </c>
      <c r="F71" s="80"/>
      <c r="G71" s="84">
        <v>0.0</v>
      </c>
      <c r="H71" s="26">
        <f>IFERROR(__xludf.DUMMYFUNCTION("GOOGLEFINANCE(""NSE:""&amp;B71,""price"")"),170.82)</f>
        <v>170.82</v>
      </c>
      <c r="I71" s="85">
        <v>106.0</v>
      </c>
      <c r="J71" s="23">
        <f t="shared" si="1"/>
        <v>15120.9</v>
      </c>
      <c r="K71" s="23">
        <f t="shared" si="2"/>
        <v>15120.9</v>
      </c>
      <c r="L71" s="23">
        <f t="shared" si="22"/>
        <v>2986.02</v>
      </c>
      <c r="M71" s="27">
        <f t="shared" si="23"/>
        <v>0.1974763407</v>
      </c>
      <c r="N71" s="23">
        <f>IFERROR(__xludf.DUMMYFUNCTION("IF(G71&gt;0,0,GOOGLEFINANCE(""NSE:""&amp;B71,""change""))"),1.6)</f>
        <v>1.6</v>
      </c>
      <c r="O71" s="23">
        <f t="shared" si="5"/>
        <v>169.6</v>
      </c>
      <c r="P71" s="23">
        <f t="shared" si="6"/>
        <v>0</v>
      </c>
      <c r="Q71" s="27">
        <f t="shared" si="7"/>
        <v>0</v>
      </c>
      <c r="AC71" s="78"/>
    </row>
    <row r="72" ht="22.5" customHeight="1">
      <c r="A72" s="22">
        <v>71.0</v>
      </c>
      <c r="B72" s="75" t="s">
        <v>66</v>
      </c>
      <c r="C72" s="83" t="s">
        <v>136</v>
      </c>
      <c r="D72" s="80">
        <v>45449.0</v>
      </c>
      <c r="E72" s="75">
        <v>824.0</v>
      </c>
      <c r="F72" s="80"/>
      <c r="G72" s="84">
        <v>0.0</v>
      </c>
      <c r="H72" s="26">
        <f>IFERROR(__xludf.DUMMYFUNCTION("GOOGLEFINANCE(""NSE:""&amp;B72,""price"")"),971.25)</f>
        <v>971.25</v>
      </c>
      <c r="I72" s="85">
        <v>9.0</v>
      </c>
      <c r="J72" s="23">
        <f t="shared" si="1"/>
        <v>7416</v>
      </c>
      <c r="K72" s="23">
        <f t="shared" si="2"/>
        <v>7416</v>
      </c>
      <c r="L72" s="23">
        <f t="shared" si="22"/>
        <v>1325.25</v>
      </c>
      <c r="M72" s="27">
        <f t="shared" si="23"/>
        <v>0.1787014563</v>
      </c>
      <c r="N72" s="23">
        <f>IFERROR(__xludf.DUMMYFUNCTION("IF(G72&gt;0,0,GOOGLEFINANCE(""NSE:""&amp;B72,""change""))"),-3.05)</f>
        <v>-3.05</v>
      </c>
      <c r="O72" s="23">
        <f t="shared" si="5"/>
        <v>-27.45</v>
      </c>
      <c r="P72" s="23">
        <f t="shared" si="6"/>
        <v>0</v>
      </c>
      <c r="Q72" s="27">
        <f t="shared" si="7"/>
        <v>0</v>
      </c>
      <c r="AC72" s="78"/>
    </row>
    <row r="73" ht="22.5" customHeight="1">
      <c r="A73" s="22">
        <v>72.0</v>
      </c>
      <c r="B73" s="75" t="s">
        <v>31</v>
      </c>
      <c r="C73" s="83" t="s">
        <v>136</v>
      </c>
      <c r="D73" s="80">
        <v>45477.0</v>
      </c>
      <c r="E73" s="75">
        <v>80.99</v>
      </c>
      <c r="F73" s="80"/>
      <c r="G73" s="84">
        <v>0.0</v>
      </c>
      <c r="H73" s="26">
        <f>IFERROR(__xludf.DUMMYFUNCTION("GOOGLEFINANCE(""NSE:""&amp;B73,""price"")"),84.9)</f>
        <v>84.9</v>
      </c>
      <c r="I73" s="85">
        <v>70.0</v>
      </c>
      <c r="J73" s="23">
        <f t="shared" si="1"/>
        <v>5669.3</v>
      </c>
      <c r="K73" s="23">
        <f t="shared" si="2"/>
        <v>5669.3</v>
      </c>
      <c r="L73" s="23">
        <f t="shared" si="22"/>
        <v>273.7</v>
      </c>
      <c r="M73" s="27">
        <f t="shared" si="23"/>
        <v>0.04827756513</v>
      </c>
      <c r="N73" s="23">
        <f>IFERROR(__xludf.DUMMYFUNCTION("IF(G73&gt;0,0,GOOGLEFINANCE(""NSE:""&amp;B73,""change""))"),-0.45)</f>
        <v>-0.45</v>
      </c>
      <c r="O73" s="23">
        <f t="shared" si="5"/>
        <v>-31.5</v>
      </c>
      <c r="P73" s="23">
        <f t="shared" si="6"/>
        <v>0</v>
      </c>
      <c r="Q73" s="27">
        <f t="shared" si="7"/>
        <v>0</v>
      </c>
      <c r="AC73" s="78"/>
    </row>
    <row r="74" ht="22.5" customHeight="1">
      <c r="A74" s="22">
        <v>73.0</v>
      </c>
      <c r="B74" s="75" t="s">
        <v>173</v>
      </c>
      <c r="C74" s="83" t="s">
        <v>136</v>
      </c>
      <c r="D74" s="80">
        <v>45477.0</v>
      </c>
      <c r="E74" s="75">
        <v>207.45</v>
      </c>
      <c r="F74" s="80"/>
      <c r="G74" s="84">
        <v>0.0</v>
      </c>
      <c r="H74" s="26" t="str">
        <f>IFERROR(__xludf.DUMMYFUNCTION("GOOGLEFINANCE(""NSE:""&amp;B74,""price"")"),"#N/A")</f>
        <v>#N/A</v>
      </c>
      <c r="I74" s="85">
        <v>27.0</v>
      </c>
      <c r="J74" s="23">
        <f t="shared" si="1"/>
        <v>5601.15</v>
      </c>
      <c r="K74" s="23">
        <f t="shared" si="2"/>
        <v>5601.15</v>
      </c>
      <c r="L74" s="23" t="str">
        <f t="shared" si="22"/>
        <v>#N/A</v>
      </c>
      <c r="M74" s="27" t="str">
        <f t="shared" si="23"/>
        <v>#N/A</v>
      </c>
      <c r="N74" s="23" t="str">
        <f>IFERROR(__xludf.DUMMYFUNCTION("IF(G74&gt;0,0,GOOGLEFINANCE(""NSE:""&amp;B74,""change""))"),"#N/A")</f>
        <v>#N/A</v>
      </c>
      <c r="O74" s="23" t="str">
        <f t="shared" si="5"/>
        <v>#N/A</v>
      </c>
      <c r="P74" s="23">
        <f t="shared" si="6"/>
        <v>0</v>
      </c>
      <c r="Q74" s="27">
        <f t="shared" si="7"/>
        <v>0</v>
      </c>
      <c r="AC74" s="78"/>
    </row>
    <row r="75" ht="22.5" customHeight="1">
      <c r="A75" s="22">
        <v>74.0</v>
      </c>
      <c r="B75" s="75" t="s">
        <v>11</v>
      </c>
      <c r="C75" s="83" t="s">
        <v>136</v>
      </c>
      <c r="D75" s="86">
        <v>45482.0</v>
      </c>
      <c r="E75" s="75">
        <v>28.68</v>
      </c>
      <c r="F75" s="80"/>
      <c r="G75" s="84">
        <v>0.0</v>
      </c>
      <c r="H75" s="26">
        <f>IFERROR(__xludf.DUMMYFUNCTION("GOOGLEFINANCE(""NSE:""&amp;B75,""price"")"),25.31)</f>
        <v>25.31</v>
      </c>
      <c r="I75" s="85">
        <v>200.0</v>
      </c>
      <c r="J75" s="23">
        <f t="shared" si="1"/>
        <v>5736</v>
      </c>
      <c r="K75" s="23">
        <f t="shared" si="2"/>
        <v>5736</v>
      </c>
      <c r="L75" s="23">
        <f t="shared" si="22"/>
        <v>-674</v>
      </c>
      <c r="M75" s="27">
        <f t="shared" si="23"/>
        <v>-0.1175034868</v>
      </c>
      <c r="N75" s="23">
        <f>IFERROR(__xludf.DUMMYFUNCTION("IF(G75&gt;0,0,GOOGLEFINANCE(""NSE:""&amp;B75,""change""))"),-0.05)</f>
        <v>-0.05</v>
      </c>
      <c r="O75" s="23">
        <f t="shared" si="5"/>
        <v>-10</v>
      </c>
      <c r="P75" s="23">
        <f t="shared" si="6"/>
        <v>0</v>
      </c>
      <c r="Q75" s="27">
        <f t="shared" si="7"/>
        <v>0</v>
      </c>
      <c r="AC75" s="78"/>
    </row>
    <row r="76" ht="22.5" customHeight="1">
      <c r="A76" s="22">
        <v>75.0</v>
      </c>
      <c r="B76" s="75" t="s">
        <v>11</v>
      </c>
      <c r="C76" s="83" t="s">
        <v>147</v>
      </c>
      <c r="D76" s="86">
        <v>45482.0</v>
      </c>
      <c r="E76" s="75">
        <v>28.7</v>
      </c>
      <c r="F76" s="80"/>
      <c r="G76" s="84">
        <v>0.0</v>
      </c>
      <c r="H76" s="26">
        <f>IFERROR(__xludf.DUMMYFUNCTION("GOOGLEFINANCE(""NSE:""&amp;B76,""price"")"),25.31)</f>
        <v>25.31</v>
      </c>
      <c r="I76" s="85">
        <v>100.0</v>
      </c>
      <c r="J76" s="23">
        <f t="shared" si="1"/>
        <v>2870</v>
      </c>
      <c r="K76" s="23">
        <f t="shared" si="2"/>
        <v>2870</v>
      </c>
      <c r="L76" s="23">
        <f t="shared" si="22"/>
        <v>-339</v>
      </c>
      <c r="M76" s="27">
        <f t="shared" si="23"/>
        <v>-0.1181184669</v>
      </c>
      <c r="N76" s="23">
        <f>IFERROR(__xludf.DUMMYFUNCTION("IF(G76&gt;0,0,GOOGLEFINANCE(""NSE:""&amp;B76,""change""))"),-0.05)</f>
        <v>-0.05</v>
      </c>
      <c r="O76" s="23">
        <f t="shared" si="5"/>
        <v>-5</v>
      </c>
      <c r="P76" s="23">
        <f t="shared" si="6"/>
        <v>0</v>
      </c>
      <c r="Q76" s="27">
        <f t="shared" si="7"/>
        <v>0</v>
      </c>
      <c r="AC76" s="78"/>
    </row>
    <row r="77" ht="22.5" customHeight="1">
      <c r="A77" s="22">
        <v>76.0</v>
      </c>
      <c r="B77" s="75" t="s">
        <v>12</v>
      </c>
      <c r="C77" s="83" t="s">
        <v>147</v>
      </c>
      <c r="D77" s="86">
        <v>45482.0</v>
      </c>
      <c r="E77" s="75">
        <v>56.83</v>
      </c>
      <c r="F77" s="80"/>
      <c r="G77" s="84">
        <v>0.0</v>
      </c>
      <c r="H77" s="26">
        <f>IFERROR(__xludf.DUMMYFUNCTION("GOOGLEFINANCE(""NSE:""&amp;B77,""price"")"),48.97)</f>
        <v>48.97</v>
      </c>
      <c r="I77" s="85">
        <v>50.0</v>
      </c>
      <c r="J77" s="23">
        <f t="shared" si="1"/>
        <v>2841.5</v>
      </c>
      <c r="K77" s="23">
        <f t="shared" si="2"/>
        <v>2841.5</v>
      </c>
      <c r="L77" s="23">
        <f t="shared" si="22"/>
        <v>-393</v>
      </c>
      <c r="M77" s="27">
        <f t="shared" si="23"/>
        <v>-0.1383072321</v>
      </c>
      <c r="N77" s="23">
        <f>IFERROR(__xludf.DUMMYFUNCTION("IF(G77&gt;0,0,GOOGLEFINANCE(""NSE:""&amp;B77,""change""))"),-0.01)</f>
        <v>-0.01</v>
      </c>
      <c r="O77" s="23">
        <f t="shared" si="5"/>
        <v>-0.5</v>
      </c>
      <c r="P77" s="23">
        <f t="shared" si="6"/>
        <v>0</v>
      </c>
      <c r="Q77" s="27">
        <f t="shared" si="7"/>
        <v>0</v>
      </c>
      <c r="AC77" s="78"/>
    </row>
    <row r="78" ht="22.5" customHeight="1">
      <c r="A78" s="22">
        <v>77.0</v>
      </c>
      <c r="B78" s="75" t="s">
        <v>32</v>
      </c>
      <c r="C78" s="83" t="s">
        <v>136</v>
      </c>
      <c r="D78" s="86">
        <v>45348.0</v>
      </c>
      <c r="E78" s="75">
        <v>151.5</v>
      </c>
      <c r="F78" s="80"/>
      <c r="G78" s="84">
        <v>0.0</v>
      </c>
      <c r="H78" s="26">
        <f>IFERROR(__xludf.DUMMYFUNCTION("GOOGLEFINANCE(""NSE:""&amp;B78,""price"")"),139.0)</f>
        <v>139</v>
      </c>
      <c r="I78" s="85">
        <v>150.0</v>
      </c>
      <c r="J78" s="23">
        <f t="shared" si="1"/>
        <v>22725</v>
      </c>
      <c r="K78" s="23">
        <f t="shared" si="2"/>
        <v>22725</v>
      </c>
      <c r="L78" s="23">
        <f t="shared" si="22"/>
        <v>-1875</v>
      </c>
      <c r="M78" s="27">
        <f t="shared" si="23"/>
        <v>-0.08250825083</v>
      </c>
      <c r="N78" s="23">
        <f>IFERROR(__xludf.DUMMYFUNCTION("IF(G78&gt;0,0,GOOGLEFINANCE(""NSE:""&amp;B78,""change""))"),3.33)</f>
        <v>3.33</v>
      </c>
      <c r="O78" s="23">
        <f t="shared" si="5"/>
        <v>499.5</v>
      </c>
      <c r="P78" s="23">
        <f t="shared" si="6"/>
        <v>0</v>
      </c>
      <c r="Q78" s="27">
        <f t="shared" si="7"/>
        <v>0</v>
      </c>
      <c r="AC78" s="78"/>
    </row>
    <row r="79" ht="22.5" customHeight="1">
      <c r="A79" s="22">
        <v>78.0</v>
      </c>
      <c r="B79" s="75" t="s">
        <v>11</v>
      </c>
      <c r="C79" s="88" t="s">
        <v>136</v>
      </c>
      <c r="D79" s="86">
        <v>45488.0</v>
      </c>
      <c r="E79" s="84">
        <v>28.91</v>
      </c>
      <c r="F79" s="80"/>
      <c r="G79" s="84">
        <v>0.0</v>
      </c>
      <c r="H79" s="26">
        <f>IFERROR(__xludf.DUMMYFUNCTION("GOOGLEFINANCE(""NSE:""&amp;B79,""price"")"),25.31)</f>
        <v>25.31</v>
      </c>
      <c r="I79" s="87">
        <v>400.0</v>
      </c>
      <c r="J79" s="23">
        <f t="shared" si="1"/>
        <v>11564</v>
      </c>
      <c r="K79" s="23">
        <f t="shared" si="2"/>
        <v>11564</v>
      </c>
      <c r="L79" s="23">
        <f t="shared" si="22"/>
        <v>-1440</v>
      </c>
      <c r="M79" s="27">
        <f t="shared" si="23"/>
        <v>-0.124524386</v>
      </c>
      <c r="N79" s="23">
        <f>IFERROR(__xludf.DUMMYFUNCTION("IF(G79&gt;0,0,GOOGLEFINANCE(""NSE:""&amp;B79,""change""))"),-0.05)</f>
        <v>-0.05</v>
      </c>
      <c r="O79" s="23">
        <f t="shared" si="5"/>
        <v>-20</v>
      </c>
      <c r="P79" s="23">
        <f t="shared" si="6"/>
        <v>0</v>
      </c>
      <c r="Q79" s="27">
        <f t="shared" si="7"/>
        <v>0</v>
      </c>
      <c r="AC79" s="78"/>
    </row>
    <row r="80" ht="22.5" customHeight="1">
      <c r="A80" s="22">
        <v>79.0</v>
      </c>
      <c r="B80" s="84" t="s">
        <v>27</v>
      </c>
      <c r="C80" s="88" t="s">
        <v>136</v>
      </c>
      <c r="D80" s="86">
        <v>45488.0</v>
      </c>
      <c r="E80" s="84">
        <v>118.15</v>
      </c>
      <c r="F80" s="80"/>
      <c r="G80" s="84">
        <v>0.0</v>
      </c>
      <c r="H80" s="26">
        <f>IFERROR(__xludf.DUMMYFUNCTION("GOOGLEFINANCE(""NSE:""&amp;B80,""price"")"),116.72)</f>
        <v>116.72</v>
      </c>
      <c r="I80" s="87">
        <v>100.0</v>
      </c>
      <c r="J80" s="23">
        <f t="shared" si="1"/>
        <v>11815</v>
      </c>
      <c r="K80" s="23">
        <f t="shared" si="2"/>
        <v>11815</v>
      </c>
      <c r="L80" s="23">
        <f t="shared" si="22"/>
        <v>-143</v>
      </c>
      <c r="M80" s="27">
        <f t="shared" si="23"/>
        <v>-0.01210325857</v>
      </c>
      <c r="N80" s="23">
        <f>IFERROR(__xludf.DUMMYFUNCTION("IF(G80&gt;0,0,GOOGLEFINANCE(""NSE:""&amp;B80,""change""))"),0.58)</f>
        <v>0.58</v>
      </c>
      <c r="O80" s="23">
        <f t="shared" si="5"/>
        <v>58</v>
      </c>
      <c r="P80" s="23">
        <f t="shared" si="6"/>
        <v>0</v>
      </c>
      <c r="Q80" s="27">
        <f t="shared" si="7"/>
        <v>0</v>
      </c>
      <c r="AC80" s="78"/>
    </row>
    <row r="81" ht="22.5" customHeight="1">
      <c r="A81" s="22">
        <v>80.0</v>
      </c>
      <c r="B81" s="84" t="s">
        <v>69</v>
      </c>
      <c r="C81" s="88" t="s">
        <v>152</v>
      </c>
      <c r="D81" s="86">
        <v>45489.0</v>
      </c>
      <c r="E81" s="84">
        <v>169.45</v>
      </c>
      <c r="F81" s="80"/>
      <c r="G81" s="84">
        <v>0.0</v>
      </c>
      <c r="H81" s="26">
        <f>IFERROR(__xludf.DUMMYFUNCTION("GOOGLEFINANCE(""NSE:""&amp;B81,""price"")"),170.82)</f>
        <v>170.82</v>
      </c>
      <c r="I81" s="87">
        <v>1.0</v>
      </c>
      <c r="J81" s="23">
        <f t="shared" si="1"/>
        <v>169.45</v>
      </c>
      <c r="K81" s="23">
        <f t="shared" si="2"/>
        <v>169.45</v>
      </c>
      <c r="L81" s="23">
        <f t="shared" si="22"/>
        <v>1.37</v>
      </c>
      <c r="M81" s="27">
        <f t="shared" si="23"/>
        <v>0.00808498082</v>
      </c>
      <c r="N81" s="23">
        <f>IFERROR(__xludf.DUMMYFUNCTION("IF(G81&gt;0,0,GOOGLEFINANCE(""NSE:""&amp;B81,""change""))"),1.6)</f>
        <v>1.6</v>
      </c>
      <c r="O81" s="23">
        <f t="shared" si="5"/>
        <v>1.6</v>
      </c>
      <c r="P81" s="23">
        <f t="shared" si="6"/>
        <v>0</v>
      </c>
      <c r="Q81" s="27">
        <f t="shared" si="7"/>
        <v>0</v>
      </c>
      <c r="AC81" s="78"/>
    </row>
    <row r="82" ht="22.5" customHeight="1">
      <c r="A82" s="22">
        <v>81.0</v>
      </c>
      <c r="B82" s="84" t="s">
        <v>116</v>
      </c>
      <c r="C82" s="88" t="s">
        <v>152</v>
      </c>
      <c r="D82" s="86">
        <v>45489.0</v>
      </c>
      <c r="E82" s="84">
        <v>36.72</v>
      </c>
      <c r="F82" s="80"/>
      <c r="G82" s="84">
        <v>0.0</v>
      </c>
      <c r="H82" s="26">
        <f>IFERROR(__xludf.DUMMYFUNCTION("GOOGLEFINANCE(""NSE:""&amp;B82,""price"")"),31.69)</f>
        <v>31.69</v>
      </c>
      <c r="I82" s="87">
        <v>100.0</v>
      </c>
      <c r="J82" s="23">
        <f t="shared" si="1"/>
        <v>3672</v>
      </c>
      <c r="K82" s="23">
        <f t="shared" si="2"/>
        <v>3672</v>
      </c>
      <c r="L82" s="23">
        <f t="shared" si="22"/>
        <v>-503</v>
      </c>
      <c r="M82" s="27">
        <f t="shared" si="23"/>
        <v>-0.1369825708</v>
      </c>
      <c r="N82" s="23">
        <f>IFERROR(__xludf.DUMMYFUNCTION("IF(G82&gt;0,0,GOOGLEFINANCE(""NSE:""&amp;B82,""change""))"),-0.12)</f>
        <v>-0.12</v>
      </c>
      <c r="O82" s="23">
        <f t="shared" si="5"/>
        <v>-12</v>
      </c>
      <c r="P82" s="23">
        <f t="shared" si="6"/>
        <v>0</v>
      </c>
      <c r="Q82" s="27">
        <f t="shared" si="7"/>
        <v>0</v>
      </c>
      <c r="AC82" s="78"/>
    </row>
    <row r="83" ht="22.5" customHeight="1">
      <c r="A83" s="22">
        <v>82.0</v>
      </c>
      <c r="B83" s="22" t="s">
        <v>22</v>
      </c>
      <c r="C83" s="24" t="s">
        <v>136</v>
      </c>
      <c r="D83" s="25"/>
      <c r="E83" s="26">
        <v>223.25</v>
      </c>
      <c r="F83" s="25"/>
      <c r="G83" s="23">
        <v>0.0</v>
      </c>
      <c r="H83" s="26">
        <f>IFERROR(__xludf.DUMMYFUNCTION("GOOGLEFINANCE(""NSE:""&amp;B83,""price"")"),369.7)</f>
        <v>369.7</v>
      </c>
      <c r="I83" s="22">
        <v>23.0</v>
      </c>
      <c r="J83" s="23">
        <f t="shared" si="1"/>
        <v>5134.75</v>
      </c>
      <c r="K83" s="23">
        <f t="shared" si="2"/>
        <v>5134.75</v>
      </c>
      <c r="L83" s="23">
        <f t="shared" si="22"/>
        <v>3368.35</v>
      </c>
      <c r="M83" s="27">
        <f t="shared" si="23"/>
        <v>0.6559910414</v>
      </c>
      <c r="N83" s="23">
        <f>IFERROR(__xludf.DUMMYFUNCTION("IF(G83&gt;0,0,GOOGLEFINANCE(""NSE:""&amp;B83,""change""))"),-0.2)</f>
        <v>-0.2</v>
      </c>
      <c r="O83" s="23">
        <f t="shared" si="5"/>
        <v>-4.6</v>
      </c>
      <c r="P83" s="23">
        <f t="shared" si="6"/>
        <v>0</v>
      </c>
      <c r="Q83" s="27">
        <f t="shared" si="7"/>
        <v>0</v>
      </c>
      <c r="AC83" s="78"/>
    </row>
    <row r="84" ht="22.5" customHeight="1">
      <c r="A84" s="22">
        <v>83.0</v>
      </c>
      <c r="B84" s="84" t="s">
        <v>17</v>
      </c>
      <c r="C84" s="88" t="s">
        <v>136</v>
      </c>
      <c r="D84" s="86">
        <v>45499.0</v>
      </c>
      <c r="E84" s="84">
        <v>247.0</v>
      </c>
      <c r="F84" s="80"/>
      <c r="G84" s="84">
        <v>0.0</v>
      </c>
      <c r="H84" s="26">
        <f>IFERROR(__xludf.DUMMYFUNCTION("GOOGLEFINANCE(""NSE:""&amp;B84,""price"")"),178.1)</f>
        <v>178.1</v>
      </c>
      <c r="I84" s="87">
        <v>14.0</v>
      </c>
      <c r="J84" s="23">
        <f t="shared" si="1"/>
        <v>3458</v>
      </c>
      <c r="K84" s="23">
        <f t="shared" si="2"/>
        <v>3458</v>
      </c>
      <c r="L84" s="23">
        <f t="shared" si="22"/>
        <v>-964.6</v>
      </c>
      <c r="M84" s="27">
        <f t="shared" si="23"/>
        <v>-0.2789473684</v>
      </c>
      <c r="N84" s="23">
        <f>IFERROR(__xludf.DUMMYFUNCTION("IF(G84&gt;0,0,GOOGLEFINANCE(""NSE:""&amp;B84,""change""))"),1.05)</f>
        <v>1.05</v>
      </c>
      <c r="O84" s="23">
        <f t="shared" si="5"/>
        <v>14.7</v>
      </c>
      <c r="P84" s="23">
        <f t="shared" si="6"/>
        <v>0</v>
      </c>
      <c r="Q84" s="27">
        <f t="shared" si="7"/>
        <v>0</v>
      </c>
      <c r="AC84" s="78"/>
    </row>
    <row r="85" ht="22.5" customHeight="1">
      <c r="A85" s="22">
        <v>84.0</v>
      </c>
      <c r="B85" s="84" t="s">
        <v>119</v>
      </c>
      <c r="C85" s="88" t="s">
        <v>152</v>
      </c>
      <c r="D85" s="86">
        <v>45524.0</v>
      </c>
      <c r="E85" s="84">
        <v>42.36</v>
      </c>
      <c r="F85" s="80"/>
      <c r="G85" s="84">
        <v>0.0</v>
      </c>
      <c r="H85" s="26">
        <f>IFERROR(__xludf.DUMMYFUNCTION("GOOGLEFINANCE(""NSE:""&amp;B85,""price"")"),40.99)</f>
        <v>40.99</v>
      </c>
      <c r="I85" s="87">
        <v>50.0</v>
      </c>
      <c r="J85" s="23">
        <f t="shared" si="1"/>
        <v>2118</v>
      </c>
      <c r="K85" s="23">
        <f t="shared" si="2"/>
        <v>2118</v>
      </c>
      <c r="L85" s="23">
        <f t="shared" si="22"/>
        <v>-68.5</v>
      </c>
      <c r="M85" s="27">
        <f t="shared" si="23"/>
        <v>-0.03234183192</v>
      </c>
      <c r="N85" s="23">
        <f>IFERROR(__xludf.DUMMYFUNCTION("IF(G85&gt;0,0,GOOGLEFINANCE(""NSE:""&amp;B85,""change""))"),-0.34)</f>
        <v>-0.34</v>
      </c>
      <c r="O85" s="23">
        <f t="shared" si="5"/>
        <v>-17</v>
      </c>
      <c r="P85" s="23">
        <f t="shared" si="6"/>
        <v>0</v>
      </c>
      <c r="Q85" s="27">
        <f t="shared" si="7"/>
        <v>0</v>
      </c>
      <c r="AC85" s="78"/>
    </row>
    <row r="86" ht="22.5" customHeight="1">
      <c r="A86" s="22">
        <v>85.0</v>
      </c>
      <c r="B86" s="84" t="s">
        <v>119</v>
      </c>
      <c r="C86" s="88" t="s">
        <v>136</v>
      </c>
      <c r="D86" s="86">
        <v>45525.0</v>
      </c>
      <c r="E86" s="84">
        <v>42.26</v>
      </c>
      <c r="F86" s="86">
        <v>45813.0</v>
      </c>
      <c r="G86" s="84">
        <v>38.46</v>
      </c>
      <c r="H86" s="26">
        <f>IFERROR(__xludf.DUMMYFUNCTION("GOOGLEFINANCE(""NSE:""&amp;B86,""price"")"),40.99)</f>
        <v>40.99</v>
      </c>
      <c r="I86" s="87">
        <v>50.0</v>
      </c>
      <c r="J86" s="23">
        <f t="shared" si="1"/>
        <v>2113</v>
      </c>
      <c r="K86" s="23">
        <f t="shared" si="2"/>
        <v>4036</v>
      </c>
      <c r="L86" s="23">
        <f t="shared" si="22"/>
        <v>0</v>
      </c>
      <c r="M86" s="27">
        <f t="shared" si="23"/>
        <v>0</v>
      </c>
      <c r="N86" s="23">
        <f>IFERROR(__xludf.DUMMYFUNCTION("IF(G86&gt;0,0,GOOGLEFINANCE(""NSE:""&amp;B86,""change""))"),0.0)</f>
        <v>0</v>
      </c>
      <c r="O86" s="23">
        <f t="shared" si="5"/>
        <v>0</v>
      </c>
      <c r="P86" s="23">
        <f t="shared" si="6"/>
        <v>-190</v>
      </c>
      <c r="Q86" s="27">
        <f t="shared" si="7"/>
        <v>-0.08991954567</v>
      </c>
      <c r="AC86" s="78"/>
    </row>
    <row r="87" ht="22.5" customHeight="1">
      <c r="A87" s="22">
        <v>86.0</v>
      </c>
      <c r="B87" s="84" t="s">
        <v>57</v>
      </c>
      <c r="C87" s="88" t="s">
        <v>147</v>
      </c>
      <c r="D87" s="86">
        <v>45533.0</v>
      </c>
      <c r="E87" s="84">
        <v>574.5</v>
      </c>
      <c r="F87" s="80"/>
      <c r="G87" s="84">
        <v>0.0</v>
      </c>
      <c r="H87" s="26">
        <f>IFERROR(__xludf.DUMMYFUNCTION("GOOGLEFINANCE(""NSE:""&amp;B87,""price"")"),780.7)</f>
        <v>780.7</v>
      </c>
      <c r="I87" s="87">
        <v>8.0</v>
      </c>
      <c r="J87" s="23">
        <f t="shared" si="1"/>
        <v>4596</v>
      </c>
      <c r="K87" s="23">
        <f t="shared" si="2"/>
        <v>4596</v>
      </c>
      <c r="L87" s="23">
        <f t="shared" si="22"/>
        <v>1649.6</v>
      </c>
      <c r="M87" s="27">
        <f t="shared" si="23"/>
        <v>0.3589208007</v>
      </c>
      <c r="N87" s="23">
        <f>IFERROR(__xludf.DUMMYFUNCTION("IF(G87&gt;0,0,GOOGLEFINANCE(""NSE:""&amp;B87,""change""))"),4.15)</f>
        <v>4.15</v>
      </c>
      <c r="O87" s="23">
        <f t="shared" si="5"/>
        <v>33.2</v>
      </c>
      <c r="P87" s="23">
        <f t="shared" si="6"/>
        <v>0</v>
      </c>
      <c r="Q87" s="27">
        <f t="shared" si="7"/>
        <v>0</v>
      </c>
      <c r="AC87" s="78"/>
    </row>
    <row r="88" ht="22.5" customHeight="1">
      <c r="A88" s="22">
        <v>87.0</v>
      </c>
      <c r="B88" s="84" t="s">
        <v>119</v>
      </c>
      <c r="C88" s="88" t="s">
        <v>147</v>
      </c>
      <c r="D88" s="86">
        <v>45533.0</v>
      </c>
      <c r="E88" s="84">
        <v>43.27</v>
      </c>
      <c r="F88" s="80"/>
      <c r="G88" s="84">
        <v>0.0</v>
      </c>
      <c r="H88" s="26">
        <f>IFERROR(__xludf.DUMMYFUNCTION("GOOGLEFINANCE(""NSE:""&amp;B88,""price"")"),40.99)</f>
        <v>40.99</v>
      </c>
      <c r="I88" s="87">
        <v>8.0</v>
      </c>
      <c r="J88" s="23">
        <f t="shared" si="1"/>
        <v>346.16</v>
      </c>
      <c r="K88" s="23">
        <f t="shared" si="2"/>
        <v>346.16</v>
      </c>
      <c r="L88" s="23">
        <f t="shared" si="22"/>
        <v>-18.24</v>
      </c>
      <c r="M88" s="27">
        <f t="shared" si="23"/>
        <v>-0.05269239658</v>
      </c>
      <c r="N88" s="23">
        <f>IFERROR(__xludf.DUMMYFUNCTION("IF(G88&gt;0,0,GOOGLEFINANCE(""NSE:""&amp;B88,""change""))"),-0.34)</f>
        <v>-0.34</v>
      </c>
      <c r="O88" s="23">
        <f t="shared" si="5"/>
        <v>-2.72</v>
      </c>
      <c r="P88" s="23">
        <f t="shared" si="6"/>
        <v>0</v>
      </c>
      <c r="Q88" s="27">
        <f t="shared" si="7"/>
        <v>0</v>
      </c>
      <c r="AC88" s="78"/>
    </row>
    <row r="89" ht="22.5" customHeight="1">
      <c r="A89" s="22">
        <v>88.0</v>
      </c>
      <c r="B89" s="84" t="s">
        <v>171</v>
      </c>
      <c r="C89" s="88" t="s">
        <v>147</v>
      </c>
      <c r="D89" s="86">
        <v>45539.0</v>
      </c>
      <c r="E89" s="84">
        <v>764.1</v>
      </c>
      <c r="F89" s="80"/>
      <c r="G89" s="84">
        <v>0.0</v>
      </c>
      <c r="H89" s="26">
        <f>IFERROR(__xludf.DUMMYFUNCTION("GOOGLEFINANCE(""NSE:""&amp;B89,""price"")"),869.0)</f>
        <v>869</v>
      </c>
      <c r="I89" s="87">
        <v>6.0</v>
      </c>
      <c r="J89" s="23">
        <f t="shared" si="1"/>
        <v>4584.6</v>
      </c>
      <c r="K89" s="23">
        <f t="shared" si="2"/>
        <v>4584.6</v>
      </c>
      <c r="L89" s="23">
        <f t="shared" ref="L89:L102" si="24">IF(G89&gt;0,0,(H89-E89)*I89)</f>
        <v>629.4</v>
      </c>
      <c r="M89" s="27">
        <f t="shared" si="23"/>
        <v>0.1372856956</v>
      </c>
      <c r="N89" s="23">
        <f>IFERROR(__xludf.DUMMYFUNCTION("IF(G89&gt;0,0,GOOGLEFINANCE(""NSE:""&amp;B89,""change""))"),-3.2)</f>
        <v>-3.2</v>
      </c>
      <c r="O89" s="23">
        <f t="shared" si="5"/>
        <v>-19.2</v>
      </c>
      <c r="P89" s="23">
        <f t="shared" si="6"/>
        <v>0</v>
      </c>
      <c r="Q89" s="27">
        <f t="shared" si="7"/>
        <v>0</v>
      </c>
      <c r="AB89" s="42" t="s">
        <v>175</v>
      </c>
      <c r="AC89" s="66"/>
    </row>
    <row r="90" ht="22.5" customHeight="1">
      <c r="A90" s="22">
        <v>89.0</v>
      </c>
      <c r="B90" s="84" t="s">
        <v>57</v>
      </c>
      <c r="C90" s="88" t="s">
        <v>147</v>
      </c>
      <c r="D90" s="86">
        <v>45566.0</v>
      </c>
      <c r="E90" s="84">
        <v>622.8</v>
      </c>
      <c r="F90" s="80"/>
      <c r="G90" s="84">
        <v>0.0</v>
      </c>
      <c r="H90" s="26">
        <f>IFERROR(__xludf.DUMMYFUNCTION("GOOGLEFINANCE(""NSE:""&amp;B90,""price"")"),780.7)</f>
        <v>780.7</v>
      </c>
      <c r="I90" s="87">
        <v>8.0</v>
      </c>
      <c r="J90" s="23">
        <f t="shared" si="1"/>
        <v>4982.4</v>
      </c>
      <c r="K90" s="23">
        <f t="shared" si="2"/>
        <v>4982.4</v>
      </c>
      <c r="L90" s="23">
        <f t="shared" si="24"/>
        <v>1263.2</v>
      </c>
      <c r="M90" s="27">
        <f t="shared" si="23"/>
        <v>0.2535324342</v>
      </c>
      <c r="N90" s="23">
        <f>IFERROR(__xludf.DUMMYFUNCTION("IF(G90&gt;0,0,GOOGLEFINANCE(""NSE:""&amp;B90,""change""))"),4.15)</f>
        <v>4.15</v>
      </c>
      <c r="O90" s="23">
        <f t="shared" si="5"/>
        <v>33.2</v>
      </c>
      <c r="P90" s="23">
        <f t="shared" si="6"/>
        <v>0</v>
      </c>
      <c r="Q90" s="27">
        <f t="shared" si="7"/>
        <v>0</v>
      </c>
      <c r="AC90" s="78"/>
    </row>
    <row r="91" ht="22.5" customHeight="1">
      <c r="A91" s="22">
        <v>90.0</v>
      </c>
      <c r="B91" s="84" t="s">
        <v>61</v>
      </c>
      <c r="C91" s="88" t="s">
        <v>147</v>
      </c>
      <c r="D91" s="86">
        <v>45566.0</v>
      </c>
      <c r="E91" s="84">
        <v>110.76</v>
      </c>
      <c r="F91" s="80"/>
      <c r="G91" s="84">
        <v>0.0</v>
      </c>
      <c r="H91" s="26">
        <f>IFERROR(__xludf.DUMMYFUNCTION("GOOGLEFINANCE(""NSE:""&amp;B91,""price"")"),114.45)</f>
        <v>114.45</v>
      </c>
      <c r="I91" s="87">
        <v>4.0</v>
      </c>
      <c r="J91" s="23">
        <f t="shared" si="1"/>
        <v>443.04</v>
      </c>
      <c r="K91" s="23">
        <f t="shared" si="2"/>
        <v>443.04</v>
      </c>
      <c r="L91" s="23">
        <f t="shared" si="24"/>
        <v>14.76</v>
      </c>
      <c r="M91" s="27">
        <f t="shared" si="23"/>
        <v>0.03331527627</v>
      </c>
      <c r="N91" s="23">
        <f>IFERROR(__xludf.DUMMYFUNCTION("IF(G91&gt;0,0,GOOGLEFINANCE(""NSE:""&amp;B91,""change""))"),0.42)</f>
        <v>0.42</v>
      </c>
      <c r="O91" s="23">
        <f t="shared" si="5"/>
        <v>1.68</v>
      </c>
      <c r="P91" s="23">
        <f t="shared" si="6"/>
        <v>0</v>
      </c>
      <c r="Q91" s="27">
        <f t="shared" si="7"/>
        <v>0</v>
      </c>
      <c r="AC91" s="78"/>
    </row>
    <row r="92" ht="22.5" customHeight="1">
      <c r="A92" s="22">
        <v>91.0</v>
      </c>
      <c r="B92" s="84" t="s">
        <v>39</v>
      </c>
      <c r="C92" s="88" t="s">
        <v>136</v>
      </c>
      <c r="D92" s="86">
        <v>45593.0</v>
      </c>
      <c r="E92" s="75">
        <v>1242.675</v>
      </c>
      <c r="F92" s="80"/>
      <c r="G92" s="84">
        <v>0.0</v>
      </c>
      <c r="H92" s="26">
        <f>IFERROR(__xludf.DUMMYFUNCTION("GOOGLEFINANCE(""NSE:""&amp;B92,""price"")"),1569.0)</f>
        <v>1569</v>
      </c>
      <c r="I92" s="87">
        <v>5.0</v>
      </c>
      <c r="J92" s="23">
        <f t="shared" si="1"/>
        <v>6213.375</v>
      </c>
      <c r="K92" s="23">
        <f t="shared" si="2"/>
        <v>6213.375</v>
      </c>
      <c r="L92" s="23">
        <f t="shared" si="24"/>
        <v>1631.625</v>
      </c>
      <c r="M92" s="27">
        <f t="shared" si="23"/>
        <v>0.2625988291</v>
      </c>
      <c r="N92" s="23">
        <f>IFERROR(__xludf.DUMMYFUNCTION("IF(G92&gt;0,0,GOOGLEFINANCE(""NSE:""&amp;B92,""change""))"),-6.4)</f>
        <v>-6.4</v>
      </c>
      <c r="O92" s="23">
        <f t="shared" si="5"/>
        <v>-32</v>
      </c>
      <c r="P92" s="23">
        <f t="shared" si="6"/>
        <v>0</v>
      </c>
      <c r="Q92" s="27">
        <f t="shared" si="7"/>
        <v>0</v>
      </c>
      <c r="AB92" s="35" t="s">
        <v>137</v>
      </c>
      <c r="AC92" s="76"/>
    </row>
    <row r="93" ht="22.5" customHeight="1">
      <c r="A93" s="22">
        <v>92.0</v>
      </c>
      <c r="B93" s="84" t="s">
        <v>39</v>
      </c>
      <c r="C93" s="88" t="s">
        <v>136</v>
      </c>
      <c r="D93" s="86">
        <v>45593.0</v>
      </c>
      <c r="E93" s="75">
        <v>1167.375</v>
      </c>
      <c r="F93" s="80"/>
      <c r="G93" s="84">
        <v>0.0</v>
      </c>
      <c r="H93" s="26">
        <f>IFERROR(__xludf.DUMMYFUNCTION("GOOGLEFINANCE(""NSE:""&amp;B93,""price"")"),1569.0)</f>
        <v>1569</v>
      </c>
      <c r="I93" s="87">
        <v>2.0</v>
      </c>
      <c r="J93" s="23">
        <f t="shared" si="1"/>
        <v>2334.75</v>
      </c>
      <c r="K93" s="23">
        <f t="shared" si="2"/>
        <v>2334.75</v>
      </c>
      <c r="L93" s="23">
        <f t="shared" si="24"/>
        <v>803.25</v>
      </c>
      <c r="M93" s="27">
        <f t="shared" si="23"/>
        <v>0.3440411179</v>
      </c>
      <c r="N93" s="23">
        <f>IFERROR(__xludf.DUMMYFUNCTION("IF(G93&gt;0,0,GOOGLEFINANCE(""NSE:""&amp;B93,""change""))"),-6.4)</f>
        <v>-6.4</v>
      </c>
      <c r="O93" s="23">
        <f t="shared" si="5"/>
        <v>-12.8</v>
      </c>
      <c r="P93" s="23">
        <f t="shared" si="6"/>
        <v>0</v>
      </c>
      <c r="Q93" s="27">
        <f t="shared" si="7"/>
        <v>0</v>
      </c>
      <c r="AB93" s="35" t="s">
        <v>137</v>
      </c>
      <c r="AC93" s="76"/>
    </row>
    <row r="94" ht="22.5" customHeight="1">
      <c r="A94" s="22">
        <v>93.0</v>
      </c>
      <c r="B94" s="84" t="s">
        <v>11</v>
      </c>
      <c r="C94" s="88" t="s">
        <v>136</v>
      </c>
      <c r="D94" s="86">
        <v>45597.0</v>
      </c>
      <c r="E94" s="84">
        <v>26.57</v>
      </c>
      <c r="F94" s="80"/>
      <c r="G94" s="84">
        <v>0.0</v>
      </c>
      <c r="H94" s="26">
        <f>IFERROR(__xludf.DUMMYFUNCTION("GOOGLEFINANCE(""NSE:""&amp;B94,""price"")"),25.31)</f>
        <v>25.31</v>
      </c>
      <c r="I94" s="87">
        <v>151.0</v>
      </c>
      <c r="J94" s="23">
        <f t="shared" si="1"/>
        <v>4012.07</v>
      </c>
      <c r="K94" s="23">
        <f t="shared" si="2"/>
        <v>4012.07</v>
      </c>
      <c r="L94" s="23">
        <f t="shared" si="24"/>
        <v>-190.26</v>
      </c>
      <c r="M94" s="27">
        <f t="shared" si="23"/>
        <v>-0.0474219044</v>
      </c>
      <c r="N94" s="23">
        <f>IFERROR(__xludf.DUMMYFUNCTION("IF(G94&gt;0,0,GOOGLEFINANCE(""NSE:""&amp;B94,""change""))"),-0.05)</f>
        <v>-0.05</v>
      </c>
      <c r="O94" s="23">
        <f t="shared" si="5"/>
        <v>-7.55</v>
      </c>
      <c r="P94" s="23">
        <f t="shared" si="6"/>
        <v>0</v>
      </c>
      <c r="Q94" s="27">
        <f t="shared" si="7"/>
        <v>0</v>
      </c>
      <c r="AB94" s="42" t="s">
        <v>128</v>
      </c>
      <c r="AC94" s="66"/>
    </row>
    <row r="95" ht="22.5" customHeight="1">
      <c r="A95" s="22">
        <v>94.0</v>
      </c>
      <c r="B95" s="84" t="s">
        <v>116</v>
      </c>
      <c r="C95" s="88" t="s">
        <v>152</v>
      </c>
      <c r="D95" s="86">
        <v>45597.0</v>
      </c>
      <c r="E95" s="84">
        <v>35.16</v>
      </c>
      <c r="F95" s="80"/>
      <c r="G95" s="84">
        <v>0.0</v>
      </c>
      <c r="H95" s="26">
        <f>IFERROR(__xludf.DUMMYFUNCTION("GOOGLEFINANCE(""NSE:""&amp;B95,""price"")"),31.69)</f>
        <v>31.69</v>
      </c>
      <c r="I95" s="87">
        <v>151.0</v>
      </c>
      <c r="J95" s="23">
        <f t="shared" si="1"/>
        <v>5309.16</v>
      </c>
      <c r="K95" s="23">
        <f t="shared" si="2"/>
        <v>5309.16</v>
      </c>
      <c r="L95" s="23">
        <f t="shared" si="24"/>
        <v>-523.97</v>
      </c>
      <c r="M95" s="27">
        <f t="shared" si="23"/>
        <v>-0.09869169511</v>
      </c>
      <c r="N95" s="23">
        <f>IFERROR(__xludf.DUMMYFUNCTION("IF(G95&gt;0,0,GOOGLEFINANCE(""NSE:""&amp;B95,""change""))"),-0.12)</f>
        <v>-0.12</v>
      </c>
      <c r="O95" s="23">
        <f t="shared" si="5"/>
        <v>-18.12</v>
      </c>
      <c r="P95" s="23">
        <f t="shared" si="6"/>
        <v>0</v>
      </c>
      <c r="Q95" s="27">
        <f t="shared" si="7"/>
        <v>0</v>
      </c>
      <c r="AB95" s="42" t="s">
        <v>128</v>
      </c>
      <c r="AC95" s="66"/>
    </row>
    <row r="96" ht="22.5" customHeight="1">
      <c r="A96" s="22">
        <v>95.0</v>
      </c>
      <c r="B96" s="84" t="s">
        <v>39</v>
      </c>
      <c r="C96" s="88" t="s">
        <v>147</v>
      </c>
      <c r="D96" s="86">
        <v>45597.0</v>
      </c>
      <c r="E96" s="84">
        <v>1339.6</v>
      </c>
      <c r="F96" s="80"/>
      <c r="G96" s="84">
        <v>0.0</v>
      </c>
      <c r="H96" s="26">
        <f>IFERROR(__xludf.DUMMYFUNCTION("GOOGLEFINANCE(""NSE:""&amp;B96,""price"")"),1569.0)</f>
        <v>1569</v>
      </c>
      <c r="I96" s="87">
        <v>3.0</v>
      </c>
      <c r="J96" s="23">
        <f t="shared" si="1"/>
        <v>4018.8</v>
      </c>
      <c r="K96" s="23">
        <f t="shared" si="2"/>
        <v>4018.8</v>
      </c>
      <c r="L96" s="23">
        <f t="shared" si="24"/>
        <v>688.2</v>
      </c>
      <c r="M96" s="27">
        <f t="shared" si="23"/>
        <v>0.1712451478</v>
      </c>
      <c r="N96" s="23">
        <f>IFERROR(__xludf.DUMMYFUNCTION("IF(G96&gt;0,0,GOOGLEFINANCE(""NSE:""&amp;B96,""change""))"),-6.4)</f>
        <v>-6.4</v>
      </c>
      <c r="O96" s="23">
        <f t="shared" si="5"/>
        <v>-19.2</v>
      </c>
      <c r="P96" s="23">
        <f t="shared" si="6"/>
        <v>0</v>
      </c>
      <c r="Q96" s="27">
        <f t="shared" si="7"/>
        <v>0</v>
      </c>
      <c r="AB96" s="42" t="s">
        <v>128</v>
      </c>
      <c r="AC96" s="66"/>
    </row>
    <row r="97" ht="22.5" customHeight="1">
      <c r="A97" s="22">
        <v>96.0</v>
      </c>
      <c r="B97" s="84" t="s">
        <v>61</v>
      </c>
      <c r="C97" s="88" t="s">
        <v>147</v>
      </c>
      <c r="D97" s="86">
        <v>45597.0</v>
      </c>
      <c r="E97" s="84">
        <v>102.0</v>
      </c>
      <c r="F97" s="80"/>
      <c r="G97" s="84">
        <v>0.0</v>
      </c>
      <c r="H97" s="26">
        <f>IFERROR(__xludf.DUMMYFUNCTION("GOOGLEFINANCE(""NSE:""&amp;B97,""price"")"),114.45)</f>
        <v>114.45</v>
      </c>
      <c r="I97" s="87">
        <v>6.0</v>
      </c>
      <c r="J97" s="23">
        <f t="shared" si="1"/>
        <v>612</v>
      </c>
      <c r="K97" s="23">
        <f t="shared" si="2"/>
        <v>612</v>
      </c>
      <c r="L97" s="23">
        <f t="shared" si="24"/>
        <v>74.7</v>
      </c>
      <c r="M97" s="27">
        <f t="shared" si="23"/>
        <v>0.1220588235</v>
      </c>
      <c r="N97" s="23">
        <f>IFERROR(__xludf.DUMMYFUNCTION("IF(G97&gt;0,0,GOOGLEFINANCE(""NSE:""&amp;B97,""change""))"),0.42)</f>
        <v>0.42</v>
      </c>
      <c r="O97" s="23">
        <f t="shared" si="5"/>
        <v>2.52</v>
      </c>
      <c r="P97" s="23">
        <f t="shared" si="6"/>
        <v>0</v>
      </c>
      <c r="Q97" s="27">
        <f t="shared" si="7"/>
        <v>0</v>
      </c>
      <c r="AB97" s="42" t="s">
        <v>128</v>
      </c>
      <c r="AC97" s="66"/>
    </row>
    <row r="98" ht="22.5" customHeight="1">
      <c r="A98" s="22">
        <v>97.0</v>
      </c>
      <c r="B98" s="84" t="s">
        <v>61</v>
      </c>
      <c r="C98" s="88" t="s">
        <v>153</v>
      </c>
      <c r="D98" s="86">
        <v>45597.0</v>
      </c>
      <c r="E98" s="84">
        <v>102.0</v>
      </c>
      <c r="F98" s="80"/>
      <c r="G98" s="84">
        <v>0.0</v>
      </c>
      <c r="H98" s="26">
        <f>IFERROR(__xludf.DUMMYFUNCTION("GOOGLEFINANCE(""NSE:""&amp;B98,""price"")"),114.45)</f>
        <v>114.45</v>
      </c>
      <c r="I98" s="87">
        <v>51.0</v>
      </c>
      <c r="J98" s="23">
        <f t="shared" si="1"/>
        <v>5202</v>
      </c>
      <c r="K98" s="23">
        <f t="shared" si="2"/>
        <v>5202</v>
      </c>
      <c r="L98" s="23">
        <f t="shared" si="24"/>
        <v>634.95</v>
      </c>
      <c r="M98" s="27">
        <f t="shared" si="23"/>
        <v>0.1220588235</v>
      </c>
      <c r="N98" s="23">
        <f>IFERROR(__xludf.DUMMYFUNCTION("IF(G98&gt;0,0,GOOGLEFINANCE(""NSE:""&amp;B98,""change""))"),0.42)</f>
        <v>0.42</v>
      </c>
      <c r="O98" s="23">
        <f t="shared" si="5"/>
        <v>21.42</v>
      </c>
      <c r="P98" s="23">
        <f t="shared" si="6"/>
        <v>0</v>
      </c>
      <c r="Q98" s="27">
        <f t="shared" si="7"/>
        <v>0</v>
      </c>
      <c r="AB98" s="42" t="s">
        <v>128</v>
      </c>
      <c r="AC98" s="66"/>
    </row>
    <row r="99" ht="22.5" customHeight="1">
      <c r="A99" s="22">
        <v>98.0</v>
      </c>
      <c r="B99" s="22" t="s">
        <v>67</v>
      </c>
      <c r="C99" s="88" t="s">
        <v>136</v>
      </c>
      <c r="D99" s="86">
        <v>45617.0</v>
      </c>
      <c r="E99" s="23">
        <v>66.56</v>
      </c>
      <c r="F99" s="25"/>
      <c r="G99" s="23">
        <v>0.0</v>
      </c>
      <c r="H99" s="26">
        <f>IFERROR(__xludf.DUMMYFUNCTION("GOOGLEFINANCE(""NSE:""&amp;B99,""price"")"),116.68)</f>
        <v>116.68</v>
      </c>
      <c r="I99" s="22">
        <v>100.0</v>
      </c>
      <c r="J99" s="23">
        <f t="shared" si="1"/>
        <v>6656</v>
      </c>
      <c r="K99" s="23">
        <f t="shared" si="2"/>
        <v>6656</v>
      </c>
      <c r="L99" s="23">
        <f t="shared" si="24"/>
        <v>5012</v>
      </c>
      <c r="M99" s="27">
        <f t="shared" si="23"/>
        <v>0.7530048077</v>
      </c>
      <c r="N99" s="23">
        <f>IFERROR(__xludf.DUMMYFUNCTION("IF(G99&gt;0,0,GOOGLEFINANCE(""NSE:""&amp;B99,""change""))"),1.7)</f>
        <v>1.7</v>
      </c>
      <c r="O99" s="23">
        <f t="shared" si="5"/>
        <v>170</v>
      </c>
      <c r="P99" s="23">
        <f t="shared" si="6"/>
        <v>0</v>
      </c>
      <c r="Q99" s="27">
        <f t="shared" si="7"/>
        <v>0</v>
      </c>
      <c r="AB99" s="42" t="s">
        <v>176</v>
      </c>
      <c r="AC99" s="66"/>
    </row>
    <row r="100" ht="22.5" customHeight="1">
      <c r="A100" s="22">
        <v>99.0</v>
      </c>
      <c r="B100" s="84" t="s">
        <v>39</v>
      </c>
      <c r="C100" s="88" t="s">
        <v>136</v>
      </c>
      <c r="D100" s="86">
        <v>45630.0</v>
      </c>
      <c r="E100" s="84">
        <v>1311.65</v>
      </c>
      <c r="F100" s="80"/>
      <c r="G100" s="23">
        <v>0.0</v>
      </c>
      <c r="H100" s="26">
        <f>IFERROR(__xludf.DUMMYFUNCTION("GOOGLEFINANCE(""NSE:""&amp;B100,""price"")"),1569.0)</f>
        <v>1569</v>
      </c>
      <c r="I100" s="87">
        <v>3.0</v>
      </c>
      <c r="J100" s="23">
        <f t="shared" si="1"/>
        <v>3934.95</v>
      </c>
      <c r="K100" s="23">
        <f t="shared" si="2"/>
        <v>3934.95</v>
      </c>
      <c r="L100" s="23">
        <f t="shared" si="24"/>
        <v>772.05</v>
      </c>
      <c r="M100" s="27">
        <f t="shared" si="23"/>
        <v>0.1962032554</v>
      </c>
      <c r="N100" s="23">
        <f>IFERROR(__xludf.DUMMYFUNCTION("IF(G100&gt;0,0,GOOGLEFINANCE(""NSE:""&amp;B100,""change""))"),-6.4)</f>
        <v>-6.4</v>
      </c>
      <c r="O100" s="23">
        <f t="shared" si="5"/>
        <v>-19.2</v>
      </c>
      <c r="P100" s="23">
        <f t="shared" si="6"/>
        <v>0</v>
      </c>
      <c r="Q100" s="27">
        <f t="shared" si="7"/>
        <v>0</v>
      </c>
      <c r="AC100" s="78"/>
    </row>
    <row r="101" ht="22.5" customHeight="1">
      <c r="A101" s="22">
        <v>100.0</v>
      </c>
      <c r="B101" s="84" t="s">
        <v>15</v>
      </c>
      <c r="C101" s="88" t="s">
        <v>97</v>
      </c>
      <c r="D101" s="86">
        <v>45812.0</v>
      </c>
      <c r="E101" s="84">
        <v>15.38</v>
      </c>
      <c r="F101" s="80"/>
      <c r="G101" s="84">
        <v>0.0</v>
      </c>
      <c r="H101" s="26">
        <f>IFERROR(__xludf.DUMMYFUNCTION("GOOGLEFINANCE(""NSE:""&amp;B101,""price"")"),21.49)</f>
        <v>21.49</v>
      </c>
      <c r="I101" s="87">
        <v>200.0</v>
      </c>
      <c r="J101" s="23">
        <f t="shared" si="1"/>
        <v>3076</v>
      </c>
      <c r="K101" s="23">
        <f t="shared" si="2"/>
        <v>3076</v>
      </c>
      <c r="L101" s="23">
        <f t="shared" si="24"/>
        <v>1222</v>
      </c>
      <c r="M101" s="27">
        <f t="shared" si="23"/>
        <v>0.3972691808</v>
      </c>
      <c r="N101" s="23">
        <f>IFERROR(__xludf.DUMMYFUNCTION("IF(G101&gt;0,0,GOOGLEFINANCE(""NSE:""&amp;B101,""change""))"),0.34)</f>
        <v>0.34</v>
      </c>
      <c r="O101" s="23">
        <f t="shared" si="5"/>
        <v>68</v>
      </c>
      <c r="P101" s="23">
        <f t="shared" si="6"/>
        <v>0</v>
      </c>
      <c r="Q101" s="27">
        <f t="shared" si="7"/>
        <v>0</v>
      </c>
      <c r="AC101" s="78"/>
    </row>
    <row r="102" ht="22.5" customHeight="1">
      <c r="A102" s="89">
        <v>101.0</v>
      </c>
      <c r="B102" s="84" t="s">
        <v>27</v>
      </c>
      <c r="C102" s="88" t="s">
        <v>97</v>
      </c>
      <c r="D102" s="86">
        <v>45813.0</v>
      </c>
      <c r="E102" s="84">
        <v>109.33</v>
      </c>
      <c r="F102" s="80"/>
      <c r="G102" s="84">
        <v>0.0</v>
      </c>
      <c r="H102" s="26">
        <f>IFERROR(__xludf.DUMMYFUNCTION("GOOGLEFINANCE(""NSE:""&amp;B102,""price"")"),116.72)</f>
        <v>116.72</v>
      </c>
      <c r="I102" s="87">
        <v>40.0</v>
      </c>
      <c r="J102" s="23">
        <f t="shared" si="1"/>
        <v>4373.2</v>
      </c>
      <c r="K102" s="23">
        <f t="shared" si="2"/>
        <v>4373.2</v>
      </c>
      <c r="L102" s="23">
        <f t="shared" si="24"/>
        <v>295.6</v>
      </c>
      <c r="M102" s="27">
        <f t="shared" si="23"/>
        <v>0.06759352419</v>
      </c>
      <c r="N102" s="23">
        <f>IFERROR(__xludf.DUMMYFUNCTION("IF(G102&gt;0,0,GOOGLEFINANCE(""NSE:""&amp;B102,""change""))"),0.58)</f>
        <v>0.58</v>
      </c>
      <c r="O102" s="23">
        <f t="shared" si="5"/>
        <v>23.2</v>
      </c>
      <c r="P102" s="23">
        <f t="shared" si="6"/>
        <v>0</v>
      </c>
      <c r="Q102" s="27">
        <f t="shared" si="7"/>
        <v>0</v>
      </c>
      <c r="AC102" s="78"/>
    </row>
    <row r="103" ht="22.5" customHeight="1">
      <c r="A103" s="89"/>
      <c r="B103" s="75"/>
      <c r="C103" s="83"/>
      <c r="D103" s="86"/>
      <c r="E103" s="75"/>
      <c r="F103" s="80"/>
      <c r="G103" s="84"/>
      <c r="H103" s="26"/>
      <c r="I103" s="85"/>
      <c r="J103" s="23"/>
      <c r="K103" s="23"/>
      <c r="L103" s="23"/>
      <c r="M103" s="27"/>
      <c r="N103" s="23"/>
      <c r="O103" s="23"/>
      <c r="P103" s="23"/>
      <c r="Q103" s="27"/>
      <c r="AC103" s="78"/>
    </row>
  </sheetData>
  <conditionalFormatting sqref="L2:Q103 Y2:Z58 AE3:AE13 AN3:AP50 AS3:AU9">
    <cfRule type="cellIs" dxfId="0" priority="1" operator="lessThan">
      <formula>0</formula>
    </cfRule>
  </conditionalFormatting>
  <conditionalFormatting sqref="L2:Q103 Y2:Z58 AE3:AE13 AN3:AP50 AS3:AU9">
    <cfRule type="cellIs" dxfId="1" priority="2" operator="greaterThan">
      <formula>0</formula>
    </cfRule>
  </conditionalFormatting>
  <dataValidations>
    <dataValidation type="custom" allowBlank="1" showDropDown="1" sqref="D2:D103 F2:F103">
      <formula1>OR(NOT(ISERROR(DATEVALUE(D2))), AND(ISNUMBER(D2), LEFT(CELL("format", D2))="D"))</formula1>
    </dataValidation>
    <dataValidation type="custom" allowBlank="1" showDropDown="1" sqref="E2:E103 G2:H103 J2:Q103">
      <formula1>AND(ISNUMBER(E2),(NOT(OR(NOT(ISERROR(DATEVALUE(E2))), AND(ISNUMBER(E2), LEFT(CELL("format", E2))="D")))))</formula1>
    </dataValidation>
    <dataValidation type="list" allowBlank="1" showErrorMessage="1" sqref="C2:C103">
      <formula1>"ESPRESSO,Savitri,DHAN,Paytm,Kamal,Ramkishor"</formula1>
    </dataValidation>
  </dataValidations>
  <drawing r:id="rId6"/>
  <legacyDrawing r:id="rId7"/>
  <tableParts count="1"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25"/>
    <col customWidth="1" min="3" max="3" width="17.25"/>
    <col customWidth="1" min="4" max="4" width="13.13"/>
    <col customWidth="1" min="5" max="5" width="14.63"/>
  </cols>
  <sheetData>
    <row r="1" ht="22.5" customHeight="1">
      <c r="A1" s="18" t="s">
        <v>177</v>
      </c>
      <c r="B1" s="18" t="s">
        <v>178</v>
      </c>
      <c r="C1" s="18" t="s">
        <v>73</v>
      </c>
      <c r="D1" s="18" t="s">
        <v>179</v>
      </c>
      <c r="E1" s="18" t="s">
        <v>180</v>
      </c>
    </row>
    <row r="2" ht="22.5" customHeight="1">
      <c r="A2" s="90">
        <v>44631.0</v>
      </c>
      <c r="B2" s="90"/>
      <c r="C2" s="91" t="s">
        <v>182</v>
      </c>
      <c r="D2" s="42" t="s">
        <v>34</v>
      </c>
      <c r="E2" s="81">
        <v>306.0</v>
      </c>
    </row>
    <row r="3" ht="22.5" customHeight="1">
      <c r="A3" s="90">
        <v>44741.0</v>
      </c>
      <c r="B3" s="90"/>
      <c r="C3" s="91" t="s">
        <v>182</v>
      </c>
      <c r="D3" s="42" t="s">
        <v>121</v>
      </c>
      <c r="E3" s="81">
        <v>72.6</v>
      </c>
    </row>
    <row r="4" ht="22.5" customHeight="1">
      <c r="A4" s="90">
        <v>44750.0</v>
      </c>
      <c r="B4" s="90"/>
      <c r="C4" s="91" t="s">
        <v>182</v>
      </c>
      <c r="D4" s="42" t="s">
        <v>187</v>
      </c>
      <c r="E4" s="81">
        <v>36.0</v>
      </c>
    </row>
    <row r="5" ht="22.5" customHeight="1">
      <c r="A5" s="90">
        <v>44775.0</v>
      </c>
      <c r="B5" s="90"/>
      <c r="C5" s="91" t="s">
        <v>182</v>
      </c>
      <c r="D5" s="42" t="s">
        <v>34</v>
      </c>
      <c r="E5" s="81">
        <v>170.0</v>
      </c>
    </row>
    <row r="6" ht="22.5" customHeight="1">
      <c r="A6" s="90">
        <v>44799.0</v>
      </c>
      <c r="B6" s="90"/>
      <c r="C6" s="91" t="s">
        <v>182</v>
      </c>
      <c r="D6" s="42" t="s">
        <v>187</v>
      </c>
      <c r="E6" s="81">
        <v>20.25</v>
      </c>
    </row>
    <row r="7" ht="22.5" customHeight="1">
      <c r="A7" s="90">
        <v>44867.0</v>
      </c>
      <c r="B7" s="90"/>
      <c r="C7" s="91" t="s">
        <v>182</v>
      </c>
      <c r="D7" s="42" t="s">
        <v>34</v>
      </c>
      <c r="E7" s="81">
        <v>170.0</v>
      </c>
    </row>
    <row r="8" ht="22.5" customHeight="1">
      <c r="A8" s="90">
        <v>44893.0</v>
      </c>
      <c r="B8" s="90"/>
      <c r="C8" s="91" t="s">
        <v>182</v>
      </c>
      <c r="D8" s="42" t="s">
        <v>187</v>
      </c>
      <c r="E8" s="81">
        <v>25.5</v>
      </c>
    </row>
    <row r="9" ht="22.5" customHeight="1">
      <c r="A9" s="90">
        <v>44958.0</v>
      </c>
      <c r="B9" s="90"/>
      <c r="C9" s="91" t="s">
        <v>182</v>
      </c>
      <c r="D9" s="42" t="s">
        <v>34</v>
      </c>
      <c r="E9" s="81">
        <v>170.0</v>
      </c>
    </row>
    <row r="10" ht="22.5" customHeight="1">
      <c r="A10" s="90">
        <v>44981.0</v>
      </c>
      <c r="B10" s="90"/>
      <c r="C10" s="91" t="s">
        <v>182</v>
      </c>
      <c r="D10" s="42" t="s">
        <v>187</v>
      </c>
      <c r="E10" s="81">
        <v>31.5</v>
      </c>
    </row>
    <row r="11" ht="22.5" customHeight="1">
      <c r="A11" s="90">
        <v>45055.0</v>
      </c>
      <c r="B11" s="90"/>
      <c r="C11" s="91" t="s">
        <v>184</v>
      </c>
      <c r="D11" s="42" t="s">
        <v>34</v>
      </c>
      <c r="E11" s="81">
        <v>198.0</v>
      </c>
    </row>
    <row r="12" ht="22.5" customHeight="1">
      <c r="A12" s="90">
        <v>45055.0</v>
      </c>
      <c r="B12" s="90"/>
      <c r="C12" s="91" t="s">
        <v>182</v>
      </c>
      <c r="D12" s="42" t="s">
        <v>34</v>
      </c>
      <c r="E12" s="81">
        <v>306.0</v>
      </c>
    </row>
    <row r="13" ht="22.5" customHeight="1">
      <c r="A13" s="90">
        <v>45085.0</v>
      </c>
      <c r="B13" s="90"/>
      <c r="C13" s="91" t="s">
        <v>182</v>
      </c>
      <c r="D13" s="42" t="s">
        <v>121</v>
      </c>
      <c r="E13" s="81">
        <v>101.4</v>
      </c>
    </row>
    <row r="14" ht="22.5" customHeight="1">
      <c r="A14" s="90">
        <v>45098.0</v>
      </c>
      <c r="B14" s="90"/>
      <c r="C14" s="91" t="s">
        <v>136</v>
      </c>
      <c r="D14" s="42" t="s">
        <v>68</v>
      </c>
      <c r="E14" s="81">
        <v>54.0</v>
      </c>
    </row>
    <row r="15" ht="22.5" customHeight="1">
      <c r="A15" s="90">
        <v>45099.0</v>
      </c>
      <c r="B15" s="90"/>
      <c r="C15" s="91" t="s">
        <v>97</v>
      </c>
      <c r="D15" s="42" t="s">
        <v>69</v>
      </c>
      <c r="E15" s="81">
        <v>144.0</v>
      </c>
    </row>
    <row r="16" ht="22.5" customHeight="1">
      <c r="A16" s="90">
        <v>45107.0</v>
      </c>
      <c r="B16" s="90"/>
      <c r="C16" s="91" t="s">
        <v>184</v>
      </c>
      <c r="D16" s="42" t="s">
        <v>56</v>
      </c>
      <c r="E16" s="81">
        <v>262.5</v>
      </c>
    </row>
    <row r="17" ht="22.5" customHeight="1">
      <c r="A17" s="90">
        <v>45107.0</v>
      </c>
      <c r="B17" s="90">
        <v>45126.0</v>
      </c>
      <c r="C17" s="91" t="s">
        <v>97</v>
      </c>
      <c r="D17" s="42" t="s">
        <v>188</v>
      </c>
      <c r="E17" s="81">
        <v>137.5</v>
      </c>
    </row>
    <row r="18" ht="22.5" customHeight="1">
      <c r="A18" s="90">
        <v>45139.0</v>
      </c>
      <c r="B18" s="90"/>
      <c r="C18" s="91" t="s">
        <v>184</v>
      </c>
      <c r="D18" s="42" t="s">
        <v>34</v>
      </c>
      <c r="E18" s="81">
        <v>110.0</v>
      </c>
    </row>
    <row r="19" ht="22.5" customHeight="1">
      <c r="A19" s="90">
        <v>45139.0</v>
      </c>
      <c r="B19" s="90"/>
      <c r="C19" s="91" t="s">
        <v>182</v>
      </c>
      <c r="D19" s="42" t="s">
        <v>34</v>
      </c>
      <c r="E19" s="81">
        <v>170.0</v>
      </c>
    </row>
    <row r="20" ht="22.5" customHeight="1">
      <c r="A20" s="90">
        <v>45128.0</v>
      </c>
      <c r="B20" s="90">
        <v>45149.0</v>
      </c>
      <c r="C20" s="91" t="s">
        <v>97</v>
      </c>
      <c r="D20" s="42" t="s">
        <v>194</v>
      </c>
      <c r="E20" s="81">
        <v>34.0</v>
      </c>
    </row>
    <row r="21" ht="22.5" customHeight="1">
      <c r="A21" s="90">
        <v>45149.0</v>
      </c>
      <c r="B21" s="90"/>
      <c r="C21" s="91" t="s">
        <v>136</v>
      </c>
      <c r="D21" s="42" t="s">
        <v>169</v>
      </c>
      <c r="E21" s="81">
        <v>8.0</v>
      </c>
    </row>
    <row r="22" ht="22.5" customHeight="1">
      <c r="A22" s="90">
        <v>45149.0</v>
      </c>
      <c r="B22" s="90"/>
      <c r="C22" s="91" t="s">
        <v>136</v>
      </c>
      <c r="D22" s="42" t="s">
        <v>200</v>
      </c>
      <c r="E22" s="81">
        <v>100.0</v>
      </c>
    </row>
    <row r="23" ht="22.5" customHeight="1">
      <c r="A23" s="90">
        <v>45152.0</v>
      </c>
      <c r="B23" s="90"/>
      <c r="C23" s="91" t="s">
        <v>184</v>
      </c>
      <c r="D23" s="42" t="s">
        <v>23</v>
      </c>
      <c r="E23" s="81">
        <v>171.0</v>
      </c>
    </row>
    <row r="24" ht="22.5" customHeight="1">
      <c r="A24" s="90">
        <v>45163.0</v>
      </c>
      <c r="B24" s="90"/>
      <c r="C24" s="91" t="s">
        <v>182</v>
      </c>
      <c r="D24" s="42" t="s">
        <v>187</v>
      </c>
      <c r="E24" s="81">
        <v>24.0</v>
      </c>
    </row>
    <row r="25" ht="22.5" customHeight="1">
      <c r="A25" s="90">
        <v>45166.0</v>
      </c>
      <c r="B25" s="90"/>
      <c r="C25" s="91" t="s">
        <v>136</v>
      </c>
      <c r="D25" s="42" t="s">
        <v>138</v>
      </c>
      <c r="E25" s="81">
        <v>100.0</v>
      </c>
    </row>
    <row r="26" ht="22.5" customHeight="1">
      <c r="A26" s="90">
        <v>45166.0</v>
      </c>
      <c r="B26" s="90"/>
      <c r="C26" s="91" t="s">
        <v>136</v>
      </c>
      <c r="D26" s="42" t="s">
        <v>39</v>
      </c>
      <c r="E26" s="81">
        <v>63.0</v>
      </c>
    </row>
    <row r="27" ht="22.5" customHeight="1">
      <c r="A27" s="90">
        <v>45167.0</v>
      </c>
      <c r="B27" s="90"/>
      <c r="C27" s="91" t="s">
        <v>182</v>
      </c>
      <c r="D27" s="42" t="s">
        <v>187</v>
      </c>
      <c r="E27" s="81">
        <v>36.0</v>
      </c>
    </row>
    <row r="28" ht="22.5" customHeight="1">
      <c r="A28" s="90">
        <v>45170.0</v>
      </c>
      <c r="B28" s="90"/>
      <c r="C28" s="91" t="s">
        <v>184</v>
      </c>
      <c r="D28" s="42" t="s">
        <v>41</v>
      </c>
      <c r="E28" s="81">
        <v>176.0</v>
      </c>
    </row>
    <row r="29" ht="22.5" customHeight="1">
      <c r="A29" s="90">
        <v>45174.0</v>
      </c>
      <c r="B29" s="90"/>
      <c r="C29" s="91" t="s">
        <v>184</v>
      </c>
      <c r="D29" s="42" t="s">
        <v>22</v>
      </c>
      <c r="E29" s="81">
        <v>240.0</v>
      </c>
    </row>
    <row r="30" ht="22.5" customHeight="1">
      <c r="A30" s="90">
        <v>45174.0</v>
      </c>
      <c r="B30" s="90"/>
      <c r="C30" s="91" t="s">
        <v>136</v>
      </c>
      <c r="D30" s="42" t="s">
        <v>22</v>
      </c>
      <c r="E30" s="81">
        <v>132.0</v>
      </c>
    </row>
    <row r="31" ht="22.5" customHeight="1">
      <c r="A31" s="90">
        <v>45187.0</v>
      </c>
      <c r="B31" s="90"/>
      <c r="C31" s="91" t="s">
        <v>184</v>
      </c>
      <c r="D31" s="42" t="s">
        <v>35</v>
      </c>
      <c r="E31" s="81">
        <v>44.0</v>
      </c>
    </row>
    <row r="32" ht="22.5" customHeight="1">
      <c r="A32" s="90">
        <v>45194.0</v>
      </c>
      <c r="B32" s="90"/>
      <c r="C32" s="91" t="s">
        <v>184</v>
      </c>
      <c r="D32" s="42" t="s">
        <v>55</v>
      </c>
      <c r="E32" s="81">
        <v>78.75</v>
      </c>
    </row>
    <row r="33" ht="22.5" customHeight="1">
      <c r="A33" s="90">
        <v>45230.0</v>
      </c>
      <c r="B33" s="90"/>
      <c r="C33" s="91" t="s">
        <v>184</v>
      </c>
      <c r="D33" s="42" t="s">
        <v>34</v>
      </c>
      <c r="E33" s="81">
        <v>132.0</v>
      </c>
    </row>
    <row r="34" ht="22.5" customHeight="1">
      <c r="A34" s="90">
        <v>45230.0</v>
      </c>
      <c r="B34" s="90"/>
      <c r="C34" s="91" t="s">
        <v>182</v>
      </c>
      <c r="D34" s="42" t="s">
        <v>34</v>
      </c>
      <c r="E34" s="81">
        <v>204.0</v>
      </c>
    </row>
    <row r="35" ht="22.5" customHeight="1">
      <c r="A35" s="90">
        <v>45218.0</v>
      </c>
      <c r="B35" s="90">
        <v>45237.0</v>
      </c>
      <c r="C35" s="91" t="s">
        <v>97</v>
      </c>
      <c r="D35" s="42" t="s">
        <v>210</v>
      </c>
      <c r="E35" s="81">
        <v>99.0</v>
      </c>
    </row>
    <row r="36" ht="22.5" customHeight="1">
      <c r="A36" s="90">
        <v>45253.0</v>
      </c>
      <c r="B36" s="90"/>
      <c r="C36" s="91" t="s">
        <v>184</v>
      </c>
      <c r="D36" s="42" t="s">
        <v>55</v>
      </c>
      <c r="E36" s="81">
        <v>48.0</v>
      </c>
    </row>
    <row r="37" ht="22.5" customHeight="1">
      <c r="A37" s="90">
        <v>45261.0</v>
      </c>
      <c r="B37" s="90"/>
      <c r="C37" s="91" t="s">
        <v>184</v>
      </c>
      <c r="D37" s="42" t="s">
        <v>35</v>
      </c>
      <c r="E37" s="81">
        <v>55.0</v>
      </c>
    </row>
    <row r="38" ht="22.5" customHeight="1">
      <c r="A38" s="90">
        <v>45282.0</v>
      </c>
      <c r="B38" s="90"/>
      <c r="C38" s="91" t="s">
        <v>184</v>
      </c>
      <c r="D38" s="42" t="s">
        <v>22</v>
      </c>
      <c r="E38" s="81">
        <v>1260.0</v>
      </c>
    </row>
    <row r="39" ht="22.5" customHeight="1">
      <c r="A39" s="90">
        <v>45282.0</v>
      </c>
      <c r="B39" s="90"/>
      <c r="C39" s="91" t="s">
        <v>136</v>
      </c>
      <c r="D39" s="42" t="s">
        <v>22</v>
      </c>
      <c r="E39" s="81">
        <v>693.0</v>
      </c>
    </row>
    <row r="40" ht="22.5" customHeight="1">
      <c r="A40" s="90">
        <v>45322.0</v>
      </c>
      <c r="B40" s="90"/>
      <c r="C40" s="91" t="s">
        <v>184</v>
      </c>
      <c r="D40" s="42" t="s">
        <v>34</v>
      </c>
      <c r="E40" s="81">
        <v>132.0</v>
      </c>
    </row>
    <row r="41" ht="22.5" customHeight="1">
      <c r="A41" s="90">
        <v>45322.0</v>
      </c>
      <c r="B41" s="90"/>
      <c r="C41" s="91" t="s">
        <v>182</v>
      </c>
      <c r="D41" s="42" t="s">
        <v>34</v>
      </c>
      <c r="E41" s="81">
        <v>204.0</v>
      </c>
    </row>
    <row r="42" ht="22.5" customHeight="1">
      <c r="A42" s="90">
        <v>45328.0</v>
      </c>
      <c r="B42" s="90"/>
      <c r="C42" s="91" t="s">
        <v>136</v>
      </c>
      <c r="D42" s="42" t="s">
        <v>51</v>
      </c>
      <c r="E42" s="81">
        <v>18.0</v>
      </c>
    </row>
    <row r="43" ht="22.5" customHeight="1">
      <c r="A43" s="90">
        <v>45342.0</v>
      </c>
      <c r="B43" s="90">
        <v>45362.0</v>
      </c>
      <c r="C43" s="91" t="s">
        <v>97</v>
      </c>
      <c r="D43" s="42" t="s">
        <v>65</v>
      </c>
      <c r="E43" s="81">
        <v>20.0</v>
      </c>
    </row>
    <row r="44" ht="22.5" customHeight="1">
      <c r="A44" s="90">
        <v>45422.0</v>
      </c>
      <c r="B44" s="90"/>
      <c r="C44" s="91" t="s">
        <v>97</v>
      </c>
      <c r="D44" s="42" t="s">
        <v>23</v>
      </c>
      <c r="E44" s="81">
        <v>97.5</v>
      </c>
    </row>
    <row r="45" ht="22.5" customHeight="1">
      <c r="A45" s="90">
        <v>45427.0</v>
      </c>
      <c r="B45" s="90"/>
      <c r="C45" s="91" t="s">
        <v>182</v>
      </c>
      <c r="D45" s="42" t="s">
        <v>34</v>
      </c>
      <c r="E45" s="81">
        <v>306.0</v>
      </c>
    </row>
    <row r="46" ht="22.5" customHeight="1">
      <c r="A46" s="90">
        <v>45455.0</v>
      </c>
      <c r="B46" s="90"/>
      <c r="C46" s="91" t="s">
        <v>97</v>
      </c>
      <c r="D46" s="42" t="s">
        <v>56</v>
      </c>
      <c r="E46" s="81">
        <v>60.0</v>
      </c>
    </row>
    <row r="47" ht="22.5" customHeight="1">
      <c r="A47" s="90">
        <v>45461.0</v>
      </c>
      <c r="B47" s="90"/>
      <c r="C47" s="91" t="s">
        <v>182</v>
      </c>
      <c r="D47" s="42" t="s">
        <v>121</v>
      </c>
      <c r="E47" s="81">
        <v>93.0</v>
      </c>
    </row>
    <row r="48" ht="22.5" customHeight="1">
      <c r="A48" s="90">
        <v>45091.0</v>
      </c>
      <c r="B48" s="90"/>
      <c r="C48" s="91" t="s">
        <v>183</v>
      </c>
      <c r="D48" s="42" t="s">
        <v>209</v>
      </c>
      <c r="E48" s="81">
        <v>11.3</v>
      </c>
    </row>
    <row r="49" ht="22.5" customHeight="1">
      <c r="A49" s="90">
        <v>45117.0</v>
      </c>
      <c r="B49" s="90"/>
      <c r="C49" s="91" t="s">
        <v>183</v>
      </c>
      <c r="D49" s="42" t="s">
        <v>69</v>
      </c>
      <c r="E49" s="81">
        <v>363.6</v>
      </c>
    </row>
    <row r="50" ht="22.5" customHeight="1">
      <c r="A50" s="90">
        <v>45140.0</v>
      </c>
      <c r="B50" s="90"/>
      <c r="C50" s="91" t="s">
        <v>183</v>
      </c>
      <c r="D50" s="42" t="s">
        <v>21</v>
      </c>
      <c r="E50" s="81">
        <v>10.0</v>
      </c>
    </row>
    <row r="51" ht="22.5" customHeight="1">
      <c r="A51" s="90">
        <v>45170.0</v>
      </c>
      <c r="B51" s="90"/>
      <c r="C51" s="91" t="s">
        <v>183</v>
      </c>
      <c r="D51" s="42" t="s">
        <v>41</v>
      </c>
      <c r="E51" s="81">
        <v>160.0</v>
      </c>
    </row>
    <row r="52" ht="22.5" customHeight="1">
      <c r="A52" s="90">
        <v>45187.0</v>
      </c>
      <c r="B52" s="90"/>
      <c r="C52" s="91" t="s">
        <v>183</v>
      </c>
      <c r="D52" s="42" t="s">
        <v>35</v>
      </c>
      <c r="E52" s="81">
        <v>22.0</v>
      </c>
    </row>
    <row r="53" ht="22.5" customHeight="1">
      <c r="A53" s="90">
        <v>45187.0</v>
      </c>
      <c r="B53" s="90"/>
      <c r="C53" s="91" t="s">
        <v>183</v>
      </c>
      <c r="D53" s="42" t="s">
        <v>38</v>
      </c>
      <c r="E53" s="81">
        <v>132.0</v>
      </c>
    </row>
    <row r="54" ht="22.5" customHeight="1">
      <c r="A54" s="90">
        <v>45261.0</v>
      </c>
      <c r="B54" s="90"/>
      <c r="C54" s="91" t="s">
        <v>183</v>
      </c>
      <c r="D54" s="42" t="s">
        <v>35</v>
      </c>
      <c r="E54" s="81">
        <v>27.5</v>
      </c>
    </row>
    <row r="55" ht="22.5" customHeight="1">
      <c r="A55" s="90">
        <v>45267.0</v>
      </c>
      <c r="B55" s="90"/>
      <c r="C55" s="91" t="s">
        <v>183</v>
      </c>
      <c r="D55" s="42" t="s">
        <v>38</v>
      </c>
      <c r="E55" s="81">
        <v>503.0</v>
      </c>
    </row>
    <row r="56" ht="22.5" customHeight="1">
      <c r="A56" s="90">
        <v>45357.0</v>
      </c>
      <c r="B56" s="90"/>
      <c r="C56" s="91" t="s">
        <v>183</v>
      </c>
      <c r="D56" s="42" t="s">
        <v>38</v>
      </c>
      <c r="E56" s="81">
        <v>173.0</v>
      </c>
    </row>
    <row r="57" ht="22.5" customHeight="1">
      <c r="A57" s="90">
        <v>45448.0</v>
      </c>
      <c r="B57" s="90"/>
      <c r="C57" s="91" t="s">
        <v>136</v>
      </c>
      <c r="D57" s="42" t="s">
        <v>66</v>
      </c>
      <c r="E57" s="81">
        <v>13.7</v>
      </c>
    </row>
    <row r="58" ht="22.5" customHeight="1">
      <c r="A58" s="90">
        <v>45468.0</v>
      </c>
      <c r="B58" s="90"/>
      <c r="C58" s="91" t="s">
        <v>136</v>
      </c>
      <c r="D58" s="42" t="s">
        <v>169</v>
      </c>
      <c r="E58" s="81">
        <v>114.0</v>
      </c>
    </row>
    <row r="59" ht="22.5" customHeight="1">
      <c r="A59" s="90">
        <v>45469.0</v>
      </c>
      <c r="B59" s="90"/>
      <c r="C59" s="91" t="s">
        <v>136</v>
      </c>
      <c r="D59" s="42" t="s">
        <v>70</v>
      </c>
      <c r="E59" s="81">
        <v>201.0</v>
      </c>
    </row>
    <row r="60" ht="22.5" customHeight="1">
      <c r="A60" s="90">
        <v>45482.0</v>
      </c>
      <c r="B60" s="90"/>
      <c r="C60" s="91" t="s">
        <v>136</v>
      </c>
      <c r="D60" s="42" t="s">
        <v>59</v>
      </c>
      <c r="E60" s="81">
        <v>140.0</v>
      </c>
    </row>
    <row r="61" ht="22.5" customHeight="1">
      <c r="A61" s="90">
        <v>45489.0</v>
      </c>
      <c r="B61" s="90"/>
      <c r="C61" s="91" t="s">
        <v>136</v>
      </c>
      <c r="D61" s="42" t="s">
        <v>64</v>
      </c>
      <c r="E61" s="81">
        <v>30.0</v>
      </c>
    </row>
    <row r="62" ht="22.5" customHeight="1">
      <c r="A62" s="90">
        <v>45464.0</v>
      </c>
      <c r="B62" s="90">
        <v>45491.0</v>
      </c>
      <c r="C62" s="91" t="s">
        <v>97</v>
      </c>
      <c r="D62" s="42" t="s">
        <v>115</v>
      </c>
      <c r="E62" s="81">
        <v>60.0</v>
      </c>
    </row>
    <row r="63" ht="22.5" customHeight="1">
      <c r="A63" s="92"/>
      <c r="B63" s="90">
        <v>45491.0</v>
      </c>
      <c r="C63" s="91" t="s">
        <v>136</v>
      </c>
      <c r="D63" s="42" t="s">
        <v>68</v>
      </c>
      <c r="E63" s="81">
        <v>54.0</v>
      </c>
    </row>
    <row r="64" ht="22.5" customHeight="1">
      <c r="A64" s="90">
        <v>45464.0</v>
      </c>
      <c r="B64" s="90">
        <v>45492.0</v>
      </c>
      <c r="C64" s="91" t="s">
        <v>97</v>
      </c>
      <c r="D64" s="42" t="s">
        <v>69</v>
      </c>
      <c r="E64" s="81">
        <v>144.0</v>
      </c>
    </row>
    <row r="65" ht="22.5" customHeight="1">
      <c r="A65" s="92"/>
      <c r="B65" s="90">
        <v>45492.0</v>
      </c>
      <c r="C65" s="91" t="s">
        <v>136</v>
      </c>
      <c r="D65" s="42" t="s">
        <v>69</v>
      </c>
      <c r="E65" s="81">
        <v>381.6</v>
      </c>
    </row>
    <row r="66" ht="22.5" customHeight="1">
      <c r="A66" s="90">
        <v>45492.0</v>
      </c>
      <c r="B66" s="90"/>
      <c r="C66" s="91" t="s">
        <v>97</v>
      </c>
      <c r="D66" s="42" t="s">
        <v>192</v>
      </c>
      <c r="E66" s="81">
        <v>7.0</v>
      </c>
    </row>
    <row r="67" ht="22.5" customHeight="1">
      <c r="A67" s="90">
        <v>45491.0</v>
      </c>
      <c r="B67" s="90"/>
      <c r="C67" s="91" t="s">
        <v>182</v>
      </c>
      <c r="D67" s="42" t="s">
        <v>115</v>
      </c>
      <c r="E67" s="81">
        <v>22.0</v>
      </c>
    </row>
    <row r="68" ht="22.5" customHeight="1">
      <c r="A68" s="90">
        <v>45492.0</v>
      </c>
      <c r="B68" s="90"/>
      <c r="C68" s="91" t="s">
        <v>182</v>
      </c>
      <c r="D68" s="42" t="s">
        <v>69</v>
      </c>
      <c r="E68" s="81">
        <v>32.4</v>
      </c>
    </row>
    <row r="69" ht="22.5" customHeight="1">
      <c r="A69" s="90">
        <v>45505.0</v>
      </c>
      <c r="B69" s="90"/>
      <c r="C69" s="91" t="s">
        <v>182</v>
      </c>
      <c r="D69" s="42" t="s">
        <v>34</v>
      </c>
      <c r="E69" s="81">
        <v>204.0</v>
      </c>
    </row>
    <row r="70" ht="22.5" customHeight="1">
      <c r="A70" s="90">
        <v>45534.0</v>
      </c>
      <c r="C70" s="91" t="s">
        <v>182</v>
      </c>
      <c r="D70" s="42" t="s">
        <v>34</v>
      </c>
      <c r="E70" s="81">
        <v>204.0</v>
      </c>
    </row>
    <row r="71" ht="22.5" customHeight="1">
      <c r="A71" s="90">
        <v>45502.0</v>
      </c>
      <c r="B71" s="90"/>
      <c r="C71" s="91" t="s">
        <v>97</v>
      </c>
      <c r="D71" s="42" t="s">
        <v>203</v>
      </c>
      <c r="E71" s="81">
        <v>24.0</v>
      </c>
    </row>
    <row r="72" ht="22.5" customHeight="1">
      <c r="A72" s="90">
        <v>45511.0</v>
      </c>
      <c r="C72" s="91" t="s">
        <v>97</v>
      </c>
      <c r="D72" s="42" t="s">
        <v>198</v>
      </c>
      <c r="E72" s="81">
        <v>51.0</v>
      </c>
    </row>
    <row r="73" ht="22.5" customHeight="1">
      <c r="A73" s="90">
        <v>45513.0</v>
      </c>
      <c r="B73" s="90"/>
      <c r="C73" s="91" t="s">
        <v>97</v>
      </c>
      <c r="D73" s="42" t="s">
        <v>53</v>
      </c>
      <c r="E73" s="81">
        <v>35.0</v>
      </c>
    </row>
    <row r="74" ht="22.5" customHeight="1">
      <c r="A74" s="90">
        <v>45554.0</v>
      </c>
      <c r="C74" s="91" t="s">
        <v>97</v>
      </c>
      <c r="D74" s="42" t="s">
        <v>65</v>
      </c>
      <c r="E74" s="81">
        <v>20.0</v>
      </c>
    </row>
    <row r="75" ht="22.5" customHeight="1">
      <c r="A75" s="90">
        <v>45602.0</v>
      </c>
      <c r="B75" s="90"/>
      <c r="C75" s="91" t="s">
        <v>97</v>
      </c>
      <c r="D75" s="42" t="s">
        <v>208</v>
      </c>
      <c r="E75" s="81">
        <v>6.0</v>
      </c>
    </row>
    <row r="76" ht="22.5" customHeight="1">
      <c r="A76" s="90">
        <v>45590.0</v>
      </c>
      <c r="C76" s="91" t="s">
        <v>97</v>
      </c>
      <c r="D76" s="42" t="s">
        <v>44</v>
      </c>
      <c r="E76" s="81">
        <v>20.0</v>
      </c>
    </row>
    <row r="77" ht="22.5" customHeight="1">
      <c r="A77" s="90">
        <v>45482.0</v>
      </c>
      <c r="B77" s="90"/>
      <c r="C77" s="91" t="s">
        <v>97</v>
      </c>
      <c r="D77" s="42" t="s">
        <v>206</v>
      </c>
      <c r="E77" s="81">
        <v>146.0</v>
      </c>
    </row>
    <row r="78" ht="22.5" customHeight="1">
      <c r="A78" s="90"/>
      <c r="B78" s="90">
        <v>45624.0</v>
      </c>
      <c r="C78" s="91" t="s">
        <v>136</v>
      </c>
      <c r="D78" s="42" t="s">
        <v>35</v>
      </c>
      <c r="E78" s="81">
        <v>40.0</v>
      </c>
    </row>
    <row r="79" ht="22.5" customHeight="1">
      <c r="A79" s="90"/>
      <c r="B79" s="90">
        <v>45617.0</v>
      </c>
      <c r="C79" s="91" t="s">
        <v>136</v>
      </c>
      <c r="D79" s="42" t="s">
        <v>38</v>
      </c>
      <c r="E79" s="81">
        <v>520.0</v>
      </c>
    </row>
    <row r="80" ht="22.5" customHeight="1">
      <c r="A80" s="90"/>
      <c r="B80" s="90">
        <v>45505.0</v>
      </c>
      <c r="C80" s="91" t="s">
        <v>136</v>
      </c>
      <c r="D80" s="42" t="s">
        <v>200</v>
      </c>
      <c r="E80" s="81">
        <v>100.0</v>
      </c>
    </row>
    <row r="81" ht="22.5" customHeight="1">
      <c r="A81" s="90"/>
      <c r="B81" s="90">
        <v>45504.0</v>
      </c>
      <c r="C81" s="93" t="s">
        <v>136</v>
      </c>
      <c r="D81" s="59" t="s">
        <v>21</v>
      </c>
      <c r="E81" s="60">
        <v>10.0</v>
      </c>
    </row>
    <row r="82" ht="22.5" customHeight="1">
      <c r="A82" s="90"/>
      <c r="B82" s="90">
        <v>45516.0</v>
      </c>
      <c r="C82" s="93" t="s">
        <v>97</v>
      </c>
      <c r="D82" s="59" t="s">
        <v>23</v>
      </c>
      <c r="E82" s="60">
        <v>98.0</v>
      </c>
    </row>
    <row r="83" ht="22.5" customHeight="1">
      <c r="A83" s="90"/>
      <c r="B83" s="90">
        <v>45533.0</v>
      </c>
      <c r="C83" s="93" t="s">
        <v>136</v>
      </c>
      <c r="D83" s="59" t="s">
        <v>39</v>
      </c>
      <c r="E83" s="60">
        <v>70.0</v>
      </c>
    </row>
    <row r="84" ht="22.5" customHeight="1">
      <c r="A84" s="90"/>
      <c r="B84" s="90">
        <v>45534.0</v>
      </c>
      <c r="C84" s="93" t="s">
        <v>136</v>
      </c>
      <c r="D84" s="59" t="s">
        <v>22</v>
      </c>
      <c r="E84" s="60">
        <v>693.0</v>
      </c>
    </row>
    <row r="85" ht="22.5" customHeight="1">
      <c r="A85" s="90"/>
      <c r="B85" s="90">
        <v>45537.0</v>
      </c>
      <c r="C85" s="93" t="s">
        <v>136</v>
      </c>
      <c r="D85" s="59" t="s">
        <v>41</v>
      </c>
      <c r="E85" s="60">
        <v>200.0</v>
      </c>
    </row>
    <row r="86" ht="22.5" customHeight="1">
      <c r="A86" s="90"/>
      <c r="B86" s="90">
        <v>45545.0</v>
      </c>
      <c r="C86" s="93" t="s">
        <v>136</v>
      </c>
      <c r="D86" s="59" t="s">
        <v>38</v>
      </c>
      <c r="E86" s="60">
        <v>165.0</v>
      </c>
    </row>
    <row r="87" ht="22.5" customHeight="1">
      <c r="A87" s="90"/>
      <c r="B87" s="90">
        <v>45558.0</v>
      </c>
      <c r="C87" s="93" t="s">
        <v>136</v>
      </c>
      <c r="D87" s="59" t="s">
        <v>35</v>
      </c>
      <c r="E87" s="60">
        <v>40.0</v>
      </c>
    </row>
  </sheetData>
  <conditionalFormatting sqref="K3:O23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C2:C87">
      <formula1>"RASHMI,DHAN,DASHRATHLAL,ESPRESSO,KAMAL"</formula1>
    </dataValidation>
    <dataValidation type="custom" allowBlank="1" showDropDown="1" sqref="A2:A87">
      <formula1>OR(NOT(ISERROR(DATEVALUE(A2))), AND(ISNUMBER(A2), LEFT(CELL("format", A2))="D"))</formula1>
    </dataValidation>
    <dataValidation type="custom" allowBlank="1" showDropDown="1" sqref="E2:E87">
      <formula1>AND(ISNUMBER(E2),(NOT(OR(NOT(ISERROR(DATEVALUE(E2))), AND(ISNUMBER(E2), LEFT(CELL("format", E2))="D")))))</formula1>
    </dataValidation>
  </dataValidations>
  <drawing r:id="rId3"/>
  <tableParts count="1"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2.88"/>
    <col customWidth="1" min="3" max="3" width="15.0"/>
    <col customWidth="1" min="4" max="4" width="15.5"/>
    <col customWidth="1" min="5" max="5" width="11.63"/>
    <col customWidth="1" min="6" max="6" width="12.13"/>
    <col customWidth="1" min="7" max="7" width="11.5"/>
    <col customWidth="1" min="8" max="8" width="11.63"/>
    <col customWidth="1" min="9" max="9" width="5.0"/>
    <col customWidth="1" min="10" max="10" width="15.13"/>
    <col customWidth="1" min="11" max="11" width="15.5"/>
    <col customWidth="1" min="12" max="12" width="19.75"/>
    <col customWidth="1" min="13" max="15" width="14.5"/>
    <col customWidth="1" min="16" max="16" width="18.25"/>
    <col customWidth="1" min="17" max="17" width="14.5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25.25"/>
    <col customWidth="1" min="29" max="30" width="17.88"/>
  </cols>
  <sheetData>
    <row r="1" ht="22.5" customHeight="1">
      <c r="A1" s="18" t="s">
        <v>72</v>
      </c>
      <c r="B1" s="18" t="s">
        <v>4</v>
      </c>
      <c r="C1" s="18" t="s">
        <v>73</v>
      </c>
      <c r="D1" s="18" t="s">
        <v>74</v>
      </c>
      <c r="E1" s="18" t="s">
        <v>75</v>
      </c>
      <c r="F1" s="18" t="s">
        <v>76</v>
      </c>
      <c r="G1" s="18" t="s">
        <v>77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6</v>
      </c>
      <c r="M1" s="18" t="s">
        <v>82</v>
      </c>
      <c r="N1" s="18" t="s">
        <v>83</v>
      </c>
      <c r="O1" s="18" t="s">
        <v>84</v>
      </c>
      <c r="P1" s="18" t="s">
        <v>5</v>
      </c>
      <c r="Q1" s="18" t="s">
        <v>85</v>
      </c>
      <c r="R1" s="18" t="s">
        <v>86</v>
      </c>
      <c r="S1" s="18" t="s">
        <v>87</v>
      </c>
      <c r="T1" s="18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18" t="s">
        <v>93</v>
      </c>
      <c r="Z1" s="18" t="s">
        <v>94</v>
      </c>
      <c r="AA1" s="18" t="s">
        <v>95</v>
      </c>
      <c r="AB1" s="19" t="s">
        <v>96</v>
      </c>
      <c r="AC1" s="20"/>
      <c r="AD1" s="21"/>
    </row>
    <row r="2" ht="22.5" customHeight="1">
      <c r="A2" s="22">
        <v>1.0</v>
      </c>
      <c r="B2" s="23" t="s">
        <v>56</v>
      </c>
      <c r="C2" s="24" t="s">
        <v>97</v>
      </c>
      <c r="D2" s="25">
        <v>45357.0</v>
      </c>
      <c r="E2" s="23">
        <v>1075.0</v>
      </c>
      <c r="F2" s="25">
        <v>45358.0</v>
      </c>
      <c r="G2" s="23">
        <v>1344.5</v>
      </c>
      <c r="H2" s="26">
        <f>IFERROR(__xludf.DUMMYFUNCTION("IFERROR(GOOGLEFINANCE(""NSE:""&amp;B2,""price""),"""")"),776.9)</f>
        <v>776.9</v>
      </c>
      <c r="I2" s="22">
        <v>10.0</v>
      </c>
      <c r="J2" s="23">
        <f t="shared" ref="J2:J53" si="1">E2*I2</f>
        <v>10750</v>
      </c>
      <c r="K2" s="23">
        <f t="shared" ref="K2:K53" si="2">IF(G2&gt;0,(E2+G2)*I2,E2*I2)</f>
        <v>24195</v>
      </c>
      <c r="L2" s="23">
        <f t="shared" ref="L2:L53" si="3">IF(G2&gt;0,0,(H2-E2)*I2)</f>
        <v>0</v>
      </c>
      <c r="M2" s="27">
        <f t="shared" ref="M2:M53" si="4">IFERROR(IF(G2&gt;0,0,(H2-E2)/E2),0)</f>
        <v>0</v>
      </c>
      <c r="N2" s="23">
        <f>IFERROR(__xludf.DUMMYFUNCTION("IFERROR(IF(G2&gt;0,0,GOOGLEFINANCE(""NSE:""&amp;B2,""change"")),)"),0.0)</f>
        <v>0</v>
      </c>
      <c r="O2" s="23">
        <f t="shared" ref="O2:O53" si="5">I2*N2</f>
        <v>0</v>
      </c>
      <c r="P2" s="23">
        <f t="shared" ref="P2:P53" si="6">IF(G2=0,0,(G2-E2)*I2)</f>
        <v>2695</v>
      </c>
      <c r="Q2" s="27">
        <f t="shared" ref="Q2:Q53" si="7">IF(G2&gt;0,(G2-E2)/E2,0)</f>
        <v>0.2506976744</v>
      </c>
      <c r="R2" s="23">
        <f t="shared" ref="R2:R6" si="8">0.001*K2</f>
        <v>24.195</v>
      </c>
      <c r="S2" s="23">
        <f t="shared" ref="S2:S6" si="9">0.0000325*K2</f>
        <v>0.7863375</v>
      </c>
      <c r="T2" s="23">
        <f t="shared" ref="T2:T9" si="10">0.18*S2</f>
        <v>0.14154075</v>
      </c>
      <c r="U2" s="28">
        <f t="shared" ref="U2:U6" si="11">0.0000005*K2</f>
        <v>0.0120975</v>
      </c>
      <c r="V2" s="23">
        <f t="shared" ref="V2:V9" si="12">R2+S2+T2+U2</f>
        <v>25.13497575</v>
      </c>
      <c r="W2" s="23">
        <f t="shared" ref="W2:W4" si="13">IF(G2&gt;0,15.34,0)</f>
        <v>15.34</v>
      </c>
      <c r="X2" s="23">
        <f t="shared" ref="X2:X9" si="14">V2+W2</f>
        <v>40.47497575</v>
      </c>
      <c r="Y2" s="23">
        <f t="shared" ref="Y2:Y4" si="15">IF(G2&gt;0,P2-X2,0)</f>
        <v>2654.525024</v>
      </c>
      <c r="Z2" s="27">
        <f t="shared" ref="Z2:Z6" si="16">Y2/J2</f>
        <v>0.2469325604</v>
      </c>
      <c r="AA2" s="29">
        <f>sum($AE$2,Y2)</f>
        <v>52654.52502</v>
      </c>
      <c r="AB2" s="35" t="s">
        <v>211</v>
      </c>
      <c r="AC2" s="36" t="s">
        <v>133</v>
      </c>
      <c r="AD2" s="32" t="s">
        <v>98</v>
      </c>
      <c r="AE2" s="9">
        <v>50000.0</v>
      </c>
    </row>
    <row r="3" ht="22.5" customHeight="1">
      <c r="A3" s="22">
        <v>2.0</v>
      </c>
      <c r="B3" s="23" t="s">
        <v>212</v>
      </c>
      <c r="C3" s="24" t="s">
        <v>97</v>
      </c>
      <c r="D3" s="25">
        <v>45362.0</v>
      </c>
      <c r="E3" s="23">
        <v>376.0</v>
      </c>
      <c r="F3" s="25">
        <v>45492.0</v>
      </c>
      <c r="G3" s="23">
        <v>497.15</v>
      </c>
      <c r="H3" s="26">
        <f>IFERROR(__xludf.DUMMYFUNCTION("IFERROR(GOOGLEFINANCE(""NSE:""&amp;B3,""price""),"""")"),468.95)</f>
        <v>468.95</v>
      </c>
      <c r="I3" s="22">
        <v>10.0</v>
      </c>
      <c r="J3" s="23">
        <f t="shared" si="1"/>
        <v>3760</v>
      </c>
      <c r="K3" s="23">
        <f t="shared" si="2"/>
        <v>8731.5</v>
      </c>
      <c r="L3" s="23">
        <f t="shared" si="3"/>
        <v>0</v>
      </c>
      <c r="M3" s="27">
        <f t="shared" si="4"/>
        <v>0</v>
      </c>
      <c r="N3" s="23">
        <f>IFERROR(__xludf.DUMMYFUNCTION("IFERROR(IF(G3&gt;0,0,GOOGLEFINANCE(""NSE:""&amp;B3,""change"")),0)"),0.0)</f>
        <v>0</v>
      </c>
      <c r="O3" s="23">
        <f t="shared" si="5"/>
        <v>0</v>
      </c>
      <c r="P3" s="23">
        <f t="shared" si="6"/>
        <v>1211.5</v>
      </c>
      <c r="Q3" s="27">
        <f t="shared" si="7"/>
        <v>0.3222074468</v>
      </c>
      <c r="R3" s="23">
        <f t="shared" si="8"/>
        <v>8.7315</v>
      </c>
      <c r="S3" s="23">
        <f t="shared" si="9"/>
        <v>0.28377375</v>
      </c>
      <c r="T3" s="23">
        <f t="shared" si="10"/>
        <v>0.051079275</v>
      </c>
      <c r="U3" s="23">
        <f t="shared" si="11"/>
        <v>0.00436575</v>
      </c>
      <c r="V3" s="23">
        <f t="shared" si="12"/>
        <v>9.070718775</v>
      </c>
      <c r="W3" s="23">
        <f t="shared" si="13"/>
        <v>15.34</v>
      </c>
      <c r="X3" s="23">
        <f t="shared" si="14"/>
        <v>24.41071878</v>
      </c>
      <c r="Y3" s="23">
        <f t="shared" si="15"/>
        <v>1187.089281</v>
      </c>
      <c r="Z3" s="27">
        <f t="shared" si="16"/>
        <v>0.3157152344</v>
      </c>
      <c r="AA3" s="29">
        <f t="shared" ref="AA3:AA9" si="17">sum(AA2,Y3)</f>
        <v>53841.61431</v>
      </c>
      <c r="AB3" s="35" t="s">
        <v>213</v>
      </c>
      <c r="AC3" s="36" t="s">
        <v>105</v>
      </c>
      <c r="AD3" s="32" t="s">
        <v>99</v>
      </c>
      <c r="AE3" s="33">
        <f>AE2+AE4</f>
        <v>98032.46</v>
      </c>
    </row>
    <row r="4" ht="22.5" customHeight="1">
      <c r="A4" s="22">
        <v>3.0</v>
      </c>
      <c r="B4" s="23" t="s">
        <v>212</v>
      </c>
      <c r="C4" s="24" t="s">
        <v>97</v>
      </c>
      <c r="D4" s="25">
        <v>45362.0</v>
      </c>
      <c r="E4" s="23">
        <v>376.0</v>
      </c>
      <c r="F4" s="25">
        <v>45364.0</v>
      </c>
      <c r="G4" s="23">
        <v>355.1</v>
      </c>
      <c r="H4" s="26">
        <f>IFERROR(__xludf.DUMMYFUNCTION("IFERROR(GOOGLEFINANCE(""NSE:""&amp;B4,""price""),"""")"),468.95)</f>
        <v>468.95</v>
      </c>
      <c r="I4" s="22">
        <v>33.0</v>
      </c>
      <c r="J4" s="23">
        <f t="shared" si="1"/>
        <v>12408</v>
      </c>
      <c r="K4" s="23">
        <f t="shared" si="2"/>
        <v>24126.3</v>
      </c>
      <c r="L4" s="23">
        <f t="shared" si="3"/>
        <v>0</v>
      </c>
      <c r="M4" s="27">
        <f t="shared" si="4"/>
        <v>0</v>
      </c>
      <c r="N4" s="23">
        <f>IFERROR(__xludf.DUMMYFUNCTION("IFERROR(IF(G4&gt;0,0,GOOGLEFINANCE(""NSE:""&amp;B4,""change"")),0)"),0.0)</f>
        <v>0</v>
      </c>
      <c r="O4" s="23">
        <f t="shared" si="5"/>
        <v>0</v>
      </c>
      <c r="P4" s="23">
        <f t="shared" si="6"/>
        <v>-689.7</v>
      </c>
      <c r="Q4" s="27">
        <f t="shared" si="7"/>
        <v>-0.05558510638</v>
      </c>
      <c r="R4" s="23">
        <f t="shared" si="8"/>
        <v>24.1263</v>
      </c>
      <c r="S4" s="23">
        <f t="shared" si="9"/>
        <v>0.78410475</v>
      </c>
      <c r="T4" s="23">
        <f t="shared" si="10"/>
        <v>0.141138855</v>
      </c>
      <c r="U4" s="23">
        <f t="shared" si="11"/>
        <v>0.01206315</v>
      </c>
      <c r="V4" s="23">
        <f t="shared" si="12"/>
        <v>25.06360676</v>
      </c>
      <c r="W4" s="23">
        <f t="shared" si="13"/>
        <v>15.34</v>
      </c>
      <c r="X4" s="23">
        <f t="shared" si="14"/>
        <v>40.40360676</v>
      </c>
      <c r="Y4" s="23">
        <f t="shared" si="15"/>
        <v>-730.1036068</v>
      </c>
      <c r="Z4" s="27">
        <f t="shared" si="16"/>
        <v>-0.05884136096</v>
      </c>
      <c r="AA4" s="29">
        <f t="shared" si="17"/>
        <v>53111.5107</v>
      </c>
      <c r="AB4" s="35" t="s">
        <v>215</v>
      </c>
      <c r="AC4" s="31"/>
      <c r="AD4" s="32" t="s">
        <v>100</v>
      </c>
      <c r="AE4" s="9">
        <f>sum(P2:P53)</f>
        <v>48032.46</v>
      </c>
    </row>
    <row r="5" ht="22.5" customHeight="1">
      <c r="A5" s="22">
        <v>4.0</v>
      </c>
      <c r="B5" s="23" t="s">
        <v>212</v>
      </c>
      <c r="C5" s="24" t="s">
        <v>97</v>
      </c>
      <c r="D5" s="25">
        <v>45362.0</v>
      </c>
      <c r="E5" s="23">
        <v>376.0</v>
      </c>
      <c r="F5" s="25">
        <v>45463.0</v>
      </c>
      <c r="G5" s="23">
        <v>495.6</v>
      </c>
      <c r="H5" s="26">
        <f>IFERROR(__xludf.DUMMYFUNCTION("IFERROR(GOOGLEFINANCE(""NSE:""&amp;B5,""price""),"""")"),468.95)</f>
        <v>468.95</v>
      </c>
      <c r="I5" s="22">
        <v>32.0</v>
      </c>
      <c r="J5" s="23">
        <f t="shared" si="1"/>
        <v>12032</v>
      </c>
      <c r="K5" s="23">
        <f t="shared" si="2"/>
        <v>27891.2</v>
      </c>
      <c r="L5" s="23">
        <f t="shared" si="3"/>
        <v>0</v>
      </c>
      <c r="M5" s="27">
        <f t="shared" si="4"/>
        <v>0</v>
      </c>
      <c r="N5" s="23">
        <f>IFERROR(__xludf.DUMMYFUNCTION("IFERROR(IF(G5&gt;0,0,GOOGLEFINANCE(""NSE:""&amp;B5,""change"")),0)"),0.0)</f>
        <v>0</v>
      </c>
      <c r="O5" s="23">
        <f t="shared" si="5"/>
        <v>0</v>
      </c>
      <c r="P5" s="23">
        <f t="shared" si="6"/>
        <v>3827.2</v>
      </c>
      <c r="Q5" s="27">
        <f t="shared" si="7"/>
        <v>0.3180851064</v>
      </c>
      <c r="R5" s="23">
        <f t="shared" si="8"/>
        <v>27.8912</v>
      </c>
      <c r="S5" s="23">
        <f t="shared" si="9"/>
        <v>0.906464</v>
      </c>
      <c r="T5" s="23">
        <f t="shared" si="10"/>
        <v>0.16316352</v>
      </c>
      <c r="U5" s="23">
        <f t="shared" si="11"/>
        <v>0.0139456</v>
      </c>
      <c r="V5" s="23">
        <f t="shared" si="12"/>
        <v>28.97477312</v>
      </c>
      <c r="W5" s="23">
        <f t="shared" ref="W5:W6" si="18">IF(G6&gt;0,15.34,0)</f>
        <v>15.34</v>
      </c>
      <c r="X5" s="23">
        <f t="shared" si="14"/>
        <v>44.31477312</v>
      </c>
      <c r="Y5" s="23">
        <f t="shared" ref="Y5:Y6" si="19">IF(G6&gt;0,P5-X5,0)</f>
        <v>3782.885227</v>
      </c>
      <c r="Z5" s="27">
        <f t="shared" si="16"/>
        <v>0.3144020302</v>
      </c>
      <c r="AA5" s="29">
        <f t="shared" si="17"/>
        <v>56894.39593</v>
      </c>
      <c r="AB5" s="35" t="s">
        <v>217</v>
      </c>
      <c r="AC5" s="31"/>
      <c r="AD5" s="32" t="s">
        <v>103</v>
      </c>
      <c r="AE5" s="37">
        <f>AE4/AE2</f>
        <v>0.9606492</v>
      </c>
    </row>
    <row r="6" ht="22.5" customHeight="1">
      <c r="A6" s="22">
        <v>5.0</v>
      </c>
      <c r="B6" s="38" t="s">
        <v>115</v>
      </c>
      <c r="C6" s="24" t="s">
        <v>97</v>
      </c>
      <c r="D6" s="25">
        <v>45377.0</v>
      </c>
      <c r="E6" s="23">
        <v>632.0</v>
      </c>
      <c r="F6" s="25">
        <v>45566.0</v>
      </c>
      <c r="G6" s="23">
        <v>709.3</v>
      </c>
      <c r="H6" s="26">
        <f>IFERROR(__xludf.DUMMYFUNCTION("IFERROR(GOOGLEFINANCE(""NSE:""&amp;B6,""price""),"""")"),763.0)</f>
        <v>763</v>
      </c>
      <c r="I6" s="22">
        <v>30.0</v>
      </c>
      <c r="J6" s="23">
        <f t="shared" si="1"/>
        <v>18960</v>
      </c>
      <c r="K6" s="23">
        <f t="shared" si="2"/>
        <v>40239</v>
      </c>
      <c r="L6" s="23">
        <f t="shared" si="3"/>
        <v>0</v>
      </c>
      <c r="M6" s="27">
        <f t="shared" si="4"/>
        <v>0</v>
      </c>
      <c r="N6" s="23">
        <f>IFERROR(__xludf.DUMMYFUNCTION("IFERROR(IF(G6&gt;0,0,GOOGLEFINANCE(""NSE:""&amp;B6,""change"")),0)"),0.0)</f>
        <v>0</v>
      </c>
      <c r="O6" s="23">
        <f t="shared" si="5"/>
        <v>0</v>
      </c>
      <c r="P6" s="23">
        <f t="shared" si="6"/>
        <v>2319</v>
      </c>
      <c r="Q6" s="27">
        <f t="shared" si="7"/>
        <v>0.1223101266</v>
      </c>
      <c r="R6" s="23">
        <f t="shared" si="8"/>
        <v>40.239</v>
      </c>
      <c r="S6" s="23">
        <f t="shared" si="9"/>
        <v>1.3077675</v>
      </c>
      <c r="T6" s="23">
        <f t="shared" si="10"/>
        <v>0.23539815</v>
      </c>
      <c r="U6" s="23">
        <f t="shared" si="11"/>
        <v>0.0201195</v>
      </c>
      <c r="V6" s="23">
        <f t="shared" si="12"/>
        <v>41.80228515</v>
      </c>
      <c r="W6" s="23">
        <f t="shared" si="18"/>
        <v>15.34</v>
      </c>
      <c r="X6" s="23">
        <f t="shared" si="14"/>
        <v>57.14228515</v>
      </c>
      <c r="Y6" s="23">
        <f t="shared" si="19"/>
        <v>2261.857715</v>
      </c>
      <c r="Z6" s="27">
        <f t="shared" si="16"/>
        <v>0.119296293</v>
      </c>
      <c r="AA6" s="29">
        <f t="shared" si="17"/>
        <v>59156.25364</v>
      </c>
      <c r="AB6" s="35" t="s">
        <v>219</v>
      </c>
      <c r="AC6" s="36" t="s">
        <v>133</v>
      </c>
      <c r="AD6" s="31"/>
      <c r="AE6" s="39"/>
    </row>
    <row r="7" ht="22.5" customHeight="1">
      <c r="A7" s="22">
        <v>6.0</v>
      </c>
      <c r="B7" s="38" t="s">
        <v>65</v>
      </c>
      <c r="C7" s="24" t="s">
        <v>97</v>
      </c>
      <c r="D7" s="25">
        <v>45377.0</v>
      </c>
      <c r="E7" s="23">
        <v>131.2</v>
      </c>
      <c r="F7" s="45">
        <v>45408.0</v>
      </c>
      <c r="G7" s="23">
        <v>164.4</v>
      </c>
      <c r="H7" s="26">
        <f>IFERROR(__xludf.DUMMYFUNCTION("IFERROR(GOOGLEFINANCE(""NSE:""&amp;B7,""price""),"""")"),133.0)</f>
        <v>133</v>
      </c>
      <c r="I7" s="22">
        <v>100.0</v>
      </c>
      <c r="J7" s="23">
        <f t="shared" si="1"/>
        <v>13120</v>
      </c>
      <c r="K7" s="23">
        <f t="shared" si="2"/>
        <v>29560</v>
      </c>
      <c r="L7" s="23">
        <f t="shared" si="3"/>
        <v>0</v>
      </c>
      <c r="M7" s="27">
        <f t="shared" si="4"/>
        <v>0</v>
      </c>
      <c r="N7" s="23">
        <f>IFERROR(__xludf.DUMMYFUNCTION("IFERROR(IF(G7&gt;0,0,GOOGLEFINANCE(""NSE:""&amp;B7,""change"")),0)"),0.0)</f>
        <v>0</v>
      </c>
      <c r="O7" s="23">
        <f t="shared" si="5"/>
        <v>0</v>
      </c>
      <c r="P7" s="23">
        <f t="shared" si="6"/>
        <v>3320</v>
      </c>
      <c r="Q7" s="27">
        <f t="shared" si="7"/>
        <v>0.2530487805</v>
      </c>
      <c r="R7" s="23" t="str">
        <f t="shared" ref="R7:R9" si="20">0.001*#REF!</f>
        <v>#REF!</v>
      </c>
      <c r="S7" s="23" t="str">
        <f t="shared" ref="S7:S9" si="21">0.0000325*#REF!</f>
        <v>#REF!</v>
      </c>
      <c r="T7" s="23" t="str">
        <f t="shared" si="10"/>
        <v>#REF!</v>
      </c>
      <c r="U7" s="23" t="str">
        <f t="shared" ref="U7:U9" si="22">0.0000005*#REF!</f>
        <v>#REF!</v>
      </c>
      <c r="V7" s="23" t="str">
        <f t="shared" si="12"/>
        <v>#REF!</v>
      </c>
      <c r="W7" s="23" t="str">
        <f t="shared" ref="W7:W9" si="23">IF(#REF!&gt;0,15.34,0)</f>
        <v>#REF!</v>
      </c>
      <c r="X7" s="23" t="str">
        <f t="shared" si="14"/>
        <v>#REF!</v>
      </c>
      <c r="Y7" s="23" t="str">
        <f t="shared" ref="Y7:Y9" si="24">IF(#REF!&gt;0,P7-X7,0)</f>
        <v>#REF!</v>
      </c>
      <c r="Z7" s="27" t="str">
        <f t="shared" ref="Z7:Z9" si="25">Y7/#REF!</f>
        <v>#REF!</v>
      </c>
      <c r="AA7" s="29" t="str">
        <f t="shared" si="17"/>
        <v>#REF!</v>
      </c>
      <c r="AB7" s="35" t="s">
        <v>219</v>
      </c>
    </row>
    <row r="8" ht="22.5" customHeight="1">
      <c r="A8" s="22">
        <v>7.0</v>
      </c>
      <c r="B8" s="23" t="s">
        <v>28</v>
      </c>
      <c r="C8" s="41" t="s">
        <v>104</v>
      </c>
      <c r="D8" s="25">
        <v>45425.0</v>
      </c>
      <c r="E8" s="23">
        <v>452.0</v>
      </c>
      <c r="F8" s="25">
        <v>45425.0</v>
      </c>
      <c r="G8" s="23">
        <v>606.4</v>
      </c>
      <c r="H8" s="26">
        <f>IFERROR(__xludf.DUMMYFUNCTION("IFERROR(GOOGLEFINANCE(""NSE:""&amp;B8,""price""),"""")"),532.0)</f>
        <v>532</v>
      </c>
      <c r="I8" s="22">
        <v>33.0</v>
      </c>
      <c r="J8" s="23">
        <f t="shared" si="1"/>
        <v>14916</v>
      </c>
      <c r="K8" s="23">
        <f t="shared" si="2"/>
        <v>34927.2</v>
      </c>
      <c r="L8" s="23">
        <f t="shared" si="3"/>
        <v>0</v>
      </c>
      <c r="M8" s="27">
        <f t="shared" si="4"/>
        <v>0</v>
      </c>
      <c r="N8" s="23">
        <f>IFERROR(__xludf.DUMMYFUNCTION("IFERROR(IF(G8&gt;0,0,GOOGLEFINANCE(""NSE:""&amp;B8,""change"")),0)"),0.0)</f>
        <v>0</v>
      </c>
      <c r="O8" s="23">
        <f t="shared" si="5"/>
        <v>0</v>
      </c>
      <c r="P8" s="23">
        <f t="shared" si="6"/>
        <v>5095.2</v>
      </c>
      <c r="Q8" s="27">
        <f t="shared" si="7"/>
        <v>0.3415929204</v>
      </c>
      <c r="R8" s="23" t="str">
        <f t="shared" si="20"/>
        <v>#REF!</v>
      </c>
      <c r="S8" s="23" t="str">
        <f t="shared" si="21"/>
        <v>#REF!</v>
      </c>
      <c r="T8" s="23" t="str">
        <f t="shared" si="10"/>
        <v>#REF!</v>
      </c>
      <c r="U8" s="23" t="str">
        <f t="shared" si="22"/>
        <v>#REF!</v>
      </c>
      <c r="V8" s="23" t="str">
        <f t="shared" si="12"/>
        <v>#REF!</v>
      </c>
      <c r="W8" s="23" t="str">
        <f t="shared" si="23"/>
        <v>#REF!</v>
      </c>
      <c r="X8" s="23" t="str">
        <f t="shared" si="14"/>
        <v>#REF!</v>
      </c>
      <c r="Y8" s="23" t="str">
        <f t="shared" si="24"/>
        <v>#REF!</v>
      </c>
      <c r="Z8" s="27" t="str">
        <f t="shared" si="25"/>
        <v>#REF!</v>
      </c>
      <c r="AA8" s="29" t="str">
        <f t="shared" si="17"/>
        <v>#REF!</v>
      </c>
      <c r="AB8" s="42" t="s">
        <v>127</v>
      </c>
    </row>
    <row r="9" ht="22.5" customHeight="1">
      <c r="A9" s="22">
        <v>8.0</v>
      </c>
      <c r="B9" s="23" t="s">
        <v>28</v>
      </c>
      <c r="C9" s="41" t="s">
        <v>183</v>
      </c>
      <c r="D9" s="25">
        <v>45425.0</v>
      </c>
      <c r="E9" s="23">
        <v>452.0</v>
      </c>
      <c r="F9" s="25">
        <v>45425.0</v>
      </c>
      <c r="G9" s="23">
        <v>586.0</v>
      </c>
      <c r="H9" s="26">
        <f>IFERROR(__xludf.DUMMYFUNCTION("IFERROR(GOOGLEFINANCE(""NSE:""&amp;B9,""price""),"""")"),532.0)</f>
        <v>532</v>
      </c>
      <c r="I9" s="22">
        <v>33.0</v>
      </c>
      <c r="J9" s="23">
        <f t="shared" si="1"/>
        <v>14916</v>
      </c>
      <c r="K9" s="23">
        <f t="shared" si="2"/>
        <v>34254</v>
      </c>
      <c r="L9" s="23">
        <f t="shared" si="3"/>
        <v>0</v>
      </c>
      <c r="M9" s="27">
        <f t="shared" si="4"/>
        <v>0</v>
      </c>
      <c r="N9" s="23">
        <f>IFERROR(__xludf.DUMMYFUNCTION("IFERROR(IF(G9&gt;0,0,GOOGLEFINANCE(""NSE:""&amp;B9,""change"")),0)"),0.0)</f>
        <v>0</v>
      </c>
      <c r="O9" s="23">
        <f t="shared" si="5"/>
        <v>0</v>
      </c>
      <c r="P9" s="23">
        <f t="shared" si="6"/>
        <v>4422</v>
      </c>
      <c r="Q9" s="27">
        <f t="shared" si="7"/>
        <v>0.296460177</v>
      </c>
      <c r="R9" s="23" t="str">
        <f t="shared" si="20"/>
        <v>#REF!</v>
      </c>
      <c r="S9" s="23" t="str">
        <f t="shared" si="21"/>
        <v>#REF!</v>
      </c>
      <c r="T9" s="23" t="str">
        <f t="shared" si="10"/>
        <v>#REF!</v>
      </c>
      <c r="U9" s="23" t="str">
        <f t="shared" si="22"/>
        <v>#REF!</v>
      </c>
      <c r="V9" s="23" t="str">
        <f t="shared" si="12"/>
        <v>#REF!</v>
      </c>
      <c r="W9" s="23" t="str">
        <f t="shared" si="23"/>
        <v>#REF!</v>
      </c>
      <c r="X9" s="23" t="str">
        <f t="shared" si="14"/>
        <v>#REF!</v>
      </c>
      <c r="Y9" s="23" t="str">
        <f t="shared" si="24"/>
        <v>#REF!</v>
      </c>
      <c r="Z9" s="27" t="str">
        <f t="shared" si="25"/>
        <v>#REF!</v>
      </c>
      <c r="AA9" s="29" t="str">
        <f t="shared" si="17"/>
        <v>#REF!</v>
      </c>
      <c r="AB9" s="42" t="s">
        <v>127</v>
      </c>
    </row>
    <row r="10" ht="22.5" customHeight="1">
      <c r="A10" s="22">
        <v>9.0</v>
      </c>
      <c r="B10" s="23" t="s">
        <v>28</v>
      </c>
      <c r="C10" s="41" t="s">
        <v>136</v>
      </c>
      <c r="D10" s="25">
        <v>45425.0</v>
      </c>
      <c r="E10" s="23">
        <v>452.0</v>
      </c>
      <c r="F10" s="25">
        <v>45425.0</v>
      </c>
      <c r="G10" s="23">
        <v>607.0</v>
      </c>
      <c r="H10" s="26">
        <f>IFERROR(__xludf.DUMMYFUNCTION("IFERROR(GOOGLEFINANCE(""NSE:""&amp;B10,""price""),"""")"),532.0)</f>
        <v>532</v>
      </c>
      <c r="I10" s="22">
        <v>23.0</v>
      </c>
      <c r="J10" s="23">
        <f t="shared" si="1"/>
        <v>10396</v>
      </c>
      <c r="K10" s="23">
        <f t="shared" si="2"/>
        <v>24357</v>
      </c>
      <c r="L10" s="23">
        <f t="shared" si="3"/>
        <v>0</v>
      </c>
      <c r="M10" s="27">
        <f t="shared" si="4"/>
        <v>0</v>
      </c>
      <c r="N10" s="23">
        <f>IFERROR(__xludf.DUMMYFUNCTION("IFERROR(IF(G10&gt;0,0,GOOGLEFINANCE(""NSE:""&amp;B10,""change"")),0)"),0.0)</f>
        <v>0</v>
      </c>
      <c r="O10" s="23">
        <f t="shared" si="5"/>
        <v>0</v>
      </c>
      <c r="P10" s="23">
        <f t="shared" si="6"/>
        <v>3565</v>
      </c>
      <c r="Q10" s="27">
        <f t="shared" si="7"/>
        <v>0.342920354</v>
      </c>
      <c r="R10" s="23"/>
      <c r="S10" s="23"/>
      <c r="T10" s="23"/>
      <c r="U10" s="23"/>
      <c r="V10" s="23"/>
      <c r="W10" s="23"/>
      <c r="X10" s="23"/>
      <c r="Y10" s="23"/>
      <c r="Z10" s="27"/>
      <c r="AA10" s="23"/>
      <c r="AB10" s="42" t="s">
        <v>127</v>
      </c>
    </row>
    <row r="11" ht="22.5" customHeight="1">
      <c r="A11" s="22">
        <v>10.0</v>
      </c>
      <c r="B11" s="44" t="s">
        <v>206</v>
      </c>
      <c r="C11" s="41" t="s">
        <v>97</v>
      </c>
      <c r="D11" s="25">
        <v>45411.0</v>
      </c>
      <c r="E11" s="23">
        <v>897.0</v>
      </c>
      <c r="F11" s="25">
        <v>45600.0</v>
      </c>
      <c r="G11" s="23">
        <v>945.0</v>
      </c>
      <c r="H11" s="26">
        <f>IFERROR(__xludf.DUMMYFUNCTION("IFERROR(GOOGLEFINANCE(""NSE:""&amp;B11,""price""),"""")"),1095.9)</f>
        <v>1095.9</v>
      </c>
      <c r="I11" s="22">
        <v>10.0</v>
      </c>
      <c r="J11" s="23">
        <f t="shared" si="1"/>
        <v>8970</v>
      </c>
      <c r="K11" s="23">
        <f t="shared" si="2"/>
        <v>18420</v>
      </c>
      <c r="L11" s="23">
        <f t="shared" si="3"/>
        <v>0</v>
      </c>
      <c r="M11" s="27">
        <f t="shared" si="4"/>
        <v>0</v>
      </c>
      <c r="N11" s="23">
        <f>IFERROR(__xludf.DUMMYFUNCTION("IFERROR(IF(G11&gt;0,0,GOOGLEFINANCE(""NSE:""&amp;B11,""change"")),0)"),0.0)</f>
        <v>0</v>
      </c>
      <c r="O11" s="23">
        <f t="shared" si="5"/>
        <v>0</v>
      </c>
      <c r="P11" s="23">
        <f t="shared" si="6"/>
        <v>480</v>
      </c>
      <c r="Q11" s="27">
        <f t="shared" si="7"/>
        <v>0.05351170569</v>
      </c>
      <c r="R11" s="23"/>
      <c r="S11" s="23"/>
      <c r="T11" s="23"/>
      <c r="U11" s="23"/>
      <c r="V11" s="23"/>
      <c r="W11" s="23"/>
      <c r="X11" s="23"/>
      <c r="Y11" s="23"/>
      <c r="Z11" s="27"/>
      <c r="AA11" s="23"/>
      <c r="AB11" s="42" t="s">
        <v>224</v>
      </c>
      <c r="AC11" s="40" t="s">
        <v>105</v>
      </c>
    </row>
    <row r="12" ht="22.5" customHeight="1">
      <c r="A12" s="22">
        <v>11.0</v>
      </c>
      <c r="B12" s="44" t="s">
        <v>53</v>
      </c>
      <c r="C12" s="41" t="s">
        <v>97</v>
      </c>
      <c r="D12" s="25">
        <v>45435.0</v>
      </c>
      <c r="E12" s="23">
        <v>675.0</v>
      </c>
      <c r="F12" s="25"/>
      <c r="G12" s="23"/>
      <c r="H12" s="26">
        <f>IFERROR(__xludf.DUMMYFUNCTION("IFERROR(GOOGLEFINANCE(""NSE:""&amp;B12,""price""),"""")"),863.85)</f>
        <v>863.85</v>
      </c>
      <c r="I12" s="22">
        <v>10.0</v>
      </c>
      <c r="J12" s="23">
        <f t="shared" si="1"/>
        <v>6750</v>
      </c>
      <c r="K12" s="23">
        <f t="shared" si="2"/>
        <v>6750</v>
      </c>
      <c r="L12" s="23">
        <f t="shared" si="3"/>
        <v>1888.5</v>
      </c>
      <c r="M12" s="27">
        <f t="shared" si="4"/>
        <v>0.2797777778</v>
      </c>
      <c r="N12" s="23">
        <f>IFERROR(__xludf.DUMMYFUNCTION("IFERROR(IF(G12&gt;0,0,GOOGLEFINANCE(""NSE:""&amp;B12,""change"")),0)"),-0.7)</f>
        <v>-0.7</v>
      </c>
      <c r="O12" s="23">
        <f t="shared" si="5"/>
        <v>-7</v>
      </c>
      <c r="P12" s="23">
        <f t="shared" si="6"/>
        <v>0</v>
      </c>
      <c r="Q12" s="27">
        <f t="shared" si="7"/>
        <v>0</v>
      </c>
      <c r="R12" s="23"/>
      <c r="S12" s="23"/>
      <c r="T12" s="23"/>
      <c r="U12" s="23"/>
      <c r="V12" s="23"/>
      <c r="W12" s="23"/>
      <c r="X12" s="23"/>
      <c r="Y12" s="23"/>
      <c r="Z12" s="27"/>
      <c r="AA12" s="23"/>
      <c r="AB12" s="42" t="s">
        <v>224</v>
      </c>
      <c r="AF12" s="9"/>
    </row>
    <row r="13" ht="22.5" customHeight="1">
      <c r="A13" s="22">
        <v>12.0</v>
      </c>
      <c r="B13" s="47" t="s">
        <v>226</v>
      </c>
      <c r="C13" s="24" t="s">
        <v>97</v>
      </c>
      <c r="D13" s="25">
        <v>45439.0</v>
      </c>
      <c r="E13" s="23">
        <v>445.33</v>
      </c>
      <c r="F13" s="25">
        <v>45524.0</v>
      </c>
      <c r="G13" s="23">
        <v>673.4</v>
      </c>
      <c r="H13" s="26">
        <f>IFERROR(__xludf.DUMMYFUNCTION("IFERROR(GOOGLEFINANCE(""NSE:""&amp;B13,""price""),"""")"),411.7)</f>
        <v>411.7</v>
      </c>
      <c r="I13" s="22">
        <v>12.0</v>
      </c>
      <c r="J13" s="23">
        <f t="shared" si="1"/>
        <v>5343.96</v>
      </c>
      <c r="K13" s="23">
        <f t="shared" si="2"/>
        <v>13424.76</v>
      </c>
      <c r="L13" s="23">
        <f t="shared" si="3"/>
        <v>0</v>
      </c>
      <c r="M13" s="27">
        <f t="shared" si="4"/>
        <v>0</v>
      </c>
      <c r="N13" s="23">
        <f>IFERROR(__xludf.DUMMYFUNCTION("IFERROR(IF(G13&gt;0,0,GOOGLEFINANCE(""NSE:""&amp;B13,""change"")),0)"),0.0)</f>
        <v>0</v>
      </c>
      <c r="O13" s="23">
        <f t="shared" si="5"/>
        <v>0</v>
      </c>
      <c r="P13" s="23">
        <f t="shared" si="6"/>
        <v>2736.84</v>
      </c>
      <c r="Q13" s="27">
        <f t="shared" si="7"/>
        <v>0.5121370669</v>
      </c>
      <c r="R13" s="23"/>
      <c r="S13" s="23"/>
      <c r="T13" s="23"/>
      <c r="U13" s="23"/>
      <c r="V13" s="23"/>
      <c r="W13" s="23"/>
      <c r="X13" s="23"/>
      <c r="Y13" s="23"/>
      <c r="Z13" s="27"/>
      <c r="AA13" s="23"/>
    </row>
    <row r="14" ht="22.5" customHeight="1">
      <c r="A14" s="22">
        <v>13.0</v>
      </c>
      <c r="B14" s="22" t="s">
        <v>220</v>
      </c>
      <c r="C14" s="24" t="s">
        <v>97</v>
      </c>
      <c r="D14" s="25">
        <v>45453.0</v>
      </c>
      <c r="E14" s="23">
        <v>1358.9</v>
      </c>
      <c r="F14" s="25">
        <v>45807.0</v>
      </c>
      <c r="G14" s="23">
        <v>1597.48</v>
      </c>
      <c r="H14" s="26">
        <f>IFERROR(__xludf.DUMMYFUNCTION("IFERROR(GOOGLEFINANCE(""NSE:""&amp;B14,""price""),"""")"),1678.4)</f>
        <v>1678.4</v>
      </c>
      <c r="I14" s="22">
        <v>10.0</v>
      </c>
      <c r="J14" s="23">
        <f t="shared" si="1"/>
        <v>13589</v>
      </c>
      <c r="K14" s="23">
        <f t="shared" si="2"/>
        <v>29563.8</v>
      </c>
      <c r="L14" s="23">
        <f t="shared" si="3"/>
        <v>0</v>
      </c>
      <c r="M14" s="27">
        <f t="shared" si="4"/>
        <v>0</v>
      </c>
      <c r="N14" s="23">
        <f>IFERROR(__xludf.DUMMYFUNCTION("IFERROR(IF(G14&gt;0,0,GOOGLEFINANCE(""NSE:""&amp;B14,""change"")),0)"),0.0)</f>
        <v>0</v>
      </c>
      <c r="O14" s="23">
        <f t="shared" si="5"/>
        <v>0</v>
      </c>
      <c r="P14" s="23">
        <f t="shared" si="6"/>
        <v>2385.8</v>
      </c>
      <c r="Q14" s="27">
        <f t="shared" si="7"/>
        <v>0.1755684745</v>
      </c>
      <c r="R14" s="23"/>
      <c r="S14" s="23"/>
      <c r="T14" s="23"/>
      <c r="U14" s="23"/>
      <c r="V14" s="23"/>
      <c r="W14" s="23"/>
      <c r="X14" s="23"/>
      <c r="Y14" s="23"/>
      <c r="Z14" s="27"/>
      <c r="AA14" s="23"/>
      <c r="AB14" s="42" t="s">
        <v>224</v>
      </c>
      <c r="AC14" s="40" t="s">
        <v>105</v>
      </c>
    </row>
    <row r="15" ht="22.5" customHeight="1">
      <c r="A15" s="22">
        <v>14.0</v>
      </c>
      <c r="B15" s="44" t="s">
        <v>206</v>
      </c>
      <c r="C15" s="41" t="s">
        <v>97</v>
      </c>
      <c r="D15" s="25">
        <v>45464.0</v>
      </c>
      <c r="E15" s="23">
        <v>937.85</v>
      </c>
      <c r="F15" s="25">
        <v>45600.0</v>
      </c>
      <c r="G15" s="23">
        <v>945.0</v>
      </c>
      <c r="H15" s="26">
        <f>IFERROR(__xludf.DUMMYFUNCTION("IFERROR(GOOGLEFINANCE(""NSE:""&amp;B15,""price""),"""")"),1095.9)</f>
        <v>1095.9</v>
      </c>
      <c r="I15" s="22">
        <v>10.0</v>
      </c>
      <c r="J15" s="23">
        <f t="shared" si="1"/>
        <v>9378.5</v>
      </c>
      <c r="K15" s="23">
        <f t="shared" si="2"/>
        <v>18828.5</v>
      </c>
      <c r="L15" s="23">
        <f t="shared" si="3"/>
        <v>0</v>
      </c>
      <c r="M15" s="27">
        <f t="shared" si="4"/>
        <v>0</v>
      </c>
      <c r="N15" s="23">
        <f>IFERROR(__xludf.DUMMYFUNCTION("IFERROR(IF(G15&gt;0,0,GOOGLEFINANCE(""NSE:""&amp;B15,""change"")),0)"),0.0)</f>
        <v>0</v>
      </c>
      <c r="O15" s="23">
        <f t="shared" si="5"/>
        <v>0</v>
      </c>
      <c r="P15" s="23">
        <f t="shared" si="6"/>
        <v>71.5</v>
      </c>
      <c r="Q15" s="27">
        <f t="shared" si="7"/>
        <v>0.00762382044</v>
      </c>
      <c r="R15" s="23"/>
      <c r="S15" s="23"/>
      <c r="T15" s="23"/>
      <c r="U15" s="23"/>
      <c r="V15" s="23"/>
      <c r="W15" s="23"/>
      <c r="X15" s="23"/>
      <c r="Y15" s="23"/>
      <c r="Z15" s="27"/>
      <c r="AA15" s="23"/>
      <c r="AC15" s="40" t="s">
        <v>105</v>
      </c>
    </row>
    <row r="16" ht="22.5" customHeight="1">
      <c r="A16" s="22">
        <v>15.0</v>
      </c>
      <c r="B16" s="48" t="s">
        <v>223</v>
      </c>
      <c r="C16" s="24" t="s">
        <v>231</v>
      </c>
      <c r="D16" s="25">
        <v>45476.0</v>
      </c>
      <c r="E16" s="23">
        <v>1255.9</v>
      </c>
      <c r="F16" s="25">
        <v>45498.0</v>
      </c>
      <c r="G16" s="23">
        <v>1414.75</v>
      </c>
      <c r="H16" s="26">
        <f>IFERROR(__xludf.DUMMYFUNCTION("IFERROR(GOOGLEFINANCE(""NSE:""&amp;B16,""price""),"""")"),2046.5)</f>
        <v>2046.5</v>
      </c>
      <c r="I16" s="22">
        <v>13.0</v>
      </c>
      <c r="J16" s="23">
        <f t="shared" si="1"/>
        <v>16326.7</v>
      </c>
      <c r="K16" s="23">
        <f t="shared" si="2"/>
        <v>34718.45</v>
      </c>
      <c r="L16" s="23">
        <f t="shared" si="3"/>
        <v>0</v>
      </c>
      <c r="M16" s="27">
        <f t="shared" si="4"/>
        <v>0</v>
      </c>
      <c r="N16" s="23">
        <f>IFERROR(__xludf.DUMMYFUNCTION("IFERROR(IF(G16&gt;0,0,GOOGLEFINANCE(""NSE:""&amp;B16,""change"")),0)"),0.0)</f>
        <v>0</v>
      </c>
      <c r="O16" s="23">
        <f t="shared" si="5"/>
        <v>0</v>
      </c>
      <c r="P16" s="23">
        <f t="shared" si="6"/>
        <v>2065.05</v>
      </c>
      <c r="Q16" s="27">
        <f t="shared" si="7"/>
        <v>0.1264830002</v>
      </c>
      <c r="R16" s="23"/>
      <c r="S16" s="23"/>
      <c r="T16" s="23"/>
      <c r="U16" s="23"/>
      <c r="V16" s="23"/>
      <c r="W16" s="23"/>
      <c r="X16" s="23"/>
      <c r="Y16" s="23"/>
      <c r="Z16" s="27"/>
      <c r="AA16" s="23"/>
      <c r="AB16" s="42" t="s">
        <v>224</v>
      </c>
    </row>
    <row r="17" ht="22.5" customHeight="1">
      <c r="A17" s="22">
        <v>16.0</v>
      </c>
      <c r="B17" s="48" t="s">
        <v>232</v>
      </c>
      <c r="C17" s="24" t="s">
        <v>231</v>
      </c>
      <c r="D17" s="25">
        <v>45476.0</v>
      </c>
      <c r="E17" s="23">
        <v>800.25</v>
      </c>
      <c r="F17" s="25">
        <v>45827.0</v>
      </c>
      <c r="G17" s="23">
        <v>584.6</v>
      </c>
      <c r="H17" s="26">
        <f>IFERROR(__xludf.DUMMYFUNCTION("IFERROR(GOOGLEFINANCE(""NSE:""&amp;B17,""price""),"""")"),534.25)</f>
        <v>534.25</v>
      </c>
      <c r="I17" s="22">
        <v>10.0</v>
      </c>
      <c r="J17" s="23">
        <f t="shared" si="1"/>
        <v>8002.5</v>
      </c>
      <c r="K17" s="23">
        <f t="shared" si="2"/>
        <v>13848.5</v>
      </c>
      <c r="L17" s="23">
        <f t="shared" si="3"/>
        <v>0</v>
      </c>
      <c r="M17" s="27">
        <f t="shared" si="4"/>
        <v>0</v>
      </c>
      <c r="N17" s="23">
        <f>IFERROR(__xludf.DUMMYFUNCTION("IFERROR(IF(G17&gt;0,0,GOOGLEFINANCE(""NSE:""&amp;B17,""change"")),0)"),0.0)</f>
        <v>0</v>
      </c>
      <c r="O17" s="23">
        <f t="shared" si="5"/>
        <v>0</v>
      </c>
      <c r="P17" s="23">
        <f t="shared" si="6"/>
        <v>-2156.5</v>
      </c>
      <c r="Q17" s="27">
        <f t="shared" si="7"/>
        <v>-0.269478288</v>
      </c>
      <c r="R17" s="23"/>
      <c r="S17" s="23"/>
      <c r="T17" s="23"/>
      <c r="U17" s="23"/>
      <c r="V17" s="23"/>
      <c r="W17" s="23"/>
      <c r="X17" s="23"/>
      <c r="Y17" s="23"/>
      <c r="Z17" s="27"/>
      <c r="AA17" s="23"/>
      <c r="AB17" s="42" t="s">
        <v>224</v>
      </c>
      <c r="AC17" s="40" t="s">
        <v>102</v>
      </c>
    </row>
    <row r="18" ht="22.5" customHeight="1">
      <c r="A18" s="22">
        <v>17.0</v>
      </c>
      <c r="B18" s="47" t="s">
        <v>226</v>
      </c>
      <c r="C18" s="24" t="s">
        <v>97</v>
      </c>
      <c r="D18" s="25">
        <v>45439.0</v>
      </c>
      <c r="E18" s="23">
        <v>445.33</v>
      </c>
      <c r="F18" s="25">
        <v>45524.0</v>
      </c>
      <c r="G18" s="23">
        <v>673.4</v>
      </c>
      <c r="H18" s="26">
        <f>IFERROR(__xludf.DUMMYFUNCTION("IFERROR(GOOGLEFINANCE(""NSE:""&amp;B18,""price""),"""")"),411.7)</f>
        <v>411.7</v>
      </c>
      <c r="I18" s="22">
        <v>6.0</v>
      </c>
      <c r="J18" s="23">
        <f t="shared" si="1"/>
        <v>2671.98</v>
      </c>
      <c r="K18" s="23">
        <f t="shared" si="2"/>
        <v>6712.38</v>
      </c>
      <c r="L18" s="23">
        <f t="shared" si="3"/>
        <v>0</v>
      </c>
      <c r="M18" s="27">
        <f t="shared" si="4"/>
        <v>0</v>
      </c>
      <c r="N18" s="23">
        <f>IFERROR(__xludf.DUMMYFUNCTION("IFERROR(IF(G18&gt;0,0,GOOGLEFINANCE(""NSE:""&amp;B18,""change"")),0)"),0.0)</f>
        <v>0</v>
      </c>
      <c r="O18" s="23">
        <f t="shared" si="5"/>
        <v>0</v>
      </c>
      <c r="P18" s="23">
        <f t="shared" si="6"/>
        <v>1368.42</v>
      </c>
      <c r="Q18" s="27">
        <f t="shared" si="7"/>
        <v>0.5121370669</v>
      </c>
      <c r="R18" s="23"/>
      <c r="S18" s="23"/>
      <c r="T18" s="23"/>
      <c r="U18" s="23"/>
      <c r="V18" s="23"/>
      <c r="W18" s="23"/>
      <c r="X18" s="23"/>
      <c r="Y18" s="23"/>
      <c r="Z18" s="27"/>
      <c r="AA18" s="23"/>
    </row>
    <row r="19" ht="22.5" customHeight="1">
      <c r="A19" s="22">
        <v>18.0</v>
      </c>
      <c r="B19" s="48" t="s">
        <v>47</v>
      </c>
      <c r="C19" s="24" t="s">
        <v>97</v>
      </c>
      <c r="D19" s="25">
        <v>45482.0</v>
      </c>
      <c r="E19" s="23">
        <v>452.3</v>
      </c>
      <c r="F19" s="25"/>
      <c r="G19" s="23"/>
      <c r="H19" s="26">
        <f>IFERROR(__xludf.DUMMYFUNCTION("IFERROR(GOOGLEFINANCE(""NSE:""&amp;B19,""price""),"""")"),408.85)</f>
        <v>408.85</v>
      </c>
      <c r="I19" s="22">
        <v>20.0</v>
      </c>
      <c r="J19" s="23">
        <f t="shared" si="1"/>
        <v>9046</v>
      </c>
      <c r="K19" s="23">
        <f t="shared" si="2"/>
        <v>9046</v>
      </c>
      <c r="L19" s="23">
        <f t="shared" si="3"/>
        <v>-869</v>
      </c>
      <c r="M19" s="27">
        <f t="shared" si="4"/>
        <v>-0.09606455892</v>
      </c>
      <c r="N19" s="23">
        <f>IFERROR(__xludf.DUMMYFUNCTION("IFERROR(IF(G19&gt;0,0,GOOGLEFINANCE(""NSE:""&amp;B19,""change"")),0)"),6.15)</f>
        <v>6.15</v>
      </c>
      <c r="O19" s="23">
        <f t="shared" si="5"/>
        <v>123</v>
      </c>
      <c r="P19" s="23">
        <f t="shared" si="6"/>
        <v>0</v>
      </c>
      <c r="Q19" s="27">
        <f t="shared" si="7"/>
        <v>0</v>
      </c>
      <c r="R19" s="23"/>
      <c r="S19" s="23"/>
      <c r="T19" s="23"/>
      <c r="U19" s="23"/>
      <c r="V19" s="23"/>
      <c r="W19" s="23"/>
      <c r="X19" s="23"/>
      <c r="Y19" s="23"/>
      <c r="Z19" s="27"/>
      <c r="AA19" s="23"/>
      <c r="AB19" s="42" t="s">
        <v>234</v>
      </c>
    </row>
    <row r="20" ht="22.5" customHeight="1">
      <c r="A20" s="22">
        <v>19.0</v>
      </c>
      <c r="B20" s="23" t="s">
        <v>236</v>
      </c>
      <c r="C20" s="24" t="s">
        <v>97</v>
      </c>
      <c r="D20" s="25">
        <v>45483.0</v>
      </c>
      <c r="E20" s="23">
        <v>481.05</v>
      </c>
      <c r="F20" s="25">
        <v>45670.0</v>
      </c>
      <c r="G20" s="23">
        <v>579.0</v>
      </c>
      <c r="H20" s="26">
        <f>IFERROR(__xludf.DUMMYFUNCTION("IFERROR(GOOGLEFINANCE(""NSE:""&amp;B20,""price""),"""")"),1072.1)</f>
        <v>1072.1</v>
      </c>
      <c r="I20" s="22">
        <v>15.0</v>
      </c>
      <c r="J20" s="23">
        <f t="shared" si="1"/>
        <v>7215.75</v>
      </c>
      <c r="K20" s="23">
        <f t="shared" si="2"/>
        <v>15900.75</v>
      </c>
      <c r="L20" s="23">
        <f t="shared" si="3"/>
        <v>0</v>
      </c>
      <c r="M20" s="27">
        <f t="shared" si="4"/>
        <v>0</v>
      </c>
      <c r="N20" s="23">
        <f>IFERROR(__xludf.DUMMYFUNCTION("IFERROR(IF(G20&gt;0,0,GOOGLEFINANCE(""NSE:""&amp;B20,""change"")),0)"),0.0)</f>
        <v>0</v>
      </c>
      <c r="O20" s="23">
        <f t="shared" si="5"/>
        <v>0</v>
      </c>
      <c r="P20" s="23">
        <f t="shared" si="6"/>
        <v>1469.25</v>
      </c>
      <c r="Q20" s="27">
        <f t="shared" si="7"/>
        <v>0.2036170876</v>
      </c>
      <c r="R20" s="23"/>
      <c r="S20" s="23"/>
      <c r="T20" s="23"/>
      <c r="U20" s="23"/>
      <c r="V20" s="23"/>
      <c r="W20" s="23"/>
      <c r="X20" s="23"/>
      <c r="Y20" s="23"/>
      <c r="Z20" s="27"/>
      <c r="AA20" s="23"/>
      <c r="AB20" s="42" t="s">
        <v>237</v>
      </c>
      <c r="AC20" s="40" t="s">
        <v>105</v>
      </c>
    </row>
    <row r="21" ht="22.5" customHeight="1">
      <c r="A21" s="22">
        <v>20.0</v>
      </c>
      <c r="B21" s="23" t="s">
        <v>216</v>
      </c>
      <c r="C21" s="41" t="s">
        <v>97</v>
      </c>
      <c r="D21" s="25">
        <v>45630.0</v>
      </c>
      <c r="E21" s="23">
        <v>564.1</v>
      </c>
      <c r="F21" s="25">
        <v>45492.0</v>
      </c>
      <c r="G21" s="23">
        <v>684.3</v>
      </c>
      <c r="H21" s="26">
        <f>IFERROR(__xludf.DUMMYFUNCTION("IFERROR(GOOGLEFINANCE(""NSE:""&amp;B21,""price""),"""")"),380.6)</f>
        <v>380.6</v>
      </c>
      <c r="I21" s="22">
        <v>8.0</v>
      </c>
      <c r="J21" s="23">
        <f t="shared" si="1"/>
        <v>4512.8</v>
      </c>
      <c r="K21" s="23">
        <f t="shared" si="2"/>
        <v>9987.2</v>
      </c>
      <c r="L21" s="23">
        <f t="shared" si="3"/>
        <v>0</v>
      </c>
      <c r="M21" s="27">
        <f t="shared" si="4"/>
        <v>0</v>
      </c>
      <c r="N21" s="23">
        <f>IFERROR(__xludf.DUMMYFUNCTION("IFERROR(IF(G21&gt;0,0,GOOGLEFINANCE(""NSE:""&amp;B21,""change"")),0)"),0.0)</f>
        <v>0</v>
      </c>
      <c r="O21" s="23">
        <f t="shared" si="5"/>
        <v>0</v>
      </c>
      <c r="P21" s="23">
        <f t="shared" si="6"/>
        <v>961.6</v>
      </c>
      <c r="Q21" s="27">
        <f t="shared" si="7"/>
        <v>0.2130827867</v>
      </c>
      <c r="R21" s="23"/>
      <c r="S21" s="23"/>
      <c r="T21" s="23"/>
      <c r="U21" s="23"/>
      <c r="V21" s="23"/>
      <c r="W21" s="23"/>
      <c r="X21" s="23"/>
      <c r="Y21" s="23"/>
      <c r="Z21" s="27"/>
      <c r="AA21" s="23"/>
    </row>
    <row r="22" ht="22.5" customHeight="1">
      <c r="A22" s="22">
        <v>21.0</v>
      </c>
      <c r="B22" s="23" t="s">
        <v>238</v>
      </c>
      <c r="C22" s="24" t="s">
        <v>231</v>
      </c>
      <c r="D22" s="25">
        <v>45499.0</v>
      </c>
      <c r="E22" s="23">
        <v>1210.15</v>
      </c>
      <c r="F22" s="25"/>
      <c r="G22" s="23"/>
      <c r="H22" s="26">
        <f>IFERROR(__xludf.DUMMYFUNCTION("IFERROR(GOOGLEFINANCE(""NSE:""&amp;B22,""price""),"""")"),929.45)</f>
        <v>929.45</v>
      </c>
      <c r="I22" s="22">
        <v>9.0</v>
      </c>
      <c r="J22" s="23">
        <f t="shared" si="1"/>
        <v>10891.35</v>
      </c>
      <c r="K22" s="23">
        <f t="shared" si="2"/>
        <v>10891.35</v>
      </c>
      <c r="L22" s="23">
        <f t="shared" si="3"/>
        <v>-2526.3</v>
      </c>
      <c r="M22" s="27">
        <f t="shared" si="4"/>
        <v>-0.2319547164</v>
      </c>
      <c r="N22" s="23">
        <f>IFERROR(__xludf.DUMMYFUNCTION("IFERROR(IF(G22&gt;0,0,GOOGLEFINANCE(""NSE:""&amp;B22,""change"")),0)"),11.25)</f>
        <v>11.25</v>
      </c>
      <c r="O22" s="23">
        <f t="shared" si="5"/>
        <v>101.25</v>
      </c>
      <c r="P22" s="23">
        <f t="shared" si="6"/>
        <v>0</v>
      </c>
      <c r="Q22" s="27">
        <f t="shared" si="7"/>
        <v>0</v>
      </c>
      <c r="R22" s="23"/>
      <c r="S22" s="23"/>
      <c r="T22" s="23"/>
      <c r="U22" s="23"/>
      <c r="V22" s="23"/>
      <c r="W22" s="23"/>
      <c r="X22" s="23"/>
      <c r="Y22" s="23"/>
      <c r="Z22" s="27"/>
      <c r="AA22" s="23"/>
    </row>
    <row r="23" ht="22.5" customHeight="1">
      <c r="A23" s="22">
        <v>22.0</v>
      </c>
      <c r="B23" s="23" t="s">
        <v>63</v>
      </c>
      <c r="C23" s="24" t="s">
        <v>152</v>
      </c>
      <c r="D23" s="25">
        <v>45559.0</v>
      </c>
      <c r="E23" s="23">
        <v>263.0</v>
      </c>
      <c r="F23" s="25">
        <v>45559.0</v>
      </c>
      <c r="G23" s="23">
        <v>333.9</v>
      </c>
      <c r="H23" s="26">
        <f>IFERROR(__xludf.DUMMYFUNCTION("IFERROR(GOOGLEFINANCE(""NSE:""&amp;B23,""price""),"""")"),253.65)</f>
        <v>253.65</v>
      </c>
      <c r="I23" s="22">
        <v>57.0</v>
      </c>
      <c r="J23" s="23">
        <f t="shared" si="1"/>
        <v>14991</v>
      </c>
      <c r="K23" s="23">
        <f t="shared" si="2"/>
        <v>34023.3</v>
      </c>
      <c r="L23" s="23">
        <f t="shared" si="3"/>
        <v>0</v>
      </c>
      <c r="M23" s="27">
        <f t="shared" si="4"/>
        <v>0</v>
      </c>
      <c r="N23" s="23">
        <f>IFERROR(__xludf.DUMMYFUNCTION("IFERROR(IF(G23&gt;0,0,GOOGLEFINANCE(""NSE:""&amp;B23,""change"")),0)"),0.0)</f>
        <v>0</v>
      </c>
      <c r="O23" s="23">
        <f t="shared" si="5"/>
        <v>0</v>
      </c>
      <c r="P23" s="23">
        <f t="shared" si="6"/>
        <v>4041.3</v>
      </c>
      <c r="Q23" s="27">
        <f t="shared" si="7"/>
        <v>0.269581749</v>
      </c>
      <c r="R23" s="23"/>
      <c r="S23" s="23"/>
      <c r="T23" s="23"/>
      <c r="U23" s="23"/>
      <c r="V23" s="23"/>
      <c r="W23" s="23"/>
      <c r="X23" s="23"/>
      <c r="Y23" s="23"/>
      <c r="Z23" s="27"/>
      <c r="AA23" s="23"/>
      <c r="AB23" s="42" t="s">
        <v>127</v>
      </c>
    </row>
    <row r="24" ht="22.5" customHeight="1">
      <c r="A24" s="22">
        <v>23.0</v>
      </c>
      <c r="B24" s="23" t="s">
        <v>63</v>
      </c>
      <c r="C24" s="41" t="s">
        <v>136</v>
      </c>
      <c r="D24" s="25">
        <v>45559.0</v>
      </c>
      <c r="E24" s="23">
        <v>263.0</v>
      </c>
      <c r="F24" s="25"/>
      <c r="G24" s="23">
        <v>0.0</v>
      </c>
      <c r="H24" s="26">
        <f>IFERROR(__xludf.DUMMYFUNCTION("IFERROR(GOOGLEFINANCE(""NSE:""&amp;B24,""price""),"""")"),253.65)</f>
        <v>253.65</v>
      </c>
      <c r="I24" s="22">
        <v>57.0</v>
      </c>
      <c r="J24" s="23">
        <f t="shared" si="1"/>
        <v>14991</v>
      </c>
      <c r="K24" s="23">
        <f t="shared" si="2"/>
        <v>14991</v>
      </c>
      <c r="L24" s="23">
        <f t="shared" si="3"/>
        <v>-532.95</v>
      </c>
      <c r="M24" s="27">
        <f t="shared" si="4"/>
        <v>-0.0355513308</v>
      </c>
      <c r="N24" s="23">
        <f>IFERROR(__xludf.DUMMYFUNCTION("IFERROR(IF(G24&gt;0,0,GOOGLEFINANCE(""NSE:""&amp;B24,""change"")),0)"),1.35)</f>
        <v>1.35</v>
      </c>
      <c r="O24" s="23">
        <f t="shared" si="5"/>
        <v>76.95</v>
      </c>
      <c r="P24" s="23">
        <f t="shared" si="6"/>
        <v>0</v>
      </c>
      <c r="Q24" s="27">
        <f t="shared" si="7"/>
        <v>0</v>
      </c>
      <c r="R24" s="23"/>
      <c r="S24" s="23"/>
      <c r="T24" s="23"/>
      <c r="U24" s="23"/>
      <c r="V24" s="23"/>
      <c r="W24" s="23"/>
      <c r="X24" s="23"/>
      <c r="Y24" s="23"/>
      <c r="Z24" s="27"/>
      <c r="AA24" s="23"/>
      <c r="AB24" s="42" t="s">
        <v>127</v>
      </c>
    </row>
    <row r="25" ht="22.5" customHeight="1">
      <c r="A25" s="22">
        <v>24.0</v>
      </c>
      <c r="B25" s="23" t="s">
        <v>44</v>
      </c>
      <c r="C25" s="24" t="s">
        <v>97</v>
      </c>
      <c r="D25" s="25">
        <v>45566.0</v>
      </c>
      <c r="E25" s="23">
        <v>1951.0</v>
      </c>
      <c r="F25" s="25"/>
      <c r="G25" s="23">
        <v>0.0</v>
      </c>
      <c r="H25" s="26">
        <f>IFERROR(__xludf.DUMMYFUNCTION("IFERROR(GOOGLEFINANCE(""NSE:""&amp;B25,""price""),"""")"),2059.0)</f>
        <v>2059</v>
      </c>
      <c r="I25" s="22">
        <v>5.0</v>
      </c>
      <c r="J25" s="23">
        <f t="shared" si="1"/>
        <v>9755</v>
      </c>
      <c r="K25" s="23">
        <f t="shared" si="2"/>
        <v>9755</v>
      </c>
      <c r="L25" s="23">
        <f t="shared" si="3"/>
        <v>540</v>
      </c>
      <c r="M25" s="27">
        <f t="shared" si="4"/>
        <v>0.05535622758</v>
      </c>
      <c r="N25" s="23">
        <f>IFERROR(__xludf.DUMMYFUNCTION("IFERROR(IF(G25&gt;0,0,GOOGLEFINANCE(""NSE:""&amp;B25,""change"")),0)"),44.8)</f>
        <v>44.8</v>
      </c>
      <c r="O25" s="23">
        <f t="shared" si="5"/>
        <v>224</v>
      </c>
      <c r="P25" s="23">
        <f t="shared" si="6"/>
        <v>0</v>
      </c>
      <c r="Q25" s="27">
        <f t="shared" si="7"/>
        <v>0</v>
      </c>
      <c r="R25" s="23"/>
      <c r="S25" s="23"/>
      <c r="T25" s="23"/>
      <c r="U25" s="23"/>
      <c r="V25" s="23"/>
      <c r="W25" s="23"/>
      <c r="X25" s="23"/>
      <c r="Y25" s="23"/>
      <c r="Z25" s="27"/>
      <c r="AA25" s="23"/>
      <c r="AB25" s="42" t="s">
        <v>239</v>
      </c>
    </row>
    <row r="26" ht="22.5" customHeight="1">
      <c r="A26" s="22">
        <v>25.0</v>
      </c>
      <c r="B26" s="23" t="s">
        <v>118</v>
      </c>
      <c r="C26" s="24" t="s">
        <v>152</v>
      </c>
      <c r="D26" s="25">
        <v>45586.0</v>
      </c>
      <c r="E26" s="23">
        <v>1646.15</v>
      </c>
      <c r="F26" s="25"/>
      <c r="G26" s="23">
        <v>0.0</v>
      </c>
      <c r="H26" s="26">
        <f>IFERROR(__xludf.DUMMYFUNCTION("IFERROR(GOOGLEFINANCE(""NSE:""&amp;B26,""price""),"""")"),1170.2)</f>
        <v>1170.2</v>
      </c>
      <c r="I26" s="22">
        <v>5.0</v>
      </c>
      <c r="J26" s="23">
        <f t="shared" si="1"/>
        <v>8230.75</v>
      </c>
      <c r="K26" s="23">
        <f t="shared" si="2"/>
        <v>8230.75</v>
      </c>
      <c r="L26" s="23">
        <f t="shared" si="3"/>
        <v>-2379.75</v>
      </c>
      <c r="M26" s="27">
        <f t="shared" si="4"/>
        <v>-0.2891291802</v>
      </c>
      <c r="N26" s="23">
        <f>IFERROR(__xludf.DUMMYFUNCTION("IFERROR(IF(G26&gt;0,0,GOOGLEFINANCE(""NSE:""&amp;B26,""change"")),0)"),-10.0)</f>
        <v>-10</v>
      </c>
      <c r="O26" s="23">
        <f t="shared" si="5"/>
        <v>-50</v>
      </c>
      <c r="P26" s="23">
        <f t="shared" si="6"/>
        <v>0</v>
      </c>
      <c r="Q26" s="27">
        <f t="shared" si="7"/>
        <v>0</v>
      </c>
      <c r="R26" s="23"/>
      <c r="S26" s="23"/>
      <c r="T26" s="23"/>
      <c r="U26" s="23"/>
      <c r="V26" s="23"/>
      <c r="W26" s="23"/>
      <c r="X26" s="23"/>
      <c r="Y26" s="23"/>
      <c r="Z26" s="27"/>
      <c r="AA26" s="23"/>
      <c r="AB26" s="42" t="s">
        <v>240</v>
      </c>
    </row>
    <row r="27" ht="22.5" customHeight="1">
      <c r="A27" s="22">
        <v>26.0</v>
      </c>
      <c r="B27" s="23" t="s">
        <v>23</v>
      </c>
      <c r="C27" s="24" t="s">
        <v>97</v>
      </c>
      <c r="D27" s="25">
        <v>45384.0</v>
      </c>
      <c r="E27" s="23">
        <v>1489.55</v>
      </c>
      <c r="F27" s="25">
        <v>45600.0</v>
      </c>
      <c r="G27" s="23">
        <v>1714.85</v>
      </c>
      <c r="H27" s="26">
        <f>IFERROR(__xludf.DUMMYFUNCTION("IFERROR(GOOGLEFINANCE(""NSE:""&amp;B27,""price""),"""")"),997.0)</f>
        <v>997</v>
      </c>
      <c r="I27" s="22">
        <v>5.0</v>
      </c>
      <c r="J27" s="23">
        <f t="shared" si="1"/>
        <v>7447.75</v>
      </c>
      <c r="K27" s="23">
        <f t="shared" si="2"/>
        <v>16022</v>
      </c>
      <c r="L27" s="23">
        <f t="shared" si="3"/>
        <v>0</v>
      </c>
      <c r="M27" s="27">
        <f t="shared" si="4"/>
        <v>0</v>
      </c>
      <c r="N27" s="23">
        <f>IFERROR(__xludf.DUMMYFUNCTION("IFERROR(IF(G27&gt;0,0,GOOGLEFINANCE(""NSE:""&amp;B27,""change"")),0)"),0.0)</f>
        <v>0</v>
      </c>
      <c r="O27" s="23">
        <f t="shared" si="5"/>
        <v>0</v>
      </c>
      <c r="P27" s="23">
        <f t="shared" si="6"/>
        <v>1126.5</v>
      </c>
      <c r="Q27" s="27">
        <f t="shared" si="7"/>
        <v>0.1512537343</v>
      </c>
      <c r="R27" s="23"/>
      <c r="S27" s="23"/>
      <c r="T27" s="23"/>
      <c r="U27" s="23"/>
      <c r="V27" s="23"/>
      <c r="W27" s="23"/>
      <c r="X27" s="23"/>
      <c r="Y27" s="23"/>
      <c r="Z27" s="27"/>
      <c r="AA27" s="23"/>
    </row>
    <row r="28" ht="22.5" customHeight="1">
      <c r="A28" s="22">
        <v>27.0</v>
      </c>
      <c r="B28" s="23" t="s">
        <v>229</v>
      </c>
      <c r="C28" s="24" t="s">
        <v>104</v>
      </c>
      <c r="D28" s="25">
        <v>45644.0</v>
      </c>
      <c r="E28" s="23">
        <v>78.0</v>
      </c>
      <c r="F28" s="25">
        <v>45644.0</v>
      </c>
      <c r="G28" s="23">
        <v>106.04</v>
      </c>
      <c r="H28" s="26">
        <f>IFERROR(__xludf.DUMMYFUNCTION("IFERROR(GOOGLEFINANCE(""NSE:""&amp;B28,""price""),"""")"),136.78)</f>
        <v>136.78</v>
      </c>
      <c r="I28" s="22">
        <v>190.0</v>
      </c>
      <c r="J28" s="23">
        <f t="shared" si="1"/>
        <v>14820</v>
      </c>
      <c r="K28" s="23">
        <f t="shared" si="2"/>
        <v>34967.6</v>
      </c>
      <c r="L28" s="23">
        <f t="shared" si="3"/>
        <v>0</v>
      </c>
      <c r="M28" s="27">
        <f t="shared" si="4"/>
        <v>0</v>
      </c>
      <c r="N28" s="23">
        <f>IFERROR(__xludf.DUMMYFUNCTION("IFERROR(IF(G28&gt;0,0,GOOGLEFINANCE(""NSE:""&amp;B28,""change"")),0)"),0.0)</f>
        <v>0</v>
      </c>
      <c r="O28" s="23">
        <f t="shared" si="5"/>
        <v>0</v>
      </c>
      <c r="P28" s="23">
        <f t="shared" si="6"/>
        <v>5327.6</v>
      </c>
      <c r="Q28" s="27">
        <f t="shared" si="7"/>
        <v>0.3594871795</v>
      </c>
      <c r="R28" s="23"/>
      <c r="S28" s="23"/>
      <c r="T28" s="23"/>
      <c r="U28" s="23"/>
      <c r="V28" s="23"/>
      <c r="W28" s="23"/>
      <c r="X28" s="23"/>
      <c r="Y28" s="23"/>
      <c r="Z28" s="27"/>
      <c r="AA28" s="23"/>
      <c r="AB28" s="42" t="s">
        <v>127</v>
      </c>
    </row>
    <row r="29" ht="22.5" customHeight="1">
      <c r="A29" s="22">
        <v>28.0</v>
      </c>
      <c r="B29" s="23" t="s">
        <v>225</v>
      </c>
      <c r="C29" s="24" t="s">
        <v>104</v>
      </c>
      <c r="D29" s="25">
        <v>45646.0</v>
      </c>
      <c r="E29" s="23">
        <v>417.0</v>
      </c>
      <c r="F29" s="25">
        <v>45646.0</v>
      </c>
      <c r="G29" s="23">
        <v>510.14</v>
      </c>
      <c r="H29" s="26">
        <f>IFERROR(__xludf.DUMMYFUNCTION("IFERROR(GOOGLEFINANCE(""NSE:""&amp;B29,""price""),"""")"),325.1)</f>
        <v>325.1</v>
      </c>
      <c r="I29" s="22">
        <v>35.0</v>
      </c>
      <c r="J29" s="23">
        <f t="shared" si="1"/>
        <v>14595</v>
      </c>
      <c r="K29" s="23">
        <f t="shared" si="2"/>
        <v>32449.9</v>
      </c>
      <c r="L29" s="23">
        <f t="shared" si="3"/>
        <v>0</v>
      </c>
      <c r="M29" s="27">
        <f t="shared" si="4"/>
        <v>0</v>
      </c>
      <c r="N29" s="23">
        <f>IFERROR(__xludf.DUMMYFUNCTION("IFERROR(IF(G29&gt;0,0,GOOGLEFINANCE(""NSE:""&amp;B29,""change"")),0)"),0.0)</f>
        <v>0</v>
      </c>
      <c r="O29" s="23">
        <f t="shared" si="5"/>
        <v>0</v>
      </c>
      <c r="P29" s="23">
        <f t="shared" si="6"/>
        <v>3259.9</v>
      </c>
      <c r="Q29" s="27">
        <f t="shared" si="7"/>
        <v>0.2233573141</v>
      </c>
      <c r="R29" s="23"/>
      <c r="S29" s="23"/>
      <c r="T29" s="23"/>
      <c r="U29" s="23"/>
      <c r="V29" s="23"/>
      <c r="W29" s="23"/>
      <c r="X29" s="23"/>
      <c r="Y29" s="23"/>
      <c r="Z29" s="27"/>
      <c r="AA29" s="23"/>
      <c r="AB29" s="42" t="s">
        <v>127</v>
      </c>
    </row>
    <row r="30" ht="22.5" customHeight="1">
      <c r="A30" s="22">
        <v>29.0</v>
      </c>
      <c r="B30" s="23" t="s">
        <v>13</v>
      </c>
      <c r="C30" s="24" t="s">
        <v>97</v>
      </c>
      <c r="D30" s="25">
        <v>45658.0</v>
      </c>
      <c r="E30" s="23">
        <v>3006.15</v>
      </c>
      <c r="F30" s="25"/>
      <c r="G30" s="23"/>
      <c r="H30" s="26">
        <f>IFERROR(__xludf.DUMMYFUNCTION("IFERROR(GOOGLEFINANCE(""NSE:""&amp;B30,""price""),"""")"),2543.2)</f>
        <v>2543.2</v>
      </c>
      <c r="I30" s="22">
        <v>3.0</v>
      </c>
      <c r="J30" s="23">
        <f t="shared" si="1"/>
        <v>9018.45</v>
      </c>
      <c r="K30" s="23">
        <f t="shared" si="2"/>
        <v>9018.45</v>
      </c>
      <c r="L30" s="23">
        <f t="shared" si="3"/>
        <v>-1388.85</v>
      </c>
      <c r="M30" s="27">
        <f t="shared" si="4"/>
        <v>-0.1540009647</v>
      </c>
      <c r="N30" s="23">
        <f>IFERROR(__xludf.DUMMYFUNCTION("IFERROR(IF(G30&gt;0,0,GOOGLEFINANCE(""NSE:""&amp;B30,""change"")),0)"),-38.4)</f>
        <v>-38.4</v>
      </c>
      <c r="O30" s="23">
        <f t="shared" si="5"/>
        <v>-115.2</v>
      </c>
      <c r="P30" s="23">
        <f t="shared" si="6"/>
        <v>0</v>
      </c>
      <c r="Q30" s="27">
        <f t="shared" si="7"/>
        <v>0</v>
      </c>
      <c r="R30" s="23"/>
      <c r="S30" s="23"/>
      <c r="T30" s="23"/>
      <c r="U30" s="23"/>
      <c r="V30" s="23"/>
      <c r="W30" s="23"/>
      <c r="X30" s="23"/>
      <c r="Y30" s="23"/>
      <c r="Z30" s="27"/>
      <c r="AA30" s="23"/>
    </row>
    <row r="31" ht="22.5" customHeight="1">
      <c r="A31" s="22">
        <v>30.0</v>
      </c>
      <c r="B31" s="23" t="s">
        <v>36</v>
      </c>
      <c r="C31" s="24" t="s">
        <v>97</v>
      </c>
      <c r="D31" s="25">
        <v>45791.0</v>
      </c>
      <c r="E31" s="23">
        <v>267.0</v>
      </c>
      <c r="F31" s="25"/>
      <c r="G31" s="23"/>
      <c r="H31" s="26">
        <f>IFERROR(__xludf.DUMMYFUNCTION("IFERROR(GOOGLEFINANCE(""NSE:""&amp;B31,""price""),"""")"),298.5)</f>
        <v>298.5</v>
      </c>
      <c r="I31" s="22">
        <v>18.0</v>
      </c>
      <c r="J31" s="23">
        <f t="shared" si="1"/>
        <v>4806</v>
      </c>
      <c r="K31" s="23">
        <f t="shared" si="2"/>
        <v>4806</v>
      </c>
      <c r="L31" s="23">
        <f t="shared" si="3"/>
        <v>567</v>
      </c>
      <c r="M31" s="27">
        <f t="shared" si="4"/>
        <v>0.1179775281</v>
      </c>
      <c r="N31" s="23">
        <f>IFERROR(__xludf.DUMMYFUNCTION("IFERROR(IF(G31&gt;0,0,GOOGLEFINANCE(""NSE:""&amp;B31,""change"")),0)"),-0.25)</f>
        <v>-0.25</v>
      </c>
      <c r="O31" s="23">
        <f t="shared" si="5"/>
        <v>-4.5</v>
      </c>
      <c r="P31" s="23">
        <f t="shared" si="6"/>
        <v>0</v>
      </c>
      <c r="Q31" s="27">
        <f t="shared" si="7"/>
        <v>0</v>
      </c>
      <c r="R31" s="23"/>
      <c r="S31" s="23"/>
      <c r="T31" s="23"/>
      <c r="U31" s="23"/>
      <c r="V31" s="23"/>
      <c r="W31" s="23"/>
      <c r="X31" s="23"/>
      <c r="Y31" s="23"/>
      <c r="Z31" s="27"/>
      <c r="AA31" s="23"/>
    </row>
    <row r="32" ht="22.5" customHeight="1">
      <c r="A32" s="22">
        <v>31.0</v>
      </c>
      <c r="B32" s="23" t="s">
        <v>169</v>
      </c>
      <c r="C32" s="24" t="s">
        <v>97</v>
      </c>
      <c r="D32" s="25">
        <v>45797.0</v>
      </c>
      <c r="E32" s="23">
        <v>733.0</v>
      </c>
      <c r="F32" s="25"/>
      <c r="G32" s="23"/>
      <c r="H32" s="26" t="str">
        <f>IFERROR(__xludf.DUMMYFUNCTION("IFERROR(GOOGLEFINANCE(""NSE:""&amp;B32,""price""),"""")"),"")</f>
        <v/>
      </c>
      <c r="I32" s="22">
        <v>6.0</v>
      </c>
      <c r="J32" s="23">
        <f t="shared" si="1"/>
        <v>4398</v>
      </c>
      <c r="K32" s="23">
        <f t="shared" si="2"/>
        <v>4398</v>
      </c>
      <c r="L32" s="23">
        <f t="shared" si="3"/>
        <v>-4398</v>
      </c>
      <c r="M32" s="27">
        <f t="shared" si="4"/>
        <v>-1</v>
      </c>
      <c r="N32" s="23">
        <f>IFERROR(__xludf.DUMMYFUNCTION("IFERROR(IF(G32&gt;0,0,GOOGLEFINANCE(""NSE:""&amp;B32,""change"")),0)"),0.0)</f>
        <v>0</v>
      </c>
      <c r="O32" s="23">
        <f t="shared" si="5"/>
        <v>0</v>
      </c>
      <c r="P32" s="23">
        <f t="shared" si="6"/>
        <v>0</v>
      </c>
      <c r="Q32" s="27">
        <f t="shared" si="7"/>
        <v>0</v>
      </c>
      <c r="R32" s="23"/>
      <c r="S32" s="23"/>
      <c r="T32" s="23"/>
      <c r="U32" s="23"/>
      <c r="V32" s="23"/>
      <c r="W32" s="23"/>
      <c r="X32" s="23"/>
      <c r="Y32" s="23"/>
      <c r="Z32" s="27"/>
      <c r="AA32" s="23"/>
    </row>
    <row r="33" ht="22.5" customHeight="1">
      <c r="A33" s="22">
        <v>32.0</v>
      </c>
      <c r="B33" s="23" t="s">
        <v>24</v>
      </c>
      <c r="C33" s="24" t="s">
        <v>13</v>
      </c>
      <c r="D33" s="25">
        <v>45813.0</v>
      </c>
      <c r="E33" s="23">
        <v>475.0</v>
      </c>
      <c r="F33" s="25">
        <v>45827.0</v>
      </c>
      <c r="G33" s="23">
        <v>446.0</v>
      </c>
      <c r="H33" s="26">
        <f>IFERROR(__xludf.DUMMYFUNCTION("IFERROR(GOOGLEFINANCE(""NSE:""&amp;B33,""price""),"""")"),610.2)</f>
        <v>610.2</v>
      </c>
      <c r="I33" s="22">
        <v>30.0</v>
      </c>
      <c r="J33" s="23">
        <f t="shared" si="1"/>
        <v>14250</v>
      </c>
      <c r="K33" s="23">
        <f t="shared" si="2"/>
        <v>27630</v>
      </c>
      <c r="L33" s="23">
        <f t="shared" si="3"/>
        <v>0</v>
      </c>
      <c r="M33" s="27">
        <f t="shared" si="4"/>
        <v>0</v>
      </c>
      <c r="N33" s="23">
        <f>IFERROR(__xludf.DUMMYFUNCTION("IFERROR(IF(G33&gt;0,0,GOOGLEFINANCE(""NSE:""&amp;B33,""change"")),0)"),0.0)</f>
        <v>0</v>
      </c>
      <c r="O33" s="23">
        <f t="shared" si="5"/>
        <v>0</v>
      </c>
      <c r="P33" s="23">
        <f t="shared" si="6"/>
        <v>-870</v>
      </c>
      <c r="Q33" s="27">
        <f t="shared" si="7"/>
        <v>-0.06105263158</v>
      </c>
      <c r="AB33" s="42" t="s">
        <v>101</v>
      </c>
      <c r="AC33" s="40" t="s">
        <v>102</v>
      </c>
    </row>
    <row r="34" ht="22.5" customHeight="1">
      <c r="A34" s="22">
        <v>33.0</v>
      </c>
      <c r="B34" s="23" t="s">
        <v>32</v>
      </c>
      <c r="C34" s="24" t="s">
        <v>97</v>
      </c>
      <c r="D34" s="25">
        <v>45813.0</v>
      </c>
      <c r="E34" s="23">
        <v>176.2</v>
      </c>
      <c r="F34" s="25"/>
      <c r="G34" s="23">
        <v>0.0</v>
      </c>
      <c r="H34" s="26">
        <f>IFERROR(__xludf.DUMMYFUNCTION("IFERROR(GOOGLEFINANCE(""NSE:""&amp;B34,""price""),"""")"),139.0)</f>
        <v>139</v>
      </c>
      <c r="I34" s="22">
        <v>50.0</v>
      </c>
      <c r="J34" s="23">
        <f t="shared" si="1"/>
        <v>8810</v>
      </c>
      <c r="K34" s="23">
        <f t="shared" si="2"/>
        <v>8810</v>
      </c>
      <c r="L34" s="23">
        <f t="shared" si="3"/>
        <v>-1860</v>
      </c>
      <c r="M34" s="27">
        <f t="shared" si="4"/>
        <v>-0.211123723</v>
      </c>
      <c r="N34" s="23">
        <f>IFERROR(__xludf.DUMMYFUNCTION("IFERROR(IF(G34&gt;0,0,GOOGLEFINANCE(""NSE:""&amp;B34,""change"")),0)"),3.33)</f>
        <v>3.33</v>
      </c>
      <c r="O34" s="23">
        <f t="shared" si="5"/>
        <v>166.5</v>
      </c>
      <c r="P34" s="23">
        <f t="shared" si="6"/>
        <v>0</v>
      </c>
      <c r="Q34" s="27">
        <f t="shared" si="7"/>
        <v>0</v>
      </c>
      <c r="R34" s="23"/>
      <c r="S34" s="23"/>
      <c r="T34" s="23"/>
      <c r="U34" s="23"/>
      <c r="V34" s="23"/>
      <c r="W34" s="23"/>
      <c r="X34" s="23"/>
      <c r="Y34" s="23"/>
      <c r="Z34" s="27"/>
      <c r="AA34" s="23"/>
      <c r="AB34" s="42" t="s">
        <v>101</v>
      </c>
    </row>
    <row r="35" ht="22.5" customHeight="1">
      <c r="A35" s="22">
        <v>34.0</v>
      </c>
      <c r="B35" s="23" t="s">
        <v>20</v>
      </c>
      <c r="C35" s="24" t="s">
        <v>104</v>
      </c>
      <c r="D35" s="25">
        <v>45811.0</v>
      </c>
      <c r="E35" s="23">
        <v>2294.8</v>
      </c>
      <c r="F35" s="25"/>
      <c r="G35" s="23">
        <v>0.0</v>
      </c>
      <c r="H35" s="26">
        <f>IFERROR(__xludf.DUMMYFUNCTION("IFERROR(GOOGLEFINANCE(""NSE:""&amp;B35,""price""),"""")"),2019.0)</f>
        <v>2019</v>
      </c>
      <c r="I35" s="22">
        <v>5.0</v>
      </c>
      <c r="J35" s="23">
        <f t="shared" si="1"/>
        <v>11474</v>
      </c>
      <c r="K35" s="23">
        <f t="shared" si="2"/>
        <v>11474</v>
      </c>
      <c r="L35" s="23">
        <f t="shared" si="3"/>
        <v>-1379</v>
      </c>
      <c r="M35" s="27">
        <f t="shared" si="4"/>
        <v>-0.1201847656</v>
      </c>
      <c r="N35" s="23">
        <f>IFERROR(__xludf.DUMMYFUNCTION("IFERROR(IF(G35&gt;0,0,GOOGLEFINANCE(""NSE:""&amp;B35,""change"")),0)"),-11.4)</f>
        <v>-11.4</v>
      </c>
      <c r="O35" s="23">
        <f t="shared" si="5"/>
        <v>-57</v>
      </c>
      <c r="P35" s="23">
        <f t="shared" si="6"/>
        <v>0</v>
      </c>
      <c r="Q35" s="27">
        <f t="shared" si="7"/>
        <v>0</v>
      </c>
      <c r="R35" s="23"/>
      <c r="S35" s="23"/>
      <c r="T35" s="23"/>
      <c r="U35" s="23"/>
      <c r="V35" s="23"/>
      <c r="W35" s="23"/>
      <c r="X35" s="23"/>
      <c r="Y35" s="23"/>
      <c r="Z35" s="27"/>
      <c r="AA35" s="23"/>
      <c r="AB35" s="42" t="s">
        <v>101</v>
      </c>
    </row>
    <row r="36" ht="22.5" customHeight="1">
      <c r="A36" s="22">
        <v>35.0</v>
      </c>
      <c r="B36" s="23"/>
      <c r="C36" s="49"/>
      <c r="D36" s="25"/>
      <c r="E36" s="23"/>
      <c r="F36" s="25"/>
      <c r="G36" s="23"/>
      <c r="H36" s="26" t="str">
        <f>IFERROR(__xludf.DUMMYFUNCTION("IFERROR(GOOGLEFINANCE(""NSE:""&amp;B36,""price""),"""")"),"")</f>
        <v/>
      </c>
      <c r="I36" s="22"/>
      <c r="J36" s="23">
        <f t="shared" si="1"/>
        <v>0</v>
      </c>
      <c r="K36" s="23">
        <f t="shared" si="2"/>
        <v>0</v>
      </c>
      <c r="L36" s="23">
        <f t="shared" si="3"/>
        <v>0</v>
      </c>
      <c r="M36" s="27">
        <f t="shared" si="4"/>
        <v>0</v>
      </c>
      <c r="N36" s="23">
        <f>IFERROR(__xludf.DUMMYFUNCTION("IFERROR(IF(G36&gt;0,0,GOOGLEFINANCE(""NSE:""&amp;B36,""change"")),0)"),0.0)</f>
        <v>0</v>
      </c>
      <c r="O36" s="23">
        <f t="shared" si="5"/>
        <v>0</v>
      </c>
      <c r="P36" s="23">
        <f t="shared" si="6"/>
        <v>0</v>
      </c>
      <c r="Q36" s="27">
        <f t="shared" si="7"/>
        <v>0</v>
      </c>
      <c r="R36" s="23"/>
      <c r="S36" s="23"/>
      <c r="T36" s="23"/>
      <c r="U36" s="23"/>
      <c r="V36" s="23"/>
      <c r="W36" s="23"/>
      <c r="X36" s="23"/>
      <c r="Y36" s="23"/>
      <c r="Z36" s="27"/>
      <c r="AA36" s="23"/>
    </row>
    <row r="37" ht="22.5" customHeight="1">
      <c r="A37" s="22">
        <v>36.0</v>
      </c>
      <c r="B37" s="23"/>
      <c r="C37" s="49"/>
      <c r="D37" s="25"/>
      <c r="E37" s="23"/>
      <c r="F37" s="25"/>
      <c r="G37" s="23"/>
      <c r="H37" s="26" t="str">
        <f>IFERROR(__xludf.DUMMYFUNCTION("IFERROR(GOOGLEFINANCE(""NSE:""&amp;B37,""price""),"""")"),"")</f>
        <v/>
      </c>
      <c r="I37" s="22"/>
      <c r="J37" s="23">
        <f t="shared" si="1"/>
        <v>0</v>
      </c>
      <c r="K37" s="23">
        <f t="shared" si="2"/>
        <v>0</v>
      </c>
      <c r="L37" s="23">
        <f t="shared" si="3"/>
        <v>0</v>
      </c>
      <c r="M37" s="27">
        <f t="shared" si="4"/>
        <v>0</v>
      </c>
      <c r="N37" s="23">
        <f>IFERROR(__xludf.DUMMYFUNCTION("IFERROR(IF(G37&gt;0,0,GOOGLEFINANCE(""NSE:""&amp;B37,""change"")),0)"),0.0)</f>
        <v>0</v>
      </c>
      <c r="O37" s="23">
        <f t="shared" si="5"/>
        <v>0</v>
      </c>
      <c r="P37" s="23">
        <f t="shared" si="6"/>
        <v>0</v>
      </c>
      <c r="Q37" s="27">
        <f t="shared" si="7"/>
        <v>0</v>
      </c>
      <c r="R37" s="23"/>
      <c r="S37" s="23"/>
      <c r="T37" s="23"/>
      <c r="U37" s="23"/>
      <c r="V37" s="23"/>
      <c r="W37" s="23"/>
      <c r="X37" s="23"/>
      <c r="Y37" s="23"/>
      <c r="Z37" s="27"/>
      <c r="AA37" s="23"/>
    </row>
    <row r="38" ht="22.5" customHeight="1">
      <c r="A38" s="22">
        <v>37.0</v>
      </c>
      <c r="B38" s="23"/>
      <c r="C38" s="49"/>
      <c r="D38" s="25"/>
      <c r="E38" s="23"/>
      <c r="F38" s="25"/>
      <c r="G38" s="23"/>
      <c r="H38" s="26" t="str">
        <f>IFERROR(__xludf.DUMMYFUNCTION("IFERROR(GOOGLEFINANCE(""NSE:""&amp;B38,""price""),"""")"),"")</f>
        <v/>
      </c>
      <c r="I38" s="22"/>
      <c r="J38" s="23">
        <f t="shared" si="1"/>
        <v>0</v>
      </c>
      <c r="K38" s="23">
        <f t="shared" si="2"/>
        <v>0</v>
      </c>
      <c r="L38" s="23">
        <f t="shared" si="3"/>
        <v>0</v>
      </c>
      <c r="M38" s="27">
        <f t="shared" si="4"/>
        <v>0</v>
      </c>
      <c r="N38" s="23">
        <f>IFERROR(__xludf.DUMMYFUNCTION("IFERROR(IF(G38&gt;0,0,GOOGLEFINANCE(""NSE:""&amp;B38,""change"")),0)"),0.0)</f>
        <v>0</v>
      </c>
      <c r="O38" s="23">
        <f t="shared" si="5"/>
        <v>0</v>
      </c>
      <c r="P38" s="23">
        <f t="shared" si="6"/>
        <v>0</v>
      </c>
      <c r="Q38" s="27">
        <f t="shared" si="7"/>
        <v>0</v>
      </c>
      <c r="R38" s="23"/>
      <c r="S38" s="23"/>
      <c r="T38" s="23"/>
      <c r="U38" s="23"/>
      <c r="V38" s="23"/>
      <c r="W38" s="23"/>
      <c r="X38" s="23"/>
      <c r="Y38" s="23"/>
      <c r="Z38" s="27"/>
      <c r="AA38" s="23"/>
    </row>
    <row r="39" ht="22.5" customHeight="1">
      <c r="A39" s="22">
        <v>38.0</v>
      </c>
      <c r="B39" s="23"/>
      <c r="C39" s="49"/>
      <c r="D39" s="25"/>
      <c r="E39" s="23"/>
      <c r="F39" s="25"/>
      <c r="G39" s="23"/>
      <c r="H39" s="26" t="str">
        <f>IFERROR(__xludf.DUMMYFUNCTION("IFERROR(GOOGLEFINANCE(""NSE:""&amp;B39,""price""),"""")"),"")</f>
        <v/>
      </c>
      <c r="I39" s="22"/>
      <c r="J39" s="23">
        <f t="shared" si="1"/>
        <v>0</v>
      </c>
      <c r="K39" s="23">
        <f t="shared" si="2"/>
        <v>0</v>
      </c>
      <c r="L39" s="23">
        <f t="shared" si="3"/>
        <v>0</v>
      </c>
      <c r="M39" s="27">
        <f t="shared" si="4"/>
        <v>0</v>
      </c>
      <c r="N39" s="23">
        <f>IFERROR(__xludf.DUMMYFUNCTION("IFERROR(IF(G39&gt;0,0,GOOGLEFINANCE(""NSE:""&amp;B39,""change"")),0)"),0.0)</f>
        <v>0</v>
      </c>
      <c r="O39" s="23">
        <f t="shared" si="5"/>
        <v>0</v>
      </c>
      <c r="P39" s="23">
        <f t="shared" si="6"/>
        <v>0</v>
      </c>
      <c r="Q39" s="27">
        <f t="shared" si="7"/>
        <v>0</v>
      </c>
      <c r="R39" s="23"/>
      <c r="S39" s="23"/>
      <c r="T39" s="23"/>
      <c r="U39" s="23"/>
      <c r="V39" s="23"/>
      <c r="W39" s="23"/>
      <c r="X39" s="23"/>
      <c r="Y39" s="23"/>
      <c r="Z39" s="27"/>
      <c r="AA39" s="23"/>
    </row>
    <row r="40" ht="22.5" customHeight="1">
      <c r="A40" s="22">
        <v>39.0</v>
      </c>
      <c r="B40" s="23"/>
      <c r="C40" s="49"/>
      <c r="D40" s="25"/>
      <c r="E40" s="23"/>
      <c r="F40" s="25"/>
      <c r="G40" s="23"/>
      <c r="H40" s="26" t="str">
        <f>IFERROR(__xludf.DUMMYFUNCTION("IFERROR(GOOGLEFINANCE(""NSE:""&amp;B40,""price""),"""")"),"")</f>
        <v/>
      </c>
      <c r="I40" s="22"/>
      <c r="J40" s="23">
        <f t="shared" si="1"/>
        <v>0</v>
      </c>
      <c r="K40" s="23">
        <f t="shared" si="2"/>
        <v>0</v>
      </c>
      <c r="L40" s="23">
        <f t="shared" si="3"/>
        <v>0</v>
      </c>
      <c r="M40" s="27">
        <f t="shared" si="4"/>
        <v>0</v>
      </c>
      <c r="N40" s="23">
        <f>IFERROR(__xludf.DUMMYFUNCTION("IFERROR(IF(G40&gt;0,0,GOOGLEFINANCE(""NSE:""&amp;B40,""change"")),0)"),0.0)</f>
        <v>0</v>
      </c>
      <c r="O40" s="23">
        <f t="shared" si="5"/>
        <v>0</v>
      </c>
      <c r="P40" s="23">
        <f t="shared" si="6"/>
        <v>0</v>
      </c>
      <c r="Q40" s="27">
        <f t="shared" si="7"/>
        <v>0</v>
      </c>
      <c r="R40" s="23"/>
      <c r="S40" s="23"/>
      <c r="T40" s="23"/>
      <c r="U40" s="23"/>
      <c r="V40" s="23"/>
      <c r="W40" s="23"/>
      <c r="X40" s="23"/>
      <c r="Y40" s="23"/>
      <c r="Z40" s="27"/>
      <c r="AA40" s="23"/>
    </row>
    <row r="41" ht="22.5" customHeight="1">
      <c r="A41" s="22">
        <v>40.0</v>
      </c>
      <c r="B41" s="23"/>
      <c r="C41" s="49"/>
      <c r="D41" s="25"/>
      <c r="E41" s="23"/>
      <c r="F41" s="25"/>
      <c r="G41" s="23"/>
      <c r="H41" s="26" t="str">
        <f>IFERROR(__xludf.DUMMYFUNCTION("IFERROR(GOOGLEFINANCE(""NSE:""&amp;B41,""price""),"""")"),"")</f>
        <v/>
      </c>
      <c r="I41" s="22"/>
      <c r="J41" s="23">
        <f t="shared" si="1"/>
        <v>0</v>
      </c>
      <c r="K41" s="23">
        <f t="shared" si="2"/>
        <v>0</v>
      </c>
      <c r="L41" s="23">
        <f t="shared" si="3"/>
        <v>0</v>
      </c>
      <c r="M41" s="27">
        <f t="shared" si="4"/>
        <v>0</v>
      </c>
      <c r="N41" s="23">
        <f>IFERROR(__xludf.DUMMYFUNCTION("IFERROR(IF(G41&gt;0,0,GOOGLEFINANCE(""NSE:""&amp;B41,""change"")),0)"),0.0)</f>
        <v>0</v>
      </c>
      <c r="O41" s="23">
        <f t="shared" si="5"/>
        <v>0</v>
      </c>
      <c r="P41" s="23">
        <f t="shared" si="6"/>
        <v>0</v>
      </c>
      <c r="Q41" s="27">
        <f t="shared" si="7"/>
        <v>0</v>
      </c>
      <c r="R41" s="23"/>
      <c r="S41" s="23"/>
      <c r="T41" s="23"/>
      <c r="U41" s="23"/>
      <c r="V41" s="23"/>
      <c r="W41" s="23"/>
      <c r="X41" s="23"/>
      <c r="Y41" s="23"/>
      <c r="Z41" s="27"/>
      <c r="AA41" s="23"/>
    </row>
    <row r="42" ht="22.5" customHeight="1">
      <c r="A42" s="22">
        <v>41.0</v>
      </c>
      <c r="B42" s="23"/>
      <c r="C42" s="49"/>
      <c r="D42" s="25"/>
      <c r="E42" s="23"/>
      <c r="F42" s="25"/>
      <c r="G42" s="23"/>
      <c r="H42" s="26" t="str">
        <f>IFERROR(__xludf.DUMMYFUNCTION("IFERROR(GOOGLEFINANCE(""NSE:""&amp;B42,""price""),"""")"),"")</f>
        <v/>
      </c>
      <c r="I42" s="22"/>
      <c r="J42" s="23">
        <f t="shared" si="1"/>
        <v>0</v>
      </c>
      <c r="K42" s="23">
        <f t="shared" si="2"/>
        <v>0</v>
      </c>
      <c r="L42" s="23">
        <f t="shared" si="3"/>
        <v>0</v>
      </c>
      <c r="M42" s="27">
        <f t="shared" si="4"/>
        <v>0</v>
      </c>
      <c r="N42" s="23">
        <f>IFERROR(__xludf.DUMMYFUNCTION("IFERROR(IF(G42&gt;0,0,GOOGLEFINANCE(""NSE:""&amp;B42,""change"")),0)"),0.0)</f>
        <v>0</v>
      </c>
      <c r="O42" s="23">
        <f t="shared" si="5"/>
        <v>0</v>
      </c>
      <c r="P42" s="23">
        <f t="shared" si="6"/>
        <v>0</v>
      </c>
      <c r="Q42" s="27">
        <f t="shared" si="7"/>
        <v>0</v>
      </c>
      <c r="R42" s="23"/>
      <c r="S42" s="23"/>
      <c r="T42" s="23"/>
      <c r="U42" s="23"/>
      <c r="V42" s="23"/>
      <c r="W42" s="23"/>
      <c r="X42" s="23"/>
      <c r="Y42" s="23"/>
      <c r="Z42" s="27"/>
      <c r="AA42" s="23"/>
    </row>
    <row r="43" ht="22.5" customHeight="1">
      <c r="A43" s="22">
        <v>42.0</v>
      </c>
      <c r="B43" s="23"/>
      <c r="C43" s="49"/>
      <c r="D43" s="25"/>
      <c r="E43" s="23"/>
      <c r="F43" s="22"/>
      <c r="G43" s="23"/>
      <c r="H43" s="26" t="str">
        <f>IFERROR(__xludf.DUMMYFUNCTION("IFERROR(GOOGLEFINANCE(""NSE:""&amp;B43,""price""),"""")"),"")</f>
        <v/>
      </c>
      <c r="I43" s="22"/>
      <c r="J43" s="23">
        <f t="shared" si="1"/>
        <v>0</v>
      </c>
      <c r="K43" s="23">
        <f t="shared" si="2"/>
        <v>0</v>
      </c>
      <c r="L43" s="23">
        <f t="shared" si="3"/>
        <v>0</v>
      </c>
      <c r="M43" s="27">
        <f t="shared" si="4"/>
        <v>0</v>
      </c>
      <c r="N43" s="23">
        <f>IFERROR(__xludf.DUMMYFUNCTION("IFERROR(IF(G43&gt;0,0,GOOGLEFINANCE(""NSE:""&amp;B43,""change"")),0)"),0.0)</f>
        <v>0</v>
      </c>
      <c r="O43" s="23">
        <f t="shared" si="5"/>
        <v>0</v>
      </c>
      <c r="P43" s="23">
        <f t="shared" si="6"/>
        <v>0</v>
      </c>
      <c r="Q43" s="27">
        <f t="shared" si="7"/>
        <v>0</v>
      </c>
      <c r="R43" s="23"/>
      <c r="S43" s="23"/>
      <c r="T43" s="23"/>
      <c r="U43" s="23"/>
      <c r="V43" s="23"/>
      <c r="W43" s="23"/>
      <c r="X43" s="23"/>
      <c r="Y43" s="23"/>
      <c r="Z43" s="27"/>
      <c r="AA43" s="23"/>
    </row>
    <row r="44" ht="22.5" customHeight="1">
      <c r="A44" s="22">
        <v>43.0</v>
      </c>
      <c r="B44" s="23"/>
      <c r="C44" s="49"/>
      <c r="D44" s="25"/>
      <c r="E44" s="23"/>
      <c r="F44" s="25"/>
      <c r="G44" s="23"/>
      <c r="H44" s="26" t="str">
        <f>IFERROR(__xludf.DUMMYFUNCTION("IFERROR(GOOGLEFINANCE(""NSE:""&amp;B44,""price""),"""")"),"")</f>
        <v/>
      </c>
      <c r="I44" s="22"/>
      <c r="J44" s="23">
        <f t="shared" si="1"/>
        <v>0</v>
      </c>
      <c r="K44" s="23">
        <f t="shared" si="2"/>
        <v>0</v>
      </c>
      <c r="L44" s="23">
        <f t="shared" si="3"/>
        <v>0</v>
      </c>
      <c r="M44" s="27">
        <f t="shared" si="4"/>
        <v>0</v>
      </c>
      <c r="N44" s="23">
        <f>IFERROR(__xludf.DUMMYFUNCTION("IFERROR(IF(G44&gt;0,0,GOOGLEFINANCE(""NSE:""&amp;B44,""change"")),0)"),0.0)</f>
        <v>0</v>
      </c>
      <c r="O44" s="23">
        <f t="shared" si="5"/>
        <v>0</v>
      </c>
      <c r="P44" s="23">
        <f t="shared" si="6"/>
        <v>0</v>
      </c>
      <c r="Q44" s="27">
        <f t="shared" si="7"/>
        <v>0</v>
      </c>
      <c r="R44" s="23"/>
      <c r="S44" s="23"/>
      <c r="T44" s="23"/>
      <c r="U44" s="23"/>
      <c r="V44" s="23"/>
      <c r="W44" s="23"/>
      <c r="X44" s="23"/>
      <c r="Y44" s="23"/>
      <c r="Z44" s="27"/>
      <c r="AA44" s="23"/>
    </row>
    <row r="45" ht="22.5" customHeight="1">
      <c r="A45" s="22">
        <v>44.0</v>
      </c>
      <c r="B45" s="23"/>
      <c r="C45" s="49"/>
      <c r="D45" s="25"/>
      <c r="E45" s="23"/>
      <c r="F45" s="25"/>
      <c r="G45" s="23"/>
      <c r="H45" s="26" t="str">
        <f>IFERROR(__xludf.DUMMYFUNCTION("IFERROR(GOOGLEFINANCE(""NSE:""&amp;B45,""price""),"""")"),"")</f>
        <v/>
      </c>
      <c r="I45" s="22"/>
      <c r="J45" s="23">
        <f t="shared" si="1"/>
        <v>0</v>
      </c>
      <c r="K45" s="23">
        <f t="shared" si="2"/>
        <v>0</v>
      </c>
      <c r="L45" s="23">
        <f t="shared" si="3"/>
        <v>0</v>
      </c>
      <c r="M45" s="27">
        <f t="shared" si="4"/>
        <v>0</v>
      </c>
      <c r="N45" s="23">
        <f>IFERROR(__xludf.DUMMYFUNCTION("IFERROR(IF(G45&gt;0,0,GOOGLEFINANCE(""NSE:""&amp;B45,""change"")),0)"),0.0)</f>
        <v>0</v>
      </c>
      <c r="O45" s="23">
        <f t="shared" si="5"/>
        <v>0</v>
      </c>
      <c r="P45" s="23">
        <f t="shared" si="6"/>
        <v>0</v>
      </c>
      <c r="Q45" s="27">
        <f t="shared" si="7"/>
        <v>0</v>
      </c>
      <c r="R45" s="23"/>
      <c r="S45" s="23"/>
      <c r="T45" s="23"/>
      <c r="U45" s="23"/>
      <c r="V45" s="23"/>
      <c r="W45" s="23"/>
      <c r="X45" s="23"/>
      <c r="Y45" s="23"/>
      <c r="Z45" s="27"/>
      <c r="AA45" s="23"/>
    </row>
    <row r="46" ht="22.5" customHeight="1">
      <c r="A46" s="22">
        <v>45.0</v>
      </c>
      <c r="B46" s="23"/>
      <c r="C46" s="49"/>
      <c r="D46" s="25"/>
      <c r="E46" s="23"/>
      <c r="F46" s="25"/>
      <c r="G46" s="23"/>
      <c r="H46" s="26" t="str">
        <f>IFERROR(__xludf.DUMMYFUNCTION("IFERROR(GOOGLEFINANCE(""NSE:""&amp;B46,""price""),"""")"),"")</f>
        <v/>
      </c>
      <c r="I46" s="22"/>
      <c r="J46" s="23">
        <f t="shared" si="1"/>
        <v>0</v>
      </c>
      <c r="K46" s="23">
        <f t="shared" si="2"/>
        <v>0</v>
      </c>
      <c r="L46" s="23">
        <f t="shared" si="3"/>
        <v>0</v>
      </c>
      <c r="M46" s="27">
        <f t="shared" si="4"/>
        <v>0</v>
      </c>
      <c r="N46" s="23">
        <f>IFERROR(__xludf.DUMMYFUNCTION("IFERROR(IF(G46&gt;0,0,GOOGLEFINANCE(""NSE:""&amp;B46,""change"")),0)"),0.0)</f>
        <v>0</v>
      </c>
      <c r="O46" s="23">
        <f t="shared" si="5"/>
        <v>0</v>
      </c>
      <c r="P46" s="23">
        <f t="shared" si="6"/>
        <v>0</v>
      </c>
      <c r="Q46" s="27">
        <f t="shared" si="7"/>
        <v>0</v>
      </c>
      <c r="R46" s="23"/>
      <c r="S46" s="23"/>
      <c r="T46" s="23"/>
      <c r="U46" s="23"/>
      <c r="V46" s="23"/>
      <c r="W46" s="23"/>
      <c r="X46" s="23"/>
      <c r="Y46" s="23"/>
      <c r="Z46" s="27"/>
      <c r="AA46" s="23"/>
    </row>
    <row r="47" ht="22.5" customHeight="1">
      <c r="A47" s="22">
        <v>46.0</v>
      </c>
      <c r="B47" s="23"/>
      <c r="C47" s="49"/>
      <c r="D47" s="25"/>
      <c r="E47" s="23"/>
      <c r="F47" s="25"/>
      <c r="G47" s="23"/>
      <c r="H47" s="26" t="str">
        <f>IFERROR(__xludf.DUMMYFUNCTION("IFERROR(GOOGLEFINANCE(""NSE:""&amp;B47,""price""),"""")"),"")</f>
        <v/>
      </c>
      <c r="I47" s="22"/>
      <c r="J47" s="23">
        <f t="shared" si="1"/>
        <v>0</v>
      </c>
      <c r="K47" s="23">
        <f t="shared" si="2"/>
        <v>0</v>
      </c>
      <c r="L47" s="23">
        <f t="shared" si="3"/>
        <v>0</v>
      </c>
      <c r="M47" s="27">
        <f t="shared" si="4"/>
        <v>0</v>
      </c>
      <c r="N47" s="23">
        <f>IFERROR(__xludf.DUMMYFUNCTION("IFERROR(IF(G47&gt;0,0,GOOGLEFINANCE(""NSE:""&amp;B47,""change"")),0)"),0.0)</f>
        <v>0</v>
      </c>
      <c r="O47" s="23">
        <f t="shared" si="5"/>
        <v>0</v>
      </c>
      <c r="P47" s="23">
        <f t="shared" si="6"/>
        <v>0</v>
      </c>
      <c r="Q47" s="27">
        <f t="shared" si="7"/>
        <v>0</v>
      </c>
      <c r="R47" s="23"/>
      <c r="S47" s="23"/>
      <c r="T47" s="23"/>
      <c r="U47" s="23"/>
      <c r="V47" s="23"/>
      <c r="W47" s="23"/>
      <c r="X47" s="23"/>
      <c r="Y47" s="23"/>
      <c r="Z47" s="27"/>
      <c r="AA47" s="23"/>
    </row>
    <row r="48" ht="22.5" customHeight="1">
      <c r="A48" s="22">
        <v>47.0</v>
      </c>
      <c r="B48" s="23"/>
      <c r="C48" s="49"/>
      <c r="D48" s="25"/>
      <c r="E48" s="23"/>
      <c r="F48" s="25"/>
      <c r="G48" s="23"/>
      <c r="H48" s="26" t="str">
        <f>IFERROR(__xludf.DUMMYFUNCTION("IFERROR(GOOGLEFINANCE(""NSE:""&amp;B48,""price""),"""")"),"")</f>
        <v/>
      </c>
      <c r="I48" s="22"/>
      <c r="J48" s="23">
        <f t="shared" si="1"/>
        <v>0</v>
      </c>
      <c r="K48" s="23">
        <f t="shared" si="2"/>
        <v>0</v>
      </c>
      <c r="L48" s="23">
        <f t="shared" si="3"/>
        <v>0</v>
      </c>
      <c r="M48" s="27">
        <f t="shared" si="4"/>
        <v>0</v>
      </c>
      <c r="N48" s="23">
        <f>IFERROR(__xludf.DUMMYFUNCTION("IFERROR(IF(G48&gt;0,0,GOOGLEFINANCE(""NSE:""&amp;B48,""change"")),0)"),0.0)</f>
        <v>0</v>
      </c>
      <c r="O48" s="23">
        <f t="shared" si="5"/>
        <v>0</v>
      </c>
      <c r="P48" s="23">
        <f t="shared" si="6"/>
        <v>0</v>
      </c>
      <c r="Q48" s="27">
        <f t="shared" si="7"/>
        <v>0</v>
      </c>
      <c r="R48" s="23"/>
      <c r="S48" s="23"/>
      <c r="T48" s="23"/>
      <c r="U48" s="23"/>
      <c r="V48" s="23"/>
      <c r="W48" s="23"/>
      <c r="X48" s="23"/>
      <c r="Y48" s="23"/>
      <c r="Z48" s="27"/>
      <c r="AA48" s="23"/>
    </row>
    <row r="49" ht="22.5" customHeight="1">
      <c r="A49" s="22">
        <v>48.0</v>
      </c>
      <c r="B49" s="23"/>
      <c r="C49" s="49"/>
      <c r="D49" s="25"/>
      <c r="E49" s="23"/>
      <c r="F49" s="25"/>
      <c r="G49" s="23"/>
      <c r="H49" s="26" t="str">
        <f>IFERROR(__xludf.DUMMYFUNCTION("IFERROR(GOOGLEFINANCE(""NSE:""&amp;B49,""price""),"""")"),"")</f>
        <v/>
      </c>
      <c r="I49" s="22"/>
      <c r="J49" s="23">
        <f t="shared" si="1"/>
        <v>0</v>
      </c>
      <c r="K49" s="23">
        <f t="shared" si="2"/>
        <v>0</v>
      </c>
      <c r="L49" s="23">
        <f t="shared" si="3"/>
        <v>0</v>
      </c>
      <c r="M49" s="27">
        <f t="shared" si="4"/>
        <v>0</v>
      </c>
      <c r="N49" s="23">
        <f>IFERROR(__xludf.DUMMYFUNCTION("IFERROR(IF(G49&gt;0,0,GOOGLEFINANCE(""NSE:""&amp;B49,""change"")),0)"),0.0)</f>
        <v>0</v>
      </c>
      <c r="O49" s="23">
        <f t="shared" si="5"/>
        <v>0</v>
      </c>
      <c r="P49" s="23">
        <f t="shared" si="6"/>
        <v>0</v>
      </c>
      <c r="Q49" s="27">
        <f t="shared" si="7"/>
        <v>0</v>
      </c>
      <c r="R49" s="23"/>
      <c r="S49" s="23"/>
      <c r="T49" s="23"/>
      <c r="U49" s="23"/>
      <c r="V49" s="23"/>
      <c r="W49" s="23"/>
      <c r="X49" s="23"/>
      <c r="Y49" s="23"/>
      <c r="Z49" s="27"/>
      <c r="AA49" s="23"/>
    </row>
    <row r="50" ht="22.5" customHeight="1">
      <c r="A50" s="22">
        <v>49.0</v>
      </c>
      <c r="B50" s="23"/>
      <c r="C50" s="49"/>
      <c r="D50" s="25"/>
      <c r="E50" s="23"/>
      <c r="F50" s="22"/>
      <c r="G50" s="23"/>
      <c r="H50" s="26" t="str">
        <f>IFERROR(__xludf.DUMMYFUNCTION("IFERROR(GOOGLEFINANCE(""NSE:""&amp;B50,""price""),"""")"),"")</f>
        <v/>
      </c>
      <c r="I50" s="22"/>
      <c r="J50" s="23">
        <f t="shared" si="1"/>
        <v>0</v>
      </c>
      <c r="K50" s="23">
        <f t="shared" si="2"/>
        <v>0</v>
      </c>
      <c r="L50" s="23">
        <f t="shared" si="3"/>
        <v>0</v>
      </c>
      <c r="M50" s="27">
        <f t="shared" si="4"/>
        <v>0</v>
      </c>
      <c r="N50" s="23">
        <f>IFERROR(__xludf.DUMMYFUNCTION("IFERROR(IF(G50&gt;0,0,GOOGLEFINANCE(""NSE:""&amp;B50,""change"")),0)"),0.0)</f>
        <v>0</v>
      </c>
      <c r="O50" s="23">
        <f t="shared" si="5"/>
        <v>0</v>
      </c>
      <c r="P50" s="23">
        <f t="shared" si="6"/>
        <v>0</v>
      </c>
      <c r="Q50" s="27">
        <f t="shared" si="7"/>
        <v>0</v>
      </c>
      <c r="R50" s="23"/>
      <c r="S50" s="23"/>
      <c r="T50" s="23"/>
      <c r="U50" s="23"/>
      <c r="V50" s="23"/>
      <c r="W50" s="23"/>
      <c r="X50" s="23"/>
      <c r="Y50" s="23"/>
      <c r="Z50" s="27"/>
      <c r="AA50" s="23"/>
    </row>
    <row r="51" ht="22.5" customHeight="1">
      <c r="A51" s="22">
        <v>50.0</v>
      </c>
      <c r="B51" s="50"/>
      <c r="C51" s="51"/>
      <c r="D51" s="52"/>
      <c r="E51" s="50"/>
      <c r="F51" s="52"/>
      <c r="G51" s="50"/>
      <c r="H51" s="26" t="str">
        <f>IFERROR(__xludf.DUMMYFUNCTION("IFERROR(GOOGLEFINANCE(""NSE:""&amp;B51,""price""),"""")"),"")</f>
        <v/>
      </c>
      <c r="I51" s="22"/>
      <c r="J51" s="23">
        <f t="shared" si="1"/>
        <v>0</v>
      </c>
      <c r="K51" s="23">
        <f t="shared" si="2"/>
        <v>0</v>
      </c>
      <c r="L51" s="23">
        <f t="shared" si="3"/>
        <v>0</v>
      </c>
      <c r="M51" s="27">
        <f t="shared" si="4"/>
        <v>0</v>
      </c>
      <c r="N51" s="23">
        <f>IFERROR(__xludf.DUMMYFUNCTION("IFERROR(IF(G51&gt;0,0,GOOGLEFINANCE(""NSE:""&amp;B51,""change"")),0)"),0.0)</f>
        <v>0</v>
      </c>
      <c r="O51" s="23">
        <f t="shared" si="5"/>
        <v>0</v>
      </c>
      <c r="P51" s="23">
        <f t="shared" si="6"/>
        <v>0</v>
      </c>
      <c r="Q51" s="27">
        <f t="shared" si="7"/>
        <v>0</v>
      </c>
      <c r="R51" s="23"/>
      <c r="S51" s="23"/>
      <c r="T51" s="23"/>
      <c r="U51" s="23"/>
      <c r="V51" s="23"/>
      <c r="W51" s="23"/>
      <c r="X51" s="23"/>
      <c r="Y51" s="23"/>
      <c r="Z51" s="27"/>
      <c r="AA51" s="23"/>
    </row>
    <row r="52" ht="22.5" customHeight="1">
      <c r="A52" s="22">
        <v>51.0</v>
      </c>
      <c r="B52" s="23"/>
      <c r="C52" s="49"/>
      <c r="D52" s="25"/>
      <c r="E52" s="23"/>
      <c r="F52" s="25"/>
      <c r="G52" s="23"/>
      <c r="H52" s="26" t="str">
        <f>IFERROR(__xludf.DUMMYFUNCTION("IFERROR(GOOGLEFINANCE(""NSE:""&amp;B52,""price""),"""")"),"")</f>
        <v/>
      </c>
      <c r="I52" s="22"/>
      <c r="J52" s="23">
        <f t="shared" si="1"/>
        <v>0</v>
      </c>
      <c r="K52" s="23">
        <f t="shared" si="2"/>
        <v>0</v>
      </c>
      <c r="L52" s="23">
        <f t="shared" si="3"/>
        <v>0</v>
      </c>
      <c r="M52" s="27">
        <f t="shared" si="4"/>
        <v>0</v>
      </c>
      <c r="N52" s="23">
        <f>IFERROR(__xludf.DUMMYFUNCTION("IFERROR(IF(G52&gt;0,0,GOOGLEFINANCE(""NSE:""&amp;B52,""change"")),0)"),0.0)</f>
        <v>0</v>
      </c>
      <c r="O52" s="23">
        <f t="shared" si="5"/>
        <v>0</v>
      </c>
      <c r="P52" s="23">
        <f t="shared" si="6"/>
        <v>0</v>
      </c>
      <c r="Q52" s="27">
        <f t="shared" si="7"/>
        <v>0</v>
      </c>
      <c r="R52" s="23"/>
      <c r="S52" s="23"/>
      <c r="T52" s="23"/>
      <c r="U52" s="23"/>
      <c r="V52" s="23"/>
      <c r="W52" s="23"/>
      <c r="X52" s="23"/>
      <c r="Y52" s="23"/>
      <c r="Z52" s="27"/>
      <c r="AA52" s="23"/>
    </row>
    <row r="53" ht="22.5" customHeight="1">
      <c r="A53" s="22">
        <v>52.0</v>
      </c>
      <c r="B53" s="50"/>
      <c r="C53" s="51"/>
      <c r="D53" s="52"/>
      <c r="E53" s="50"/>
      <c r="F53" s="52"/>
      <c r="G53" s="50"/>
      <c r="H53" s="26" t="str">
        <f>IFERROR(__xludf.DUMMYFUNCTION("IFERROR(GOOGLEFINANCE(""NSE:""&amp;B53,""price""),"""")"),"")</f>
        <v/>
      </c>
      <c r="I53" s="22"/>
      <c r="J53" s="23">
        <f t="shared" si="1"/>
        <v>0</v>
      </c>
      <c r="K53" s="23">
        <f t="shared" si="2"/>
        <v>0</v>
      </c>
      <c r="L53" s="23">
        <f t="shared" si="3"/>
        <v>0</v>
      </c>
      <c r="M53" s="27">
        <f t="shared" si="4"/>
        <v>0</v>
      </c>
      <c r="N53" s="23">
        <f>IFERROR(__xludf.DUMMYFUNCTION("IFERROR(IF(G53&gt;0,0,GOOGLEFINANCE(""NSE:""&amp;B53,""change"")),0)"),0.0)</f>
        <v>0</v>
      </c>
      <c r="O53" s="23">
        <f t="shared" si="5"/>
        <v>0</v>
      </c>
      <c r="P53" s="23">
        <f t="shared" si="6"/>
        <v>0</v>
      </c>
      <c r="Q53" s="27">
        <f t="shared" si="7"/>
        <v>0</v>
      </c>
      <c r="R53" s="50"/>
      <c r="S53" s="50"/>
      <c r="T53" s="50"/>
      <c r="U53" s="50"/>
      <c r="V53" s="50"/>
      <c r="W53" s="50"/>
      <c r="X53" s="50"/>
      <c r="Y53" s="50"/>
      <c r="Z53" s="53"/>
      <c r="AA53" s="50"/>
    </row>
  </sheetData>
  <conditionalFormatting sqref="L2:Q53 Y2:Z53 AM3:AO23 AE4:AE6 AE8:AE17 AF12">
    <cfRule type="cellIs" dxfId="0" priority="1" operator="lessThan">
      <formula>0</formula>
    </cfRule>
  </conditionalFormatting>
  <conditionalFormatting sqref="L2:Q53 Y2:Z53 AM3:AO23 AE4:AE6 AE8:AE17 AF12">
    <cfRule type="cellIs" dxfId="1" priority="2" operator="greaterThan">
      <formula>0</formula>
    </cfRule>
  </conditionalFormatting>
  <dataValidations>
    <dataValidation type="list" allowBlank="1" sqref="C2:C53">
      <formula1>"DHAN,RAM,KAMAL,ESPRESSO,FYERS,Paytm,ANGELONE"</formula1>
    </dataValidation>
    <dataValidation type="custom" allowBlank="1" showDropDown="1" sqref="D2:D53">
      <formula1>OR(NOT(ISERROR(DATEVALUE(D2))), AND(ISNUMBER(D2), LEFT(CELL("format", D2))="D"))</formula1>
    </dataValidation>
    <dataValidation type="custom" allowBlank="1" showDropDown="1" sqref="E2:E53 G2:H53 J2:Q53">
      <formula1>AND(ISNUMBER(E2),(NOT(OR(NOT(ISERROR(DATEVALUE(E2))), AND(ISNUMBER(E2), LEFT(CELL("format", E2))="D")))))</formula1>
    </dataValidation>
  </dataValidations>
  <drawing r:id="rId4"/>
  <tableParts count="1"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3" max="3" width="9.5"/>
    <col customWidth="1" min="4" max="4" width="10.88"/>
    <col customWidth="1" min="5" max="5" width="8.38"/>
    <col customWidth="1" min="6" max="6" width="10.5"/>
    <col customWidth="1" min="7" max="8" width="8.38"/>
    <col customWidth="1" min="9" max="9" width="4.38"/>
    <col customWidth="1" min="10" max="11" width="10.25"/>
    <col customWidth="1" min="12" max="12" width="11.88"/>
    <col customWidth="1" min="13" max="13" width="9.13"/>
    <col customWidth="1" min="17" max="17" width="7.13"/>
    <col customWidth="1" hidden="1" min="18" max="18" width="7.0"/>
    <col customWidth="1" hidden="1" min="19" max="19" width="9.75"/>
    <col customWidth="1" hidden="1" min="20" max="20" width="5.13"/>
    <col customWidth="1" hidden="1" min="21" max="21" width="11.25"/>
    <col customWidth="1" hidden="1" min="22" max="22" width="8.0"/>
    <col customWidth="1" hidden="1" min="23" max="23" width="10.13"/>
    <col customWidth="1" hidden="1" min="24" max="24" width="11.25"/>
    <col customWidth="1" hidden="1" min="25" max="25" width="9.38"/>
    <col customWidth="1" hidden="1" min="26" max="26" width="8.5"/>
    <col hidden="1" min="27" max="27" width="12.63"/>
    <col customWidth="1" min="28" max="28" width="7.13"/>
    <col customWidth="1" min="29" max="30" width="17.88"/>
  </cols>
  <sheetData>
    <row r="1">
      <c r="A1" s="94" t="s">
        <v>241</v>
      </c>
      <c r="B1" s="94" t="s">
        <v>4</v>
      </c>
      <c r="C1" s="94" t="s">
        <v>73</v>
      </c>
      <c r="D1" s="94" t="s">
        <v>74</v>
      </c>
      <c r="E1" s="94" t="s">
        <v>75</v>
      </c>
      <c r="F1" s="94" t="s">
        <v>76</v>
      </c>
      <c r="G1" s="94" t="s">
        <v>77</v>
      </c>
      <c r="H1" s="94" t="s">
        <v>78</v>
      </c>
      <c r="I1" s="94" t="s">
        <v>79</v>
      </c>
      <c r="J1" s="94" t="s">
        <v>80</v>
      </c>
      <c r="K1" s="94" t="s">
        <v>81</v>
      </c>
      <c r="L1" s="94" t="s">
        <v>6</v>
      </c>
      <c r="M1" s="94" t="s">
        <v>82</v>
      </c>
      <c r="N1" s="94" t="s">
        <v>84</v>
      </c>
      <c r="O1" s="94" t="s">
        <v>84</v>
      </c>
      <c r="P1" s="94" t="s">
        <v>5</v>
      </c>
      <c r="Q1" s="94" t="s">
        <v>85</v>
      </c>
      <c r="R1" s="94" t="s">
        <v>86</v>
      </c>
      <c r="S1" s="94" t="s">
        <v>87</v>
      </c>
      <c r="T1" s="94" t="s">
        <v>88</v>
      </c>
      <c r="U1" s="94" t="s">
        <v>89</v>
      </c>
      <c r="V1" s="94" t="s">
        <v>90</v>
      </c>
      <c r="W1" s="94" t="s">
        <v>91</v>
      </c>
      <c r="X1" s="94" t="s">
        <v>92</v>
      </c>
      <c r="Y1" s="94" t="s">
        <v>93</v>
      </c>
      <c r="Z1" s="94" t="s">
        <v>94</v>
      </c>
      <c r="AA1" s="95" t="s">
        <v>95</v>
      </c>
      <c r="AB1" s="96" t="s">
        <v>96</v>
      </c>
      <c r="AC1" s="20"/>
      <c r="AD1" s="21"/>
    </row>
    <row r="2">
      <c r="A2" s="97">
        <v>1.0</v>
      </c>
      <c r="B2" s="11" t="s">
        <v>39</v>
      </c>
      <c r="C2" s="98" t="s">
        <v>136</v>
      </c>
      <c r="D2" s="99">
        <v>44944.0</v>
      </c>
      <c r="E2" s="11">
        <v>2485.35</v>
      </c>
      <c r="F2" s="99"/>
      <c r="G2" s="11">
        <v>0.0</v>
      </c>
      <c r="H2" s="10">
        <f>IFERROR(__xludf.DUMMYFUNCTION("GOOGLEFINANCE(""NSE:""&amp;B2,""price"")"),1569.0)</f>
        <v>1569</v>
      </c>
      <c r="I2" s="97">
        <v>5.0</v>
      </c>
      <c r="J2" s="11">
        <f t="shared" ref="J2:J28" si="1">E2*I2</f>
        <v>12426.75</v>
      </c>
      <c r="K2" s="11">
        <f t="shared" ref="K2:K28" si="2">IF(G2&gt;0,(E2+G2)*I2,E2*I2)</f>
        <v>12426.75</v>
      </c>
      <c r="L2" s="11">
        <f t="shared" ref="L2:L28" si="3">IF(G2&gt;0,0,(H2-E2)*I2)</f>
        <v>-4581.75</v>
      </c>
      <c r="M2" s="100">
        <f t="shared" ref="M2:M28" si="4">IF(G2&gt;0,0,(H2-E2)/E2)</f>
        <v>-0.3687005854</v>
      </c>
      <c r="N2" s="11">
        <f>IFERROR(__xludf.DUMMYFUNCTION("IF(G2&gt;0,0,GOOGLEFINANCE(""NSE:""&amp;B2,""change""))"),-6.4)</f>
        <v>-6.4</v>
      </c>
      <c r="O2" s="11">
        <f t="shared" ref="O2:O28" si="5">I2*N2</f>
        <v>-32</v>
      </c>
      <c r="P2" s="11">
        <f t="shared" ref="P2:P28" si="6">IF(G2=0,0,(G2-E2)*I2)</f>
        <v>0</v>
      </c>
      <c r="Q2" s="100">
        <f t="shared" ref="Q2:Q28" si="7">IF(G2&gt;0,(G2-E2)/E2,0)</f>
        <v>0</v>
      </c>
      <c r="R2" s="11">
        <f t="shared" ref="R2:R6" si="8">0.001*K2</f>
        <v>12.42675</v>
      </c>
      <c r="S2" s="11">
        <f t="shared" ref="S2:S6" si="9">0.0000325*K2</f>
        <v>0.403869375</v>
      </c>
      <c r="T2" s="11">
        <f t="shared" ref="T2:T9" si="10">0.18*S2</f>
        <v>0.0726964875</v>
      </c>
      <c r="U2" s="101">
        <f t="shared" ref="U2:U6" si="11">0.0000005*K2</f>
        <v>0.006213375</v>
      </c>
      <c r="V2" s="11">
        <f t="shared" ref="V2:V9" si="12">R2+S2+T2+U2</f>
        <v>12.90952924</v>
      </c>
      <c r="W2" s="11">
        <f t="shared" ref="W2:W6" si="13">IF(G2&gt;0,15.34,0)</f>
        <v>0</v>
      </c>
      <c r="X2" s="11">
        <f t="shared" ref="X2:X9" si="14">V2+W2</f>
        <v>12.90952924</v>
      </c>
      <c r="Y2" s="11">
        <f t="shared" ref="Y2:Y6" si="15">IF(G2&gt;0,P2-X2,0)</f>
        <v>0</v>
      </c>
      <c r="Z2" s="100">
        <f t="shared" ref="Z2:Z6" si="16">Y2/J2</f>
        <v>0</v>
      </c>
      <c r="AA2" s="102">
        <f>sum($AE$2,Y2)</f>
        <v>37000</v>
      </c>
      <c r="AB2" s="31"/>
      <c r="AC2" s="31"/>
      <c r="AD2" s="32" t="s">
        <v>98</v>
      </c>
      <c r="AE2" s="9">
        <v>37000.0</v>
      </c>
    </row>
    <row r="3">
      <c r="A3" s="97">
        <v>2.0</v>
      </c>
      <c r="B3" s="11" t="s">
        <v>138</v>
      </c>
      <c r="C3" s="98" t="s">
        <v>136</v>
      </c>
      <c r="D3" s="99">
        <v>44944.0</v>
      </c>
      <c r="E3" s="11">
        <v>1685.0</v>
      </c>
      <c r="F3" s="99">
        <v>45183.0</v>
      </c>
      <c r="G3" s="11">
        <v>1923.7</v>
      </c>
      <c r="H3" s="10">
        <f>IFERROR(__xludf.DUMMYFUNCTION("GOOGLEFINANCE(""NSE:""&amp;B3,""price"")"),2823.1)</f>
        <v>2823.1</v>
      </c>
      <c r="I3" s="97">
        <v>10.0</v>
      </c>
      <c r="J3" s="11">
        <f t="shared" si="1"/>
        <v>16850</v>
      </c>
      <c r="K3" s="11">
        <f t="shared" si="2"/>
        <v>36087</v>
      </c>
      <c r="L3" s="11">
        <f t="shared" si="3"/>
        <v>0</v>
      </c>
      <c r="M3" s="100">
        <f t="shared" si="4"/>
        <v>0</v>
      </c>
      <c r="N3" s="11">
        <f>IFERROR(__xludf.DUMMYFUNCTION("IF(G3&gt;0,0,GOOGLEFINANCE(""NSE:""&amp;B3,""change""))"),0.0)</f>
        <v>0</v>
      </c>
      <c r="O3" s="11">
        <f t="shared" si="5"/>
        <v>0</v>
      </c>
      <c r="P3" s="11">
        <f t="shared" si="6"/>
        <v>2387</v>
      </c>
      <c r="Q3" s="100">
        <f t="shared" si="7"/>
        <v>0.1416617211</v>
      </c>
      <c r="R3" s="11">
        <f t="shared" si="8"/>
        <v>36.087</v>
      </c>
      <c r="S3" s="11">
        <f t="shared" si="9"/>
        <v>1.1728275</v>
      </c>
      <c r="T3" s="11">
        <f t="shared" si="10"/>
        <v>0.21110895</v>
      </c>
      <c r="U3" s="11">
        <f t="shared" si="11"/>
        <v>0.0180435</v>
      </c>
      <c r="V3" s="11">
        <f t="shared" si="12"/>
        <v>37.48897995</v>
      </c>
      <c r="W3" s="11">
        <f t="shared" si="13"/>
        <v>15.34</v>
      </c>
      <c r="X3" s="11">
        <f t="shared" si="14"/>
        <v>52.82897995</v>
      </c>
      <c r="Y3" s="11">
        <f t="shared" si="15"/>
        <v>2334.17102</v>
      </c>
      <c r="Z3" s="100">
        <f t="shared" si="16"/>
        <v>0.13852647</v>
      </c>
      <c r="AA3" s="102">
        <f t="shared" ref="AA3:AA9" si="17">sum(AA2,Y3)</f>
        <v>39334.17102</v>
      </c>
      <c r="AB3" s="31"/>
      <c r="AC3" s="31"/>
      <c r="AD3" s="32" t="s">
        <v>99</v>
      </c>
      <c r="AE3" s="33">
        <f>AE2+P54</f>
        <v>45782.02</v>
      </c>
    </row>
    <row r="4">
      <c r="A4" s="97">
        <v>3.0</v>
      </c>
      <c r="B4" s="11" t="s">
        <v>39</v>
      </c>
      <c r="C4" s="98" t="s">
        <v>136</v>
      </c>
      <c r="D4" s="99">
        <v>44956.0</v>
      </c>
      <c r="E4" s="11">
        <v>2334.75</v>
      </c>
      <c r="F4" s="99"/>
      <c r="G4" s="11">
        <v>0.0</v>
      </c>
      <c r="H4" s="10">
        <f>IFERROR(__xludf.DUMMYFUNCTION("GOOGLEFINANCE(""NSE:""&amp;B4,""price"")"),1569.0)</f>
        <v>1569</v>
      </c>
      <c r="I4" s="97">
        <v>2.0</v>
      </c>
      <c r="J4" s="11">
        <f t="shared" si="1"/>
        <v>4669.5</v>
      </c>
      <c r="K4" s="11">
        <f t="shared" si="2"/>
        <v>4669.5</v>
      </c>
      <c r="L4" s="11">
        <f t="shared" si="3"/>
        <v>-1531.5</v>
      </c>
      <c r="M4" s="100">
        <f t="shared" si="4"/>
        <v>-0.3279794411</v>
      </c>
      <c r="N4" s="11">
        <f>IFERROR(__xludf.DUMMYFUNCTION("IF(G4&gt;0,0,GOOGLEFINANCE(""NSE:""&amp;B4,""change""))"),-6.4)</f>
        <v>-6.4</v>
      </c>
      <c r="O4" s="11">
        <f t="shared" si="5"/>
        <v>-12.8</v>
      </c>
      <c r="P4" s="11">
        <f t="shared" si="6"/>
        <v>0</v>
      </c>
      <c r="Q4" s="100">
        <f t="shared" si="7"/>
        <v>0</v>
      </c>
      <c r="R4" s="11">
        <f t="shared" si="8"/>
        <v>4.6695</v>
      </c>
      <c r="S4" s="11">
        <f t="shared" si="9"/>
        <v>0.15175875</v>
      </c>
      <c r="T4" s="11">
        <f t="shared" si="10"/>
        <v>0.027316575</v>
      </c>
      <c r="U4" s="11">
        <f t="shared" si="11"/>
        <v>0.00233475</v>
      </c>
      <c r="V4" s="11">
        <f t="shared" si="12"/>
        <v>4.850910075</v>
      </c>
      <c r="W4" s="11">
        <f t="shared" si="13"/>
        <v>0</v>
      </c>
      <c r="X4" s="11">
        <f t="shared" si="14"/>
        <v>4.850910075</v>
      </c>
      <c r="Y4" s="11">
        <f t="shared" si="15"/>
        <v>0</v>
      </c>
      <c r="Z4" s="100">
        <f t="shared" si="16"/>
        <v>0</v>
      </c>
      <c r="AA4" s="102">
        <f t="shared" si="17"/>
        <v>39334.17102</v>
      </c>
      <c r="AB4" s="31"/>
      <c r="AC4" s="31"/>
      <c r="AD4" s="32" t="s">
        <v>100</v>
      </c>
      <c r="AE4" s="9">
        <f>AE3-AE2</f>
        <v>8782.02</v>
      </c>
    </row>
    <row r="5">
      <c r="A5" s="97">
        <v>4.0</v>
      </c>
      <c r="B5" s="103" t="s">
        <v>243</v>
      </c>
      <c r="C5" s="98" t="s">
        <v>136</v>
      </c>
      <c r="D5" s="99">
        <v>44958.0</v>
      </c>
      <c r="E5" s="11">
        <v>638.25</v>
      </c>
      <c r="F5" s="99">
        <v>45152.0</v>
      </c>
      <c r="G5" s="11">
        <v>647.7</v>
      </c>
      <c r="H5" s="10">
        <f>IFERROR(__xludf.DUMMYFUNCTION("GOOGLEFINANCE(""NSE:""&amp;B5,""price"")"),512.3)</f>
        <v>512.3</v>
      </c>
      <c r="I5" s="97">
        <v>4.0</v>
      </c>
      <c r="J5" s="11">
        <f t="shared" si="1"/>
        <v>2553</v>
      </c>
      <c r="K5" s="11">
        <f t="shared" si="2"/>
        <v>5143.8</v>
      </c>
      <c r="L5" s="11">
        <f t="shared" si="3"/>
        <v>0</v>
      </c>
      <c r="M5" s="100">
        <f t="shared" si="4"/>
        <v>0</v>
      </c>
      <c r="N5" s="11">
        <f>IFERROR(__xludf.DUMMYFUNCTION("IF(G5&gt;0,0,GOOGLEFINANCE(""NSE:""&amp;B5,""change""))"),0.0)</f>
        <v>0</v>
      </c>
      <c r="O5" s="11">
        <f t="shared" si="5"/>
        <v>0</v>
      </c>
      <c r="P5" s="11">
        <f t="shared" si="6"/>
        <v>37.8</v>
      </c>
      <c r="Q5" s="100">
        <f t="shared" si="7"/>
        <v>0.01480611046</v>
      </c>
      <c r="R5" s="11">
        <f t="shared" si="8"/>
        <v>5.1438</v>
      </c>
      <c r="S5" s="11">
        <f t="shared" si="9"/>
        <v>0.1671735</v>
      </c>
      <c r="T5" s="11">
        <f t="shared" si="10"/>
        <v>0.03009123</v>
      </c>
      <c r="U5" s="11">
        <f t="shared" si="11"/>
        <v>0.0025719</v>
      </c>
      <c r="V5" s="11">
        <f t="shared" si="12"/>
        <v>5.34363663</v>
      </c>
      <c r="W5" s="11">
        <f t="shared" si="13"/>
        <v>15.34</v>
      </c>
      <c r="X5" s="11">
        <f t="shared" si="14"/>
        <v>20.68363663</v>
      </c>
      <c r="Y5" s="11">
        <f t="shared" si="15"/>
        <v>17.11636337</v>
      </c>
      <c r="Z5" s="100">
        <f t="shared" si="16"/>
        <v>0.006704411817</v>
      </c>
      <c r="AA5" s="102">
        <f t="shared" si="17"/>
        <v>39351.28738</v>
      </c>
      <c r="AB5" s="31"/>
      <c r="AC5" s="31"/>
      <c r="AD5" s="32" t="s">
        <v>103</v>
      </c>
      <c r="AE5" s="37">
        <f>AE4/AE2</f>
        <v>0.2373518919</v>
      </c>
    </row>
    <row r="6">
      <c r="A6" s="97">
        <v>5.0</v>
      </c>
      <c r="B6" s="103" t="s">
        <v>22</v>
      </c>
      <c r="C6" s="98" t="s">
        <v>136</v>
      </c>
      <c r="D6" s="99">
        <v>44960.0</v>
      </c>
      <c r="E6" s="11">
        <v>327.72</v>
      </c>
      <c r="F6" s="99"/>
      <c r="G6" s="11">
        <v>0.0</v>
      </c>
      <c r="H6" s="10">
        <f>IFERROR(__xludf.DUMMYFUNCTION("GOOGLEFINANCE(""NSE:""&amp;B6,""price"")"),369.7)</f>
        <v>369.7</v>
      </c>
      <c r="I6" s="97">
        <v>10.0</v>
      </c>
      <c r="J6" s="11">
        <f t="shared" si="1"/>
        <v>3277.2</v>
      </c>
      <c r="K6" s="11">
        <f t="shared" si="2"/>
        <v>3277.2</v>
      </c>
      <c r="L6" s="11">
        <f t="shared" si="3"/>
        <v>419.8</v>
      </c>
      <c r="M6" s="100">
        <f t="shared" si="4"/>
        <v>0.1280971561</v>
      </c>
      <c r="N6" s="11">
        <f>IFERROR(__xludf.DUMMYFUNCTION("IF(G6&gt;0,0,GOOGLEFINANCE(""NSE:""&amp;B6,""change""))"),-0.2)</f>
        <v>-0.2</v>
      </c>
      <c r="O6" s="11">
        <f t="shared" si="5"/>
        <v>-2</v>
      </c>
      <c r="P6" s="11">
        <f t="shared" si="6"/>
        <v>0</v>
      </c>
      <c r="Q6" s="100">
        <f t="shared" si="7"/>
        <v>0</v>
      </c>
      <c r="R6" s="11">
        <f t="shared" si="8"/>
        <v>3.2772</v>
      </c>
      <c r="S6" s="11">
        <f t="shared" si="9"/>
        <v>0.106509</v>
      </c>
      <c r="T6" s="11">
        <f t="shared" si="10"/>
        <v>0.01917162</v>
      </c>
      <c r="U6" s="11">
        <f t="shared" si="11"/>
        <v>0.0016386</v>
      </c>
      <c r="V6" s="11">
        <f t="shared" si="12"/>
        <v>3.40451922</v>
      </c>
      <c r="W6" s="11">
        <f t="shared" si="13"/>
        <v>0</v>
      </c>
      <c r="X6" s="11">
        <f t="shared" si="14"/>
        <v>3.40451922</v>
      </c>
      <c r="Y6" s="11">
        <f t="shared" si="15"/>
        <v>0</v>
      </c>
      <c r="Z6" s="100">
        <f t="shared" si="16"/>
        <v>0</v>
      </c>
      <c r="AA6" s="102">
        <f t="shared" si="17"/>
        <v>39351.28738</v>
      </c>
      <c r="AB6" s="31"/>
      <c r="AC6" s="31"/>
      <c r="AD6" s="31"/>
      <c r="AE6" s="39"/>
    </row>
    <row r="7">
      <c r="A7" s="97">
        <v>6.0</v>
      </c>
      <c r="B7" s="11" t="s">
        <v>21</v>
      </c>
      <c r="C7" s="97" t="s">
        <v>97</v>
      </c>
      <c r="D7" s="99">
        <v>45040.0</v>
      </c>
      <c r="E7" s="11">
        <v>878.5</v>
      </c>
      <c r="F7" s="99">
        <v>45044.0</v>
      </c>
      <c r="G7" s="11">
        <v>855.55</v>
      </c>
      <c r="H7" s="10">
        <f>IFERROR(__xludf.DUMMYFUNCTION("GOOGLEFINANCE(""NSE:""&amp;B7,""price"")"),1224.5)</f>
        <v>1224.5</v>
      </c>
      <c r="I7" s="97">
        <v>5.0</v>
      </c>
      <c r="J7" s="11">
        <f t="shared" si="1"/>
        <v>4392.5</v>
      </c>
      <c r="K7" s="11">
        <f t="shared" si="2"/>
        <v>8670.25</v>
      </c>
      <c r="L7" s="11">
        <f t="shared" si="3"/>
        <v>0</v>
      </c>
      <c r="M7" s="100">
        <f t="shared" si="4"/>
        <v>0</v>
      </c>
      <c r="N7" s="11">
        <f>IFERROR(__xludf.DUMMYFUNCTION("IF(G7&gt;0,0,GOOGLEFINANCE(""NSE:""&amp;B7,""change""))"),0.0)</f>
        <v>0</v>
      </c>
      <c r="O7" s="11">
        <f t="shared" si="5"/>
        <v>0</v>
      </c>
      <c r="P7" s="11">
        <f t="shared" si="6"/>
        <v>-114.75</v>
      </c>
      <c r="Q7" s="100">
        <f t="shared" si="7"/>
        <v>-0.02612407513</v>
      </c>
      <c r="R7" s="11" t="str">
        <f t="shared" ref="R7:R9" si="18">0.001*#REF!</f>
        <v>#REF!</v>
      </c>
      <c r="S7" s="11" t="str">
        <f t="shared" ref="S7:S9" si="19">0.0000325*#REF!</f>
        <v>#REF!</v>
      </c>
      <c r="T7" s="11" t="str">
        <f t="shared" si="10"/>
        <v>#REF!</v>
      </c>
      <c r="U7" s="11" t="str">
        <f t="shared" ref="U7:U9" si="20">0.0000005*#REF!</f>
        <v>#REF!</v>
      </c>
      <c r="V7" s="11" t="str">
        <f t="shared" si="12"/>
        <v>#REF!</v>
      </c>
      <c r="W7" s="11" t="str">
        <f t="shared" ref="W7:W9" si="21">IF(#REF!&gt;0,15.34,0)</f>
        <v>#REF!</v>
      </c>
      <c r="X7" s="11" t="str">
        <f t="shared" si="14"/>
        <v>#REF!</v>
      </c>
      <c r="Y7" s="11" t="str">
        <f t="shared" ref="Y7:Y9" si="22">IF(#REF!&gt;0,P7-X7,0)</f>
        <v>#REF!</v>
      </c>
      <c r="Z7" s="100" t="str">
        <f t="shared" ref="Z7:Z9" si="23">Y7/#REF!</f>
        <v>#REF!</v>
      </c>
      <c r="AA7" s="102" t="str">
        <f t="shared" si="17"/>
        <v>#REF!</v>
      </c>
      <c r="AB7" s="40" t="s">
        <v>244</v>
      </c>
    </row>
    <row r="8">
      <c r="A8" s="97">
        <v>7.0</v>
      </c>
      <c r="B8" s="11" t="s">
        <v>247</v>
      </c>
      <c r="C8" s="97" t="s">
        <v>153</v>
      </c>
      <c r="D8" s="99">
        <v>45048.0</v>
      </c>
      <c r="E8" s="11">
        <v>590.75</v>
      </c>
      <c r="F8" s="99">
        <v>45058.0</v>
      </c>
      <c r="G8" s="11">
        <v>577.0</v>
      </c>
      <c r="H8" s="10">
        <f>IFERROR(__xludf.DUMMYFUNCTION("GOOGLEFINANCE(""NSE:""&amp;B8,""price"")"),1014.0)</f>
        <v>1014</v>
      </c>
      <c r="I8" s="97">
        <v>8.0</v>
      </c>
      <c r="J8" s="11">
        <f t="shared" si="1"/>
        <v>4726</v>
      </c>
      <c r="K8" s="11">
        <f t="shared" si="2"/>
        <v>9342</v>
      </c>
      <c r="L8" s="11">
        <f t="shared" si="3"/>
        <v>0</v>
      </c>
      <c r="M8" s="100">
        <f t="shared" si="4"/>
        <v>0</v>
      </c>
      <c r="N8" s="11">
        <f>IFERROR(__xludf.DUMMYFUNCTION("IF(G8&gt;0,0,GOOGLEFINANCE(""NSE:""&amp;B8,""change""))"),0.0)</f>
        <v>0</v>
      </c>
      <c r="O8" s="11">
        <f t="shared" si="5"/>
        <v>0</v>
      </c>
      <c r="P8" s="11">
        <f t="shared" si="6"/>
        <v>-110</v>
      </c>
      <c r="Q8" s="100">
        <f t="shared" si="7"/>
        <v>-0.02327549725</v>
      </c>
      <c r="R8" s="11" t="str">
        <f t="shared" si="18"/>
        <v>#REF!</v>
      </c>
      <c r="S8" s="11" t="str">
        <f t="shared" si="19"/>
        <v>#REF!</v>
      </c>
      <c r="T8" s="11" t="str">
        <f t="shared" si="10"/>
        <v>#REF!</v>
      </c>
      <c r="U8" s="11" t="str">
        <f t="shared" si="20"/>
        <v>#REF!</v>
      </c>
      <c r="V8" s="11" t="str">
        <f t="shared" si="12"/>
        <v>#REF!</v>
      </c>
      <c r="W8" s="11" t="str">
        <f t="shared" si="21"/>
        <v>#REF!</v>
      </c>
      <c r="X8" s="11" t="str">
        <f t="shared" si="14"/>
        <v>#REF!</v>
      </c>
      <c r="Y8" s="11" t="str">
        <f t="shared" si="22"/>
        <v>#REF!</v>
      </c>
      <c r="Z8" s="100" t="str">
        <f t="shared" si="23"/>
        <v>#REF!</v>
      </c>
      <c r="AA8" s="102" t="str">
        <f t="shared" si="17"/>
        <v>#REF!</v>
      </c>
      <c r="AB8" s="40" t="s">
        <v>224</v>
      </c>
    </row>
    <row r="9">
      <c r="A9" s="97">
        <v>8.0</v>
      </c>
      <c r="B9" s="104" t="s">
        <v>242</v>
      </c>
      <c r="C9" s="98" t="s">
        <v>136</v>
      </c>
      <c r="D9" s="105">
        <v>45062.0</v>
      </c>
      <c r="E9" s="11">
        <v>315.0</v>
      </c>
      <c r="F9" s="105">
        <v>45065.0</v>
      </c>
      <c r="G9" s="104">
        <v>342.65</v>
      </c>
      <c r="H9" s="10">
        <f>IFERROR(__xludf.DUMMYFUNCTION("GOOGLEFINANCE(""NSE:""&amp;B9,""price"")"),948.0)</f>
        <v>948</v>
      </c>
      <c r="I9" s="106">
        <v>15.0</v>
      </c>
      <c r="J9" s="11">
        <f t="shared" si="1"/>
        <v>4725</v>
      </c>
      <c r="K9" s="11">
        <f t="shared" si="2"/>
        <v>9864.75</v>
      </c>
      <c r="L9" s="11">
        <f t="shared" si="3"/>
        <v>0</v>
      </c>
      <c r="M9" s="100">
        <f t="shared" si="4"/>
        <v>0</v>
      </c>
      <c r="N9" s="11">
        <f>IFERROR(__xludf.DUMMYFUNCTION("IF(G9&gt;0,0,GOOGLEFINANCE(""NSE:""&amp;B9,""change""))"),0.0)</f>
        <v>0</v>
      </c>
      <c r="O9" s="11">
        <f t="shared" si="5"/>
        <v>0</v>
      </c>
      <c r="P9" s="11">
        <f t="shared" si="6"/>
        <v>414.75</v>
      </c>
      <c r="Q9" s="100">
        <f t="shared" si="7"/>
        <v>0.08777777778</v>
      </c>
      <c r="R9" s="11" t="str">
        <f t="shared" si="18"/>
        <v>#REF!</v>
      </c>
      <c r="S9" s="11" t="str">
        <f t="shared" si="19"/>
        <v>#REF!</v>
      </c>
      <c r="T9" s="11" t="str">
        <f t="shared" si="10"/>
        <v>#REF!</v>
      </c>
      <c r="U9" s="11" t="str">
        <f t="shared" si="20"/>
        <v>#REF!</v>
      </c>
      <c r="V9" s="11" t="str">
        <f t="shared" si="12"/>
        <v>#REF!</v>
      </c>
      <c r="W9" s="11" t="str">
        <f t="shared" si="21"/>
        <v>#REF!</v>
      </c>
      <c r="X9" s="11" t="str">
        <f t="shared" si="14"/>
        <v>#REF!</v>
      </c>
      <c r="Y9" s="11" t="str">
        <f t="shared" si="22"/>
        <v>#REF!</v>
      </c>
      <c r="Z9" s="100" t="str">
        <f t="shared" si="23"/>
        <v>#REF!</v>
      </c>
      <c r="AA9" s="102" t="str">
        <f t="shared" si="17"/>
        <v>#REF!</v>
      </c>
      <c r="AB9" s="40" t="s">
        <v>249</v>
      </c>
    </row>
    <row r="10">
      <c r="A10" s="97">
        <v>9.0</v>
      </c>
      <c r="B10" s="107" t="s">
        <v>250</v>
      </c>
      <c r="C10" s="97" t="s">
        <v>251</v>
      </c>
      <c r="D10" s="99">
        <v>45069.0</v>
      </c>
      <c r="E10" s="11">
        <v>195.65</v>
      </c>
      <c r="F10" s="99">
        <v>45070.0</v>
      </c>
      <c r="G10" s="11">
        <v>189.65</v>
      </c>
      <c r="H10" s="10">
        <f>IFERROR(__xludf.DUMMYFUNCTION("GOOGLEFINANCE(""NSE:""&amp;B10,""price"")"),441.05)</f>
        <v>441.05</v>
      </c>
      <c r="I10" s="97">
        <v>25.0</v>
      </c>
      <c r="J10" s="11">
        <f t="shared" si="1"/>
        <v>4891.25</v>
      </c>
      <c r="K10" s="11">
        <f t="shared" si="2"/>
        <v>9632.5</v>
      </c>
      <c r="L10" s="11">
        <f t="shared" si="3"/>
        <v>0</v>
      </c>
      <c r="M10" s="100">
        <f t="shared" si="4"/>
        <v>0</v>
      </c>
      <c r="N10" s="11">
        <f>IFERROR(__xludf.DUMMYFUNCTION("IF(G10&gt;0,0,GOOGLEFINANCE(""NSE:""&amp;B10,""change""))"),0.0)</f>
        <v>0</v>
      </c>
      <c r="O10" s="11">
        <f t="shared" si="5"/>
        <v>0</v>
      </c>
      <c r="P10" s="11">
        <f t="shared" si="6"/>
        <v>-150</v>
      </c>
      <c r="Q10" s="100">
        <f t="shared" si="7"/>
        <v>-0.03066700741</v>
      </c>
      <c r="R10" s="11"/>
      <c r="S10" s="11"/>
      <c r="T10" s="11"/>
      <c r="U10" s="11"/>
      <c r="V10" s="11"/>
      <c r="W10" s="11"/>
      <c r="X10" s="11"/>
      <c r="Y10" s="11"/>
      <c r="Z10" s="100"/>
      <c r="AA10" s="11"/>
      <c r="AB10" s="40" t="s">
        <v>252</v>
      </c>
    </row>
    <row r="11">
      <c r="A11" s="97">
        <v>10.0</v>
      </c>
      <c r="B11" s="107" t="s">
        <v>29</v>
      </c>
      <c r="C11" s="97" t="s">
        <v>251</v>
      </c>
      <c r="D11" s="99">
        <v>45075.0</v>
      </c>
      <c r="E11" s="11">
        <v>1456.9</v>
      </c>
      <c r="F11" s="99">
        <v>45111.0</v>
      </c>
      <c r="G11" s="11">
        <v>1601.5</v>
      </c>
      <c r="H11" s="10">
        <f>IFERROR(__xludf.DUMMYFUNCTION("GOOGLEFINANCE(""NSE:""&amp;B11,""price"")"),2042.0)</f>
        <v>2042</v>
      </c>
      <c r="I11" s="97">
        <v>3.0</v>
      </c>
      <c r="J11" s="11">
        <f t="shared" si="1"/>
        <v>4370.7</v>
      </c>
      <c r="K11" s="11">
        <f t="shared" si="2"/>
        <v>9175.2</v>
      </c>
      <c r="L11" s="11">
        <f t="shared" si="3"/>
        <v>0</v>
      </c>
      <c r="M11" s="100">
        <f t="shared" si="4"/>
        <v>0</v>
      </c>
      <c r="N11" s="11">
        <f>IFERROR(__xludf.DUMMYFUNCTION("IF(G11&gt;0,0,GOOGLEFINANCE(""NSE:""&amp;B11,""change""))"),0.0)</f>
        <v>0</v>
      </c>
      <c r="O11" s="11">
        <f t="shared" si="5"/>
        <v>0</v>
      </c>
      <c r="P11" s="11">
        <f t="shared" si="6"/>
        <v>433.8</v>
      </c>
      <c r="Q11" s="100">
        <f t="shared" si="7"/>
        <v>0.09925183609</v>
      </c>
      <c r="R11" s="11"/>
      <c r="S11" s="11"/>
      <c r="T11" s="11"/>
      <c r="U11" s="11"/>
      <c r="V11" s="11"/>
      <c r="W11" s="11"/>
      <c r="X11" s="11"/>
      <c r="Y11" s="11"/>
      <c r="Z11" s="100"/>
      <c r="AA11" s="11"/>
      <c r="AB11" s="40" t="s">
        <v>253</v>
      </c>
    </row>
    <row r="12">
      <c r="A12" s="97">
        <v>11.0</v>
      </c>
      <c r="B12" s="108" t="s">
        <v>246</v>
      </c>
      <c r="C12" s="98" t="s">
        <v>97</v>
      </c>
      <c r="D12" s="99">
        <v>45075.0</v>
      </c>
      <c r="E12" s="11">
        <v>184.65</v>
      </c>
      <c r="F12" s="99">
        <v>45111.0</v>
      </c>
      <c r="G12" s="11">
        <v>202.2</v>
      </c>
      <c r="H12" s="10">
        <f>IFERROR(__xludf.DUMMYFUNCTION("GOOGLEFINANCE(""NSE:""&amp;B12,""price"")"),292.9)</f>
        <v>292.9</v>
      </c>
      <c r="I12" s="97">
        <v>25.0</v>
      </c>
      <c r="J12" s="11">
        <f t="shared" si="1"/>
        <v>4616.25</v>
      </c>
      <c r="K12" s="11">
        <f t="shared" si="2"/>
        <v>9671.25</v>
      </c>
      <c r="L12" s="11">
        <f t="shared" si="3"/>
        <v>0</v>
      </c>
      <c r="M12" s="100">
        <f t="shared" si="4"/>
        <v>0</v>
      </c>
      <c r="N12" s="11">
        <f>IFERROR(__xludf.DUMMYFUNCTION("IF(G12&gt;0,0,GOOGLEFINANCE(""NSE:""&amp;B12,""change""))"),0.0)</f>
        <v>0</v>
      </c>
      <c r="O12" s="11">
        <f t="shared" si="5"/>
        <v>0</v>
      </c>
      <c r="P12" s="11">
        <f t="shared" si="6"/>
        <v>438.75</v>
      </c>
      <c r="Q12" s="100">
        <f t="shared" si="7"/>
        <v>0.09504467912</v>
      </c>
      <c r="R12" s="11"/>
      <c r="S12" s="11"/>
      <c r="T12" s="11"/>
      <c r="U12" s="11"/>
      <c r="V12" s="11"/>
      <c r="W12" s="11"/>
      <c r="X12" s="11"/>
      <c r="Y12" s="11"/>
      <c r="Z12" s="100"/>
      <c r="AA12" s="11"/>
      <c r="AB12" s="40" t="s">
        <v>255</v>
      </c>
      <c r="AF12" s="9"/>
    </row>
    <row r="13">
      <c r="A13" s="97">
        <v>12.0</v>
      </c>
      <c r="B13" s="97" t="s">
        <v>254</v>
      </c>
      <c r="C13" s="98" t="s">
        <v>97</v>
      </c>
      <c r="D13" s="99">
        <v>45078.0</v>
      </c>
      <c r="E13" s="11">
        <v>3554.35</v>
      </c>
      <c r="F13" s="99">
        <v>45139.0</v>
      </c>
      <c r="G13" s="11">
        <v>3669.0</v>
      </c>
      <c r="H13" s="10">
        <f>IFERROR(__xludf.DUMMYFUNCTION("GOOGLEFINANCE(""NSE:""&amp;B13,""price"")"),6480.0)</f>
        <v>6480</v>
      </c>
      <c r="I13" s="97">
        <v>1.0</v>
      </c>
      <c r="J13" s="11">
        <f t="shared" si="1"/>
        <v>3554.35</v>
      </c>
      <c r="K13" s="11">
        <f t="shared" si="2"/>
        <v>7223.35</v>
      </c>
      <c r="L13" s="11">
        <f t="shared" si="3"/>
        <v>0</v>
      </c>
      <c r="M13" s="100">
        <f t="shared" si="4"/>
        <v>0</v>
      </c>
      <c r="N13" s="11">
        <f>IFERROR(__xludf.DUMMYFUNCTION("IF(G13&gt;0,0,GOOGLEFINANCE(""NSE:""&amp;B13,""change""))"),0.0)</f>
        <v>0</v>
      </c>
      <c r="O13" s="11">
        <f t="shared" si="5"/>
        <v>0</v>
      </c>
      <c r="P13" s="11">
        <f t="shared" si="6"/>
        <v>114.65</v>
      </c>
      <c r="Q13" s="100">
        <f t="shared" si="7"/>
        <v>0.03225624938</v>
      </c>
      <c r="R13" s="11"/>
      <c r="S13" s="11"/>
      <c r="T13" s="11"/>
      <c r="U13" s="11"/>
      <c r="V13" s="11"/>
      <c r="W13" s="11"/>
      <c r="X13" s="11"/>
      <c r="Y13" s="11"/>
      <c r="Z13" s="100"/>
      <c r="AA13" s="11"/>
      <c r="AB13" s="40" t="s">
        <v>257</v>
      </c>
    </row>
    <row r="14">
      <c r="A14" s="97">
        <v>13.0</v>
      </c>
      <c r="B14" s="11" t="s">
        <v>55</v>
      </c>
      <c r="C14" s="98" t="s">
        <v>97</v>
      </c>
      <c r="D14" s="99">
        <v>45084.0</v>
      </c>
      <c r="E14" s="11">
        <v>133.5</v>
      </c>
      <c r="F14" s="99">
        <v>45132.0</v>
      </c>
      <c r="G14" s="11">
        <v>160.45</v>
      </c>
      <c r="H14" s="10">
        <f>IFERROR(__xludf.DUMMYFUNCTION("GOOGLEFINANCE(""NSE:""&amp;B14,""price"")"),360.0)</f>
        <v>360</v>
      </c>
      <c r="I14" s="97">
        <v>12.0</v>
      </c>
      <c r="J14" s="11">
        <f t="shared" si="1"/>
        <v>1602</v>
      </c>
      <c r="K14" s="11">
        <f t="shared" si="2"/>
        <v>3527.4</v>
      </c>
      <c r="L14" s="11">
        <f t="shared" si="3"/>
        <v>0</v>
      </c>
      <c r="M14" s="100">
        <f t="shared" si="4"/>
        <v>0</v>
      </c>
      <c r="N14" s="11">
        <f>IFERROR(__xludf.DUMMYFUNCTION("IF(G14&gt;0,0,GOOGLEFINANCE(""NSE:""&amp;B14,""change""))"),0.0)</f>
        <v>0</v>
      </c>
      <c r="O14" s="11">
        <f t="shared" si="5"/>
        <v>0</v>
      </c>
      <c r="P14" s="11">
        <f t="shared" si="6"/>
        <v>323.4</v>
      </c>
      <c r="Q14" s="100">
        <f t="shared" si="7"/>
        <v>0.2018726592</v>
      </c>
      <c r="R14" s="11"/>
      <c r="S14" s="11"/>
      <c r="T14" s="11"/>
      <c r="U14" s="11"/>
      <c r="V14" s="11"/>
      <c r="W14" s="11"/>
      <c r="X14" s="11"/>
      <c r="Y14" s="11"/>
      <c r="Z14" s="100"/>
      <c r="AA14" s="11"/>
      <c r="AB14" s="40" t="s">
        <v>258</v>
      </c>
      <c r="AC14" s="40" t="s">
        <v>133</v>
      </c>
    </row>
    <row r="15">
      <c r="A15" s="97">
        <v>14.0</v>
      </c>
      <c r="B15" s="11" t="s">
        <v>69</v>
      </c>
      <c r="C15" s="97" t="s">
        <v>97</v>
      </c>
      <c r="D15" s="99">
        <v>45091.0</v>
      </c>
      <c r="E15" s="11">
        <v>113.8</v>
      </c>
      <c r="F15" s="99">
        <v>45117.0</v>
      </c>
      <c r="G15" s="11">
        <v>168.42</v>
      </c>
      <c r="H15" s="10">
        <f>IFERROR(__xludf.DUMMYFUNCTION("GOOGLEFINANCE(""NSE:""&amp;B15,""price"")"),170.82)</f>
        <v>170.82</v>
      </c>
      <c r="I15" s="97">
        <v>40.0</v>
      </c>
      <c r="J15" s="11">
        <f t="shared" si="1"/>
        <v>4552</v>
      </c>
      <c r="K15" s="11">
        <f t="shared" si="2"/>
        <v>11288.8</v>
      </c>
      <c r="L15" s="11">
        <f t="shared" si="3"/>
        <v>0</v>
      </c>
      <c r="M15" s="100">
        <f t="shared" si="4"/>
        <v>0</v>
      </c>
      <c r="N15" s="11">
        <f>IFERROR(__xludf.DUMMYFUNCTION("IF(G15&gt;0,0,GOOGLEFINANCE(""NSE:""&amp;B15,""change""))"),0.0)</f>
        <v>0</v>
      </c>
      <c r="O15" s="11">
        <f t="shared" si="5"/>
        <v>0</v>
      </c>
      <c r="P15" s="11">
        <f t="shared" si="6"/>
        <v>2184.8</v>
      </c>
      <c r="Q15" s="100">
        <f t="shared" si="7"/>
        <v>0.4799648506</v>
      </c>
      <c r="R15" s="11"/>
      <c r="S15" s="11"/>
      <c r="T15" s="11"/>
      <c r="U15" s="11"/>
      <c r="V15" s="11"/>
      <c r="W15" s="11"/>
      <c r="X15" s="11"/>
      <c r="Y15" s="11"/>
      <c r="Z15" s="100"/>
      <c r="AA15" s="11"/>
      <c r="AB15" s="40" t="s">
        <v>259</v>
      </c>
      <c r="AC15" s="40" t="s">
        <v>133</v>
      </c>
    </row>
    <row r="16">
      <c r="A16" s="97">
        <v>15.0</v>
      </c>
      <c r="B16" s="98" t="s">
        <v>194</v>
      </c>
      <c r="C16" s="98" t="s">
        <v>97</v>
      </c>
      <c r="D16" s="99">
        <v>45103.0</v>
      </c>
      <c r="E16" s="11">
        <v>1021.5</v>
      </c>
      <c r="F16" s="99">
        <v>45134.0</v>
      </c>
      <c r="G16" s="11">
        <v>1149.85</v>
      </c>
      <c r="H16" s="10">
        <f>IFERROR(__xludf.DUMMYFUNCTION("GOOGLEFINANCE(""NSE:""&amp;B16,""price"")"),1501.5)</f>
        <v>1501.5</v>
      </c>
      <c r="I16" s="97">
        <v>4.0</v>
      </c>
      <c r="J16" s="11">
        <f t="shared" si="1"/>
        <v>4086</v>
      </c>
      <c r="K16" s="11">
        <f t="shared" si="2"/>
        <v>8685.4</v>
      </c>
      <c r="L16" s="11">
        <f t="shared" si="3"/>
        <v>0</v>
      </c>
      <c r="M16" s="100">
        <f t="shared" si="4"/>
        <v>0</v>
      </c>
      <c r="N16" s="11">
        <f>IFERROR(__xludf.DUMMYFUNCTION("IF(G16&gt;0,0,GOOGLEFINANCE(""NSE:""&amp;B16,""change""))"),0.0)</f>
        <v>0</v>
      </c>
      <c r="O16" s="11">
        <f t="shared" si="5"/>
        <v>0</v>
      </c>
      <c r="P16" s="11">
        <f t="shared" si="6"/>
        <v>513.4</v>
      </c>
      <c r="Q16" s="100">
        <f t="shared" si="7"/>
        <v>0.125648556</v>
      </c>
      <c r="R16" s="11"/>
      <c r="S16" s="11"/>
      <c r="T16" s="11"/>
      <c r="U16" s="11"/>
      <c r="V16" s="11"/>
      <c r="W16" s="11"/>
      <c r="X16" s="11"/>
      <c r="Y16" s="11"/>
      <c r="Z16" s="100"/>
      <c r="AA16" s="11"/>
      <c r="AB16" s="40" t="s">
        <v>260</v>
      </c>
      <c r="AC16" s="40" t="s">
        <v>261</v>
      </c>
    </row>
    <row r="17">
      <c r="A17" s="97">
        <v>16.0</v>
      </c>
      <c r="B17" s="98" t="s">
        <v>68</v>
      </c>
      <c r="C17" s="98" t="s">
        <v>97</v>
      </c>
      <c r="D17" s="99">
        <v>45130.0</v>
      </c>
      <c r="E17" s="11">
        <v>221.8</v>
      </c>
      <c r="F17" s="99">
        <v>45139.0</v>
      </c>
      <c r="G17" s="11">
        <v>242.0</v>
      </c>
      <c r="H17" s="10">
        <f>IFERROR(__xludf.DUMMYFUNCTION("GOOGLEFINANCE(""NSE:""&amp;B17,""price"")"),382.4)</f>
        <v>382.4</v>
      </c>
      <c r="I17" s="97">
        <v>20.0</v>
      </c>
      <c r="J17" s="11">
        <f t="shared" si="1"/>
        <v>4436</v>
      </c>
      <c r="K17" s="11">
        <f t="shared" si="2"/>
        <v>9276</v>
      </c>
      <c r="L17" s="11">
        <f t="shared" si="3"/>
        <v>0</v>
      </c>
      <c r="M17" s="100">
        <f t="shared" si="4"/>
        <v>0</v>
      </c>
      <c r="N17" s="11">
        <f>IFERROR(__xludf.DUMMYFUNCTION("IF(G17&gt;0,0,GOOGLEFINANCE(""NSE:""&amp;B17,""change""))"),0.0)</f>
        <v>0</v>
      </c>
      <c r="O17" s="11">
        <f t="shared" si="5"/>
        <v>0</v>
      </c>
      <c r="P17" s="11">
        <f t="shared" si="6"/>
        <v>404</v>
      </c>
      <c r="Q17" s="100">
        <f t="shared" si="7"/>
        <v>0.09107303877</v>
      </c>
      <c r="R17" s="11"/>
      <c r="S17" s="11"/>
      <c r="T17" s="11"/>
      <c r="U17" s="11"/>
      <c r="V17" s="11"/>
      <c r="W17" s="11"/>
      <c r="X17" s="11"/>
      <c r="Y17" s="11"/>
      <c r="Z17" s="100"/>
      <c r="AA17" s="11"/>
      <c r="AB17" s="40" t="s">
        <v>262</v>
      </c>
      <c r="AC17" s="40" t="s">
        <v>133</v>
      </c>
    </row>
    <row r="18">
      <c r="A18" s="97">
        <v>17.0</v>
      </c>
      <c r="B18" s="98" t="s">
        <v>51</v>
      </c>
      <c r="C18" s="98" t="s">
        <v>136</v>
      </c>
      <c r="D18" s="99">
        <v>45145.0</v>
      </c>
      <c r="E18" s="11">
        <v>411.0</v>
      </c>
      <c r="F18" s="99">
        <v>45225.0</v>
      </c>
      <c r="G18" s="11">
        <v>377.05</v>
      </c>
      <c r="H18" s="10">
        <f>IFERROR(__xludf.DUMMYFUNCTION("GOOGLEFINANCE(""NSE:""&amp;B18,""price"")"),271.3)</f>
        <v>271.3</v>
      </c>
      <c r="I18" s="97">
        <v>50.0</v>
      </c>
      <c r="J18" s="11">
        <f t="shared" si="1"/>
        <v>20550</v>
      </c>
      <c r="K18" s="11">
        <f t="shared" si="2"/>
        <v>39402.5</v>
      </c>
      <c r="L18" s="11">
        <f t="shared" si="3"/>
        <v>0</v>
      </c>
      <c r="M18" s="100">
        <f t="shared" si="4"/>
        <v>0</v>
      </c>
      <c r="N18" s="11">
        <f>IFERROR(__xludf.DUMMYFUNCTION("IF(G18&gt;0,0,GOOGLEFINANCE(""NSE:""&amp;B18,""change""))"),0.0)</f>
        <v>0</v>
      </c>
      <c r="O18" s="11">
        <f t="shared" si="5"/>
        <v>0</v>
      </c>
      <c r="P18" s="11">
        <f t="shared" si="6"/>
        <v>-1697.5</v>
      </c>
      <c r="Q18" s="100">
        <f t="shared" si="7"/>
        <v>-0.08260340633</v>
      </c>
      <c r="R18" s="11"/>
      <c r="S18" s="11"/>
      <c r="T18" s="11"/>
      <c r="U18" s="11"/>
      <c r="V18" s="11"/>
      <c r="W18" s="11"/>
      <c r="X18" s="11"/>
      <c r="Y18" s="11"/>
      <c r="Z18" s="100"/>
      <c r="AA18" s="11"/>
      <c r="AB18" s="40" t="s">
        <v>263</v>
      </c>
    </row>
    <row r="19">
      <c r="A19" s="97">
        <v>18.0</v>
      </c>
      <c r="B19" s="98" t="s">
        <v>243</v>
      </c>
      <c r="C19" s="98" t="s">
        <v>136</v>
      </c>
      <c r="D19" s="99">
        <v>45145.0</v>
      </c>
      <c r="E19" s="11">
        <v>697.7</v>
      </c>
      <c r="F19" s="99">
        <v>45152.0</v>
      </c>
      <c r="G19" s="11">
        <v>647.7</v>
      </c>
      <c r="H19" s="10">
        <f>IFERROR(__xludf.DUMMYFUNCTION("GOOGLEFINANCE(""NSE:""&amp;B19,""price"")"),512.3)</f>
        <v>512.3</v>
      </c>
      <c r="I19" s="97">
        <v>21.0</v>
      </c>
      <c r="J19" s="11">
        <f t="shared" si="1"/>
        <v>14651.7</v>
      </c>
      <c r="K19" s="11">
        <f t="shared" si="2"/>
        <v>28253.4</v>
      </c>
      <c r="L19" s="11">
        <f t="shared" si="3"/>
        <v>0</v>
      </c>
      <c r="M19" s="100">
        <f t="shared" si="4"/>
        <v>0</v>
      </c>
      <c r="N19" s="11">
        <f>IFERROR(__xludf.DUMMYFUNCTION("IF(G19&gt;0,0,GOOGLEFINANCE(""NSE:""&amp;B19,""change""))"),0.0)</f>
        <v>0</v>
      </c>
      <c r="O19" s="11">
        <f t="shared" si="5"/>
        <v>0</v>
      </c>
      <c r="P19" s="11">
        <f t="shared" si="6"/>
        <v>-1050</v>
      </c>
      <c r="Q19" s="100">
        <f t="shared" si="7"/>
        <v>-0.07166403899</v>
      </c>
      <c r="R19" s="11"/>
      <c r="S19" s="11"/>
      <c r="T19" s="11"/>
      <c r="U19" s="11"/>
      <c r="V19" s="11"/>
      <c r="W19" s="11"/>
      <c r="X19" s="11"/>
      <c r="Y19" s="11"/>
      <c r="Z19" s="100"/>
      <c r="AA19" s="11"/>
      <c r="AB19" s="40" t="s">
        <v>264</v>
      </c>
      <c r="AC19" s="40" t="s">
        <v>133</v>
      </c>
    </row>
    <row r="20">
      <c r="A20" s="97">
        <v>19.0</v>
      </c>
      <c r="B20" s="11" t="s">
        <v>265</v>
      </c>
      <c r="C20" s="98" t="s">
        <v>136</v>
      </c>
      <c r="D20" s="99">
        <v>45159.0</v>
      </c>
      <c r="E20" s="11">
        <v>3079.2</v>
      </c>
      <c r="F20" s="99">
        <v>45173.0</v>
      </c>
      <c r="G20" s="11">
        <v>3088.05</v>
      </c>
      <c r="H20" s="10">
        <f>IFERROR(__xludf.DUMMYFUNCTION("GOOGLEFINANCE(""NSE:""&amp;B20,""price"")"),3916.6)</f>
        <v>3916.6</v>
      </c>
      <c r="I20" s="97">
        <v>5.0</v>
      </c>
      <c r="J20" s="11">
        <f t="shared" si="1"/>
        <v>15396</v>
      </c>
      <c r="K20" s="11">
        <f t="shared" si="2"/>
        <v>30836.25</v>
      </c>
      <c r="L20" s="11">
        <f t="shared" si="3"/>
        <v>0</v>
      </c>
      <c r="M20" s="100">
        <f t="shared" si="4"/>
        <v>0</v>
      </c>
      <c r="N20" s="11">
        <f>IFERROR(__xludf.DUMMYFUNCTION("IF(G20&gt;0,0,GOOGLEFINANCE(""NSE:""&amp;B20,""change""))"),0.0)</f>
        <v>0</v>
      </c>
      <c r="O20" s="11">
        <f t="shared" si="5"/>
        <v>0</v>
      </c>
      <c r="P20" s="11">
        <f t="shared" si="6"/>
        <v>44.25</v>
      </c>
      <c r="Q20" s="100">
        <f t="shared" si="7"/>
        <v>0.002874123149</v>
      </c>
      <c r="R20" s="11"/>
      <c r="S20" s="11"/>
      <c r="T20" s="11"/>
      <c r="U20" s="11"/>
      <c r="V20" s="11"/>
      <c r="W20" s="11"/>
      <c r="X20" s="11"/>
      <c r="Y20" s="11"/>
      <c r="Z20" s="100"/>
      <c r="AA20" s="11"/>
      <c r="AB20" s="40" t="s">
        <v>224</v>
      </c>
      <c r="AC20" s="40" t="s">
        <v>133</v>
      </c>
    </row>
    <row r="21">
      <c r="A21" s="97">
        <v>20.0</v>
      </c>
      <c r="B21" s="11" t="s">
        <v>115</v>
      </c>
      <c r="C21" s="97" t="s">
        <v>152</v>
      </c>
      <c r="D21" s="99">
        <v>45168.0</v>
      </c>
      <c r="E21" s="11">
        <v>639.4</v>
      </c>
      <c r="F21" s="99"/>
      <c r="G21" s="11">
        <v>0.0</v>
      </c>
      <c r="H21" s="10">
        <f>IFERROR(__xludf.DUMMYFUNCTION("GOOGLEFINANCE(""NSE:""&amp;B21,""price"")"),763.0)</f>
        <v>763</v>
      </c>
      <c r="I21" s="97">
        <v>11.0</v>
      </c>
      <c r="J21" s="11">
        <f t="shared" si="1"/>
        <v>7033.4</v>
      </c>
      <c r="K21" s="11">
        <f t="shared" si="2"/>
        <v>7033.4</v>
      </c>
      <c r="L21" s="11">
        <f t="shared" si="3"/>
        <v>1359.6</v>
      </c>
      <c r="M21" s="100">
        <f t="shared" si="4"/>
        <v>0.1933062246</v>
      </c>
      <c r="N21" s="11">
        <f>IFERROR(__xludf.DUMMYFUNCTION("IF(G21&gt;0,0,GOOGLEFINANCE(""NSE:""&amp;B21,""change""))"),1.2)</f>
        <v>1.2</v>
      </c>
      <c r="O21" s="11">
        <f t="shared" si="5"/>
        <v>13.2</v>
      </c>
      <c r="P21" s="11">
        <f t="shared" si="6"/>
        <v>0</v>
      </c>
      <c r="Q21" s="100">
        <f t="shared" si="7"/>
        <v>0</v>
      </c>
      <c r="R21" s="11"/>
      <c r="S21" s="11"/>
      <c r="T21" s="11"/>
      <c r="U21" s="11"/>
      <c r="V21" s="11"/>
      <c r="W21" s="11"/>
      <c r="X21" s="11"/>
      <c r="Y21" s="11"/>
      <c r="Z21" s="100"/>
      <c r="AA21" s="11"/>
      <c r="AB21" s="40" t="s">
        <v>266</v>
      </c>
      <c r="AC21" s="40" t="s">
        <v>102</v>
      </c>
    </row>
    <row r="22">
      <c r="A22" s="97">
        <v>21.0</v>
      </c>
      <c r="B22" s="11" t="s">
        <v>36</v>
      </c>
      <c r="C22" s="98" t="s">
        <v>136</v>
      </c>
      <c r="D22" s="99"/>
      <c r="E22" s="11">
        <v>1.0</v>
      </c>
      <c r="F22" s="99"/>
      <c r="G22" s="11">
        <v>0.0</v>
      </c>
      <c r="H22" s="10">
        <f>IFERROR(__xludf.DUMMYFUNCTION("GOOGLEFINANCE(""NSE:""&amp;B22,""price"")"),298.5)</f>
        <v>298.5</v>
      </c>
      <c r="I22" s="97">
        <v>7.0</v>
      </c>
      <c r="J22" s="11">
        <f t="shared" si="1"/>
        <v>7</v>
      </c>
      <c r="K22" s="11">
        <f t="shared" si="2"/>
        <v>7</v>
      </c>
      <c r="L22" s="11">
        <f t="shared" si="3"/>
        <v>2082.5</v>
      </c>
      <c r="M22" s="100">
        <f t="shared" si="4"/>
        <v>297.5</v>
      </c>
      <c r="N22" s="11">
        <f>IFERROR(__xludf.DUMMYFUNCTION("IF(G22&gt;0,0,GOOGLEFINANCE(""NSE:""&amp;B22,""change""))"),-0.25)</f>
        <v>-0.25</v>
      </c>
      <c r="O22" s="11">
        <f t="shared" si="5"/>
        <v>-1.75</v>
      </c>
      <c r="P22" s="11">
        <f t="shared" si="6"/>
        <v>0</v>
      </c>
      <c r="Q22" s="100">
        <f t="shared" si="7"/>
        <v>0</v>
      </c>
      <c r="R22" s="11"/>
      <c r="S22" s="11"/>
      <c r="T22" s="11"/>
      <c r="U22" s="11"/>
      <c r="V22" s="11"/>
      <c r="W22" s="11"/>
      <c r="X22" s="11"/>
      <c r="Y22" s="11"/>
      <c r="Z22" s="100"/>
      <c r="AA22" s="11"/>
      <c r="AB22" s="40" t="s">
        <v>268</v>
      </c>
      <c r="AC22" s="40" t="s">
        <v>102</v>
      </c>
    </row>
    <row r="23">
      <c r="A23" s="97">
        <v>22.0</v>
      </c>
      <c r="B23" s="11" t="s">
        <v>267</v>
      </c>
      <c r="C23" s="98" t="s">
        <v>97</v>
      </c>
      <c r="D23" s="99">
        <v>45202.0</v>
      </c>
      <c r="E23" s="11">
        <v>252.7</v>
      </c>
      <c r="F23" s="99">
        <v>45225.0</v>
      </c>
      <c r="G23" s="11">
        <v>217.5</v>
      </c>
      <c r="H23" s="10">
        <f>IFERROR(__xludf.DUMMYFUNCTION("GOOGLEFINANCE(""NSE:""&amp;B23,""price"")"),302.9)</f>
        <v>302.9</v>
      </c>
      <c r="I23" s="97">
        <v>43.0</v>
      </c>
      <c r="J23" s="11">
        <f t="shared" si="1"/>
        <v>10866.1</v>
      </c>
      <c r="K23" s="11">
        <f t="shared" si="2"/>
        <v>20218.6</v>
      </c>
      <c r="L23" s="11">
        <f t="shared" si="3"/>
        <v>0</v>
      </c>
      <c r="M23" s="100">
        <f t="shared" si="4"/>
        <v>0</v>
      </c>
      <c r="N23" s="11">
        <f>IFERROR(__xludf.DUMMYFUNCTION("IF(G23&gt;0,0,GOOGLEFINANCE(""NSE:""&amp;B23,""change""))"),0.0)</f>
        <v>0</v>
      </c>
      <c r="O23" s="11">
        <f t="shared" si="5"/>
        <v>0</v>
      </c>
      <c r="P23" s="11">
        <f t="shared" si="6"/>
        <v>-1513.6</v>
      </c>
      <c r="Q23" s="100">
        <f t="shared" si="7"/>
        <v>-0.1392956074</v>
      </c>
      <c r="R23" s="11"/>
      <c r="S23" s="11"/>
      <c r="T23" s="11"/>
      <c r="U23" s="11"/>
      <c r="V23" s="11"/>
      <c r="W23" s="11"/>
      <c r="X23" s="11"/>
      <c r="Y23" s="11"/>
      <c r="Z23" s="100"/>
      <c r="AA23" s="11"/>
      <c r="AB23" s="40" t="s">
        <v>269</v>
      </c>
      <c r="AC23" s="40" t="s">
        <v>270</v>
      </c>
    </row>
    <row r="24">
      <c r="A24" s="97">
        <v>24.0</v>
      </c>
      <c r="B24" s="11" t="s">
        <v>35</v>
      </c>
      <c r="C24" s="97" t="s">
        <v>97</v>
      </c>
      <c r="D24" s="99">
        <v>45202.0</v>
      </c>
      <c r="E24" s="11">
        <v>704.4</v>
      </c>
      <c r="F24" s="99">
        <v>45225.0</v>
      </c>
      <c r="G24" s="11">
        <v>643.67</v>
      </c>
      <c r="H24" s="10">
        <f>IFERROR(__xludf.DUMMYFUNCTION("GOOGLEFINANCE(""NSE:""&amp;B24,""price"")"),680.5)</f>
        <v>680.5</v>
      </c>
      <c r="I24" s="97">
        <v>28.0</v>
      </c>
      <c r="J24" s="11">
        <f t="shared" si="1"/>
        <v>19723.2</v>
      </c>
      <c r="K24" s="11">
        <f t="shared" si="2"/>
        <v>37745.96</v>
      </c>
      <c r="L24" s="11">
        <f t="shared" si="3"/>
        <v>0</v>
      </c>
      <c r="M24" s="100">
        <f t="shared" si="4"/>
        <v>0</v>
      </c>
      <c r="N24" s="11">
        <f>IFERROR(__xludf.DUMMYFUNCTION("IF(G24&gt;0,0,GOOGLEFINANCE(""NSE:""&amp;B24,""change""))"),0.0)</f>
        <v>0</v>
      </c>
      <c r="O24" s="11">
        <f t="shared" si="5"/>
        <v>0</v>
      </c>
      <c r="P24" s="11">
        <f t="shared" si="6"/>
        <v>-1700.44</v>
      </c>
      <c r="Q24" s="100">
        <f t="shared" si="7"/>
        <v>-0.08621521863</v>
      </c>
      <c r="R24" s="11"/>
      <c r="S24" s="11"/>
      <c r="T24" s="11"/>
      <c r="U24" s="11"/>
      <c r="V24" s="11"/>
      <c r="W24" s="11"/>
      <c r="X24" s="11"/>
      <c r="Y24" s="11"/>
      <c r="Z24" s="100"/>
      <c r="AA24" s="11"/>
      <c r="AB24" s="40" t="s">
        <v>269</v>
      </c>
    </row>
    <row r="25">
      <c r="A25" s="97">
        <v>25.0</v>
      </c>
      <c r="B25" s="11" t="s">
        <v>210</v>
      </c>
      <c r="C25" s="98" t="s">
        <v>97</v>
      </c>
      <c r="D25" s="99">
        <v>45205.0</v>
      </c>
      <c r="E25" s="11">
        <v>3602.4</v>
      </c>
      <c r="F25" s="99">
        <v>45218.0</v>
      </c>
      <c r="G25" s="11">
        <v>3464.5</v>
      </c>
      <c r="H25" s="10">
        <f>IFERROR(__xludf.DUMMYFUNCTION("GOOGLEFINANCE(""NSE:""&amp;B25,""price"")"),3305.1)</f>
        <v>3305.1</v>
      </c>
      <c r="I25" s="97">
        <v>11.0</v>
      </c>
      <c r="J25" s="11">
        <f t="shared" si="1"/>
        <v>39626.4</v>
      </c>
      <c r="K25" s="11">
        <f t="shared" si="2"/>
        <v>77735.9</v>
      </c>
      <c r="L25" s="11">
        <f t="shared" si="3"/>
        <v>0</v>
      </c>
      <c r="M25" s="100">
        <f t="shared" si="4"/>
        <v>0</v>
      </c>
      <c r="N25" s="11">
        <f>IFERROR(__xludf.DUMMYFUNCTION("IF(G25&gt;0,0,GOOGLEFINANCE(""NSE:""&amp;B25,""change""))"),0.0)</f>
        <v>0</v>
      </c>
      <c r="O25" s="11">
        <f t="shared" si="5"/>
        <v>0</v>
      </c>
      <c r="P25" s="11">
        <f t="shared" si="6"/>
        <v>-1516.9</v>
      </c>
      <c r="Q25" s="100">
        <f t="shared" si="7"/>
        <v>-0.03828003553</v>
      </c>
      <c r="R25" s="11"/>
      <c r="S25" s="11"/>
      <c r="T25" s="11"/>
      <c r="U25" s="11"/>
      <c r="V25" s="11"/>
      <c r="W25" s="11"/>
      <c r="X25" s="11"/>
      <c r="Y25" s="11"/>
      <c r="Z25" s="100"/>
      <c r="AA25" s="11"/>
      <c r="AB25" s="40" t="s">
        <v>224</v>
      </c>
    </row>
    <row r="26">
      <c r="A26" s="97">
        <v>26.0</v>
      </c>
      <c r="B26" s="11" t="s">
        <v>121</v>
      </c>
      <c r="C26" s="98" t="s">
        <v>97</v>
      </c>
      <c r="D26" s="99">
        <v>45212.0</v>
      </c>
      <c r="E26" s="11">
        <v>915.55</v>
      </c>
      <c r="F26" s="99">
        <v>45289.0</v>
      </c>
      <c r="G26" s="11">
        <v>1072.45</v>
      </c>
      <c r="H26" s="10">
        <f>IFERROR(__xludf.DUMMYFUNCTION("GOOGLEFINANCE(""NSE:""&amp;B26,""price"")"),1185.2)</f>
        <v>1185.2</v>
      </c>
      <c r="I26" s="97">
        <v>23.0</v>
      </c>
      <c r="J26" s="11">
        <f t="shared" si="1"/>
        <v>21057.65</v>
      </c>
      <c r="K26" s="11">
        <f t="shared" si="2"/>
        <v>45724</v>
      </c>
      <c r="L26" s="11">
        <f t="shared" si="3"/>
        <v>0</v>
      </c>
      <c r="M26" s="100">
        <f t="shared" si="4"/>
        <v>0</v>
      </c>
      <c r="N26" s="11">
        <f>IFERROR(__xludf.DUMMYFUNCTION("IF(G26&gt;0,0,GOOGLEFINANCE(""NSE:""&amp;B26,""change""))"),0.0)</f>
        <v>0</v>
      </c>
      <c r="O26" s="11">
        <f t="shared" si="5"/>
        <v>0</v>
      </c>
      <c r="P26" s="11">
        <f t="shared" si="6"/>
        <v>3608.7</v>
      </c>
      <c r="Q26" s="100">
        <f t="shared" si="7"/>
        <v>0.1713723991</v>
      </c>
      <c r="R26" s="11"/>
      <c r="S26" s="11"/>
      <c r="T26" s="11"/>
      <c r="U26" s="11"/>
      <c r="V26" s="11"/>
      <c r="W26" s="11"/>
      <c r="X26" s="11"/>
      <c r="Y26" s="11"/>
      <c r="Z26" s="100"/>
      <c r="AA26" s="11"/>
      <c r="AB26" s="40" t="s">
        <v>271</v>
      </c>
      <c r="AC26" s="40" t="s">
        <v>133</v>
      </c>
    </row>
    <row r="27">
      <c r="A27" s="97">
        <v>27.0</v>
      </c>
      <c r="B27" s="11" t="s">
        <v>256</v>
      </c>
      <c r="C27" s="98" t="s">
        <v>97</v>
      </c>
      <c r="D27" s="99">
        <v>45236.0</v>
      </c>
      <c r="E27" s="11">
        <v>5325.9</v>
      </c>
      <c r="F27" s="99">
        <v>45261.0</v>
      </c>
      <c r="G27" s="11">
        <v>6007.19</v>
      </c>
      <c r="H27" s="10">
        <f>IFERROR(__xludf.DUMMYFUNCTION("GOOGLEFINANCE(""NSE:""&amp;B27,""price"")"),12855.0)</f>
        <v>12855</v>
      </c>
      <c r="I27" s="97">
        <v>4.0</v>
      </c>
      <c r="J27" s="11">
        <f t="shared" si="1"/>
        <v>21303.6</v>
      </c>
      <c r="K27" s="11">
        <f t="shared" si="2"/>
        <v>45332.36</v>
      </c>
      <c r="L27" s="11">
        <f t="shared" si="3"/>
        <v>0</v>
      </c>
      <c r="M27" s="100">
        <f t="shared" si="4"/>
        <v>0</v>
      </c>
      <c r="N27" s="11">
        <f>IFERROR(__xludf.DUMMYFUNCTION("IF(G27&gt;0,0,GOOGLEFINANCE(""NSE:""&amp;B27,""change""))"),0.0)</f>
        <v>0</v>
      </c>
      <c r="O27" s="11">
        <f t="shared" si="5"/>
        <v>0</v>
      </c>
      <c r="P27" s="11">
        <f t="shared" si="6"/>
        <v>2725.16</v>
      </c>
      <c r="Q27" s="100">
        <f t="shared" si="7"/>
        <v>0.1279201637</v>
      </c>
      <c r="R27" s="11"/>
      <c r="S27" s="11"/>
      <c r="T27" s="11"/>
      <c r="U27" s="11"/>
      <c r="V27" s="11"/>
      <c r="W27" s="11"/>
      <c r="X27" s="11"/>
      <c r="Y27" s="11"/>
      <c r="Z27" s="100"/>
      <c r="AA27" s="11"/>
      <c r="AC27" s="40" t="s">
        <v>133</v>
      </c>
    </row>
    <row r="28">
      <c r="A28" s="97">
        <v>28.0</v>
      </c>
      <c r="B28" s="11" t="s">
        <v>59</v>
      </c>
      <c r="C28" s="98" t="s">
        <v>97</v>
      </c>
      <c r="D28" s="99">
        <v>45236.0</v>
      </c>
      <c r="E28" s="11">
        <v>2955.0</v>
      </c>
      <c r="F28" s="99">
        <v>45288.0</v>
      </c>
      <c r="G28" s="11">
        <v>3555.95</v>
      </c>
      <c r="H28" s="10">
        <f>IFERROR(__xludf.DUMMYFUNCTION("GOOGLEFINANCE(""NSE:""&amp;B28,""price"")"),4070.0)</f>
        <v>4070</v>
      </c>
      <c r="I28" s="97">
        <v>5.0</v>
      </c>
      <c r="J28" s="11">
        <f t="shared" si="1"/>
        <v>14775</v>
      </c>
      <c r="K28" s="11">
        <f t="shared" si="2"/>
        <v>32554.75</v>
      </c>
      <c r="L28" s="11">
        <f t="shared" si="3"/>
        <v>0</v>
      </c>
      <c r="M28" s="100">
        <f t="shared" si="4"/>
        <v>0</v>
      </c>
      <c r="N28" s="11">
        <f>IFERROR(__xludf.DUMMYFUNCTION("IF(G28&gt;0,0,GOOGLEFINANCE(""NSE:""&amp;B28,""change""))"),0.0)</f>
        <v>0</v>
      </c>
      <c r="O28" s="11">
        <f t="shared" si="5"/>
        <v>0</v>
      </c>
      <c r="P28" s="11">
        <f t="shared" si="6"/>
        <v>3004.75</v>
      </c>
      <c r="Q28" s="100">
        <f t="shared" si="7"/>
        <v>0.2033671743</v>
      </c>
      <c r="R28" s="11"/>
      <c r="S28" s="11"/>
      <c r="T28" s="11"/>
      <c r="U28" s="11"/>
      <c r="V28" s="11"/>
      <c r="W28" s="11"/>
      <c r="X28" s="11"/>
      <c r="Y28" s="11"/>
      <c r="Z28" s="100"/>
      <c r="AA28" s="11"/>
      <c r="AC28" s="40" t="s">
        <v>133</v>
      </c>
    </row>
    <row r="29">
      <c r="A29" s="97">
        <v>29.0</v>
      </c>
      <c r="B29" s="11"/>
      <c r="C29" s="98"/>
      <c r="D29" s="99"/>
      <c r="E29" s="11"/>
      <c r="F29" s="99"/>
      <c r="G29" s="11"/>
      <c r="H29" s="10"/>
      <c r="I29" s="97"/>
      <c r="J29" s="11"/>
      <c r="K29" s="11"/>
      <c r="L29" s="11"/>
      <c r="M29" s="100"/>
      <c r="N29" s="11"/>
      <c r="O29" s="11"/>
      <c r="P29" s="11"/>
      <c r="Q29" s="100"/>
      <c r="R29" s="11"/>
      <c r="S29" s="11"/>
      <c r="T29" s="11"/>
      <c r="U29" s="11"/>
      <c r="V29" s="11"/>
      <c r="W29" s="11"/>
      <c r="X29" s="11"/>
      <c r="Y29" s="11"/>
      <c r="Z29" s="100"/>
      <c r="AA29" s="11"/>
    </row>
    <row r="30">
      <c r="A30" s="97">
        <v>30.0</v>
      </c>
      <c r="B30" s="11"/>
      <c r="C30" s="98"/>
      <c r="D30" s="99"/>
      <c r="E30" s="11"/>
      <c r="F30" s="99"/>
      <c r="G30" s="11"/>
      <c r="H30" s="10"/>
      <c r="I30" s="97"/>
      <c r="J30" s="11"/>
      <c r="K30" s="11"/>
      <c r="L30" s="11"/>
      <c r="M30" s="100"/>
      <c r="N30" s="11"/>
      <c r="O30" s="11"/>
      <c r="P30" s="11"/>
      <c r="Q30" s="100"/>
      <c r="R30" s="11"/>
      <c r="S30" s="11"/>
      <c r="T30" s="11"/>
      <c r="U30" s="11"/>
      <c r="V30" s="11"/>
      <c r="W30" s="11"/>
      <c r="X30" s="11"/>
      <c r="Y30" s="11"/>
      <c r="Z30" s="100"/>
      <c r="AA30" s="11"/>
      <c r="AM30" s="9"/>
      <c r="AN30" s="9"/>
      <c r="AO30" s="9"/>
    </row>
    <row r="31">
      <c r="A31" s="97">
        <v>31.0</v>
      </c>
      <c r="B31" s="11"/>
      <c r="C31" s="98"/>
      <c r="D31" s="99"/>
      <c r="E31" s="11"/>
      <c r="F31" s="99"/>
      <c r="G31" s="11"/>
      <c r="H31" s="10"/>
      <c r="I31" s="97"/>
      <c r="J31" s="11"/>
      <c r="K31" s="11"/>
      <c r="L31" s="11"/>
      <c r="M31" s="100"/>
      <c r="N31" s="11"/>
      <c r="O31" s="11"/>
      <c r="P31" s="11"/>
      <c r="Q31" s="100"/>
      <c r="R31" s="11"/>
      <c r="S31" s="11"/>
      <c r="T31" s="11"/>
      <c r="U31" s="11"/>
      <c r="V31" s="11"/>
      <c r="W31" s="11"/>
      <c r="X31" s="11"/>
      <c r="Y31" s="11"/>
      <c r="Z31" s="100"/>
      <c r="AA31" s="11"/>
      <c r="AM31" s="9"/>
      <c r="AN31" s="9"/>
      <c r="AO31" s="9"/>
    </row>
    <row r="32">
      <c r="A32" s="97">
        <v>32.0</v>
      </c>
      <c r="B32" s="11"/>
      <c r="C32" s="98"/>
      <c r="D32" s="99"/>
      <c r="E32" s="11"/>
      <c r="F32" s="99"/>
      <c r="G32" s="11"/>
      <c r="H32" s="10"/>
      <c r="I32" s="97"/>
      <c r="J32" s="11"/>
      <c r="K32" s="11"/>
      <c r="L32" s="11"/>
      <c r="M32" s="100"/>
      <c r="N32" s="11"/>
      <c r="O32" s="11"/>
      <c r="P32" s="11"/>
      <c r="Q32" s="100"/>
      <c r="R32" s="11"/>
      <c r="S32" s="11"/>
      <c r="T32" s="11"/>
      <c r="U32" s="11"/>
      <c r="V32" s="11"/>
      <c r="W32" s="11"/>
      <c r="X32" s="11"/>
      <c r="Y32" s="11"/>
      <c r="Z32" s="100"/>
      <c r="AA32" s="11"/>
    </row>
    <row r="33">
      <c r="A33" s="97">
        <v>33.0</v>
      </c>
      <c r="B33" s="11"/>
      <c r="C33" s="98"/>
      <c r="D33" s="99"/>
      <c r="E33" s="11"/>
      <c r="F33" s="99"/>
      <c r="G33" s="11"/>
      <c r="H33" s="10"/>
      <c r="I33" s="97"/>
      <c r="J33" s="11"/>
      <c r="K33" s="11"/>
      <c r="L33" s="11"/>
      <c r="M33" s="100"/>
      <c r="N33" s="11"/>
      <c r="O33" s="11"/>
      <c r="P33" s="11"/>
      <c r="Q33" s="100"/>
    </row>
    <row r="34">
      <c r="A34" s="97">
        <v>34.0</v>
      </c>
      <c r="B34" s="11"/>
      <c r="C34" s="98"/>
      <c r="D34" s="99"/>
      <c r="E34" s="11"/>
      <c r="F34" s="99"/>
      <c r="G34" s="11"/>
      <c r="H34" s="10"/>
      <c r="I34" s="97"/>
      <c r="J34" s="11"/>
      <c r="K34" s="11"/>
      <c r="L34" s="11"/>
      <c r="M34" s="100"/>
      <c r="N34" s="11"/>
      <c r="O34" s="11"/>
      <c r="P34" s="11"/>
      <c r="Q34" s="100"/>
      <c r="R34" s="11"/>
      <c r="S34" s="11"/>
      <c r="T34" s="11"/>
      <c r="U34" s="11"/>
      <c r="V34" s="11"/>
      <c r="W34" s="11"/>
      <c r="X34" s="11"/>
      <c r="Y34" s="11"/>
      <c r="Z34" s="100"/>
      <c r="AA34" s="11"/>
    </row>
    <row r="35">
      <c r="A35" s="97">
        <v>35.0</v>
      </c>
      <c r="B35" s="11"/>
      <c r="C35" s="98"/>
      <c r="D35" s="99"/>
      <c r="E35" s="11"/>
      <c r="F35" s="99"/>
      <c r="G35" s="11"/>
      <c r="H35" s="10"/>
      <c r="I35" s="97"/>
      <c r="J35" s="11"/>
      <c r="K35" s="11"/>
      <c r="L35" s="11"/>
      <c r="M35" s="100"/>
      <c r="N35" s="11"/>
      <c r="O35" s="11"/>
      <c r="P35" s="11"/>
      <c r="Q35" s="100"/>
      <c r="R35" s="11"/>
      <c r="S35" s="11"/>
      <c r="T35" s="11"/>
      <c r="U35" s="11"/>
      <c r="V35" s="11"/>
      <c r="W35" s="11"/>
      <c r="X35" s="11"/>
      <c r="Y35" s="11"/>
      <c r="Z35" s="100"/>
      <c r="AA35" s="11"/>
    </row>
    <row r="36">
      <c r="A36" s="97">
        <v>36.0</v>
      </c>
      <c r="B36" s="11"/>
      <c r="C36" s="98"/>
      <c r="D36" s="99"/>
      <c r="E36" s="11"/>
      <c r="F36" s="99"/>
      <c r="G36" s="11"/>
      <c r="H36" s="10"/>
      <c r="I36" s="97"/>
      <c r="J36" s="11"/>
      <c r="K36" s="11"/>
      <c r="L36" s="11"/>
      <c r="M36" s="100"/>
      <c r="N36" s="11"/>
      <c r="O36" s="11"/>
      <c r="P36" s="11"/>
      <c r="Q36" s="100"/>
      <c r="R36" s="11"/>
      <c r="S36" s="11"/>
      <c r="T36" s="11"/>
      <c r="U36" s="11"/>
      <c r="V36" s="11"/>
      <c r="W36" s="11"/>
      <c r="X36" s="11"/>
      <c r="Y36" s="11"/>
      <c r="Z36" s="100"/>
      <c r="AA36" s="11"/>
    </row>
    <row r="37">
      <c r="A37" s="97">
        <v>37.0</v>
      </c>
      <c r="B37" s="11"/>
      <c r="C37" s="98"/>
      <c r="D37" s="99"/>
      <c r="E37" s="11"/>
      <c r="F37" s="99"/>
      <c r="G37" s="11"/>
      <c r="H37" s="10"/>
      <c r="I37" s="97"/>
      <c r="J37" s="11"/>
      <c r="K37" s="11"/>
      <c r="L37" s="11"/>
      <c r="M37" s="100"/>
      <c r="N37" s="11"/>
      <c r="O37" s="11"/>
      <c r="P37" s="11"/>
      <c r="Q37" s="100"/>
      <c r="R37" s="11"/>
      <c r="S37" s="11"/>
      <c r="T37" s="11"/>
      <c r="U37" s="11"/>
      <c r="V37" s="11"/>
      <c r="W37" s="11"/>
      <c r="X37" s="11"/>
      <c r="Y37" s="11"/>
      <c r="Z37" s="100"/>
      <c r="AA37" s="11"/>
    </row>
    <row r="38">
      <c r="A38" s="97">
        <v>38.0</v>
      </c>
      <c r="B38" s="11"/>
      <c r="C38" s="98"/>
      <c r="D38" s="99"/>
      <c r="E38" s="11"/>
      <c r="F38" s="99"/>
      <c r="G38" s="11"/>
      <c r="H38" s="10"/>
      <c r="I38" s="97"/>
      <c r="J38" s="11"/>
      <c r="K38" s="11"/>
      <c r="L38" s="11"/>
      <c r="M38" s="100"/>
      <c r="N38" s="11"/>
      <c r="O38" s="11"/>
      <c r="P38" s="11"/>
      <c r="Q38" s="100"/>
      <c r="R38" s="11"/>
      <c r="S38" s="11"/>
      <c r="T38" s="11"/>
      <c r="U38" s="11"/>
      <c r="V38" s="11"/>
      <c r="W38" s="11"/>
      <c r="X38" s="11"/>
      <c r="Y38" s="11"/>
      <c r="Z38" s="100"/>
      <c r="AA38" s="11"/>
    </row>
    <row r="39">
      <c r="A39" s="97">
        <v>39.0</v>
      </c>
      <c r="B39" s="11"/>
      <c r="C39" s="98"/>
      <c r="D39" s="99"/>
      <c r="E39" s="11"/>
      <c r="F39" s="99"/>
      <c r="G39" s="11"/>
      <c r="H39" s="10"/>
      <c r="I39" s="97"/>
      <c r="J39" s="11"/>
      <c r="K39" s="11"/>
      <c r="L39" s="11"/>
      <c r="M39" s="100"/>
      <c r="N39" s="11"/>
      <c r="O39" s="11"/>
      <c r="P39" s="11"/>
      <c r="Q39" s="100"/>
      <c r="R39" s="11"/>
      <c r="S39" s="11"/>
      <c r="T39" s="11"/>
      <c r="U39" s="11"/>
      <c r="V39" s="11"/>
      <c r="W39" s="11"/>
      <c r="X39" s="11"/>
      <c r="Y39" s="11"/>
      <c r="Z39" s="100"/>
      <c r="AA39" s="11"/>
    </row>
    <row r="40">
      <c r="A40" s="97">
        <v>40.0</v>
      </c>
      <c r="B40" s="11"/>
      <c r="C40" s="98"/>
      <c r="D40" s="99"/>
      <c r="E40" s="11"/>
      <c r="F40" s="99"/>
      <c r="G40" s="11"/>
      <c r="H40" s="10"/>
      <c r="I40" s="97"/>
      <c r="J40" s="11"/>
      <c r="K40" s="11"/>
      <c r="L40" s="11"/>
      <c r="M40" s="100"/>
      <c r="N40" s="11"/>
      <c r="O40" s="11"/>
      <c r="P40" s="11"/>
      <c r="Q40" s="100"/>
      <c r="R40" s="11"/>
      <c r="S40" s="11"/>
      <c r="T40" s="11"/>
      <c r="U40" s="11"/>
      <c r="V40" s="11"/>
      <c r="W40" s="11"/>
      <c r="X40" s="11"/>
      <c r="Y40" s="11"/>
      <c r="Z40" s="100"/>
      <c r="AA40" s="11"/>
    </row>
    <row r="41">
      <c r="A41" s="97">
        <v>41.0</v>
      </c>
      <c r="B41" s="11"/>
      <c r="C41" s="98"/>
      <c r="D41" s="99"/>
      <c r="E41" s="11"/>
      <c r="F41" s="99"/>
      <c r="G41" s="11"/>
      <c r="H41" s="10"/>
      <c r="I41" s="97"/>
      <c r="J41" s="11"/>
      <c r="K41" s="11"/>
      <c r="L41" s="11"/>
      <c r="M41" s="100"/>
      <c r="N41" s="11"/>
      <c r="O41" s="11"/>
      <c r="P41" s="11"/>
      <c r="Q41" s="100"/>
      <c r="R41" s="11"/>
      <c r="S41" s="11"/>
      <c r="T41" s="11"/>
      <c r="U41" s="11"/>
      <c r="V41" s="11"/>
      <c r="W41" s="11"/>
      <c r="X41" s="11"/>
      <c r="Y41" s="11"/>
      <c r="Z41" s="100"/>
      <c r="AA41" s="11"/>
    </row>
    <row r="42">
      <c r="A42" s="97">
        <v>42.0</v>
      </c>
      <c r="B42" s="11"/>
      <c r="C42" s="98"/>
      <c r="D42" s="99"/>
      <c r="E42" s="11"/>
      <c r="F42" s="99"/>
      <c r="G42" s="11"/>
      <c r="H42" s="10"/>
      <c r="I42" s="97"/>
      <c r="J42" s="11"/>
      <c r="K42" s="11"/>
      <c r="L42" s="11"/>
      <c r="M42" s="100"/>
      <c r="N42" s="11"/>
      <c r="O42" s="11"/>
      <c r="P42" s="11"/>
      <c r="Q42" s="100"/>
      <c r="R42" s="11"/>
      <c r="S42" s="11"/>
      <c r="T42" s="11"/>
      <c r="U42" s="11"/>
      <c r="V42" s="11"/>
      <c r="W42" s="11"/>
      <c r="X42" s="11"/>
      <c r="Y42" s="11"/>
      <c r="Z42" s="100"/>
      <c r="AA42" s="11"/>
    </row>
    <row r="43">
      <c r="A43" s="97">
        <v>43.0</v>
      </c>
      <c r="B43" s="11"/>
      <c r="C43" s="98"/>
      <c r="D43" s="99"/>
      <c r="E43" s="11"/>
      <c r="F43" s="97"/>
      <c r="G43" s="11"/>
      <c r="H43" s="10"/>
      <c r="I43" s="97"/>
      <c r="J43" s="11"/>
      <c r="K43" s="11"/>
      <c r="L43" s="11"/>
      <c r="M43" s="100"/>
      <c r="N43" s="11"/>
      <c r="O43" s="11"/>
      <c r="P43" s="11"/>
      <c r="Q43" s="100"/>
      <c r="R43" s="11"/>
      <c r="S43" s="11"/>
      <c r="T43" s="11"/>
      <c r="U43" s="11"/>
      <c r="V43" s="11"/>
      <c r="W43" s="11"/>
      <c r="X43" s="11"/>
      <c r="Y43" s="11"/>
      <c r="Z43" s="100"/>
      <c r="AA43" s="11"/>
    </row>
    <row r="44">
      <c r="A44" s="97">
        <v>44.0</v>
      </c>
      <c r="B44" s="11"/>
      <c r="C44" s="98"/>
      <c r="D44" s="99"/>
      <c r="E44" s="11"/>
      <c r="F44" s="99"/>
      <c r="G44" s="11"/>
      <c r="H44" s="10"/>
      <c r="I44" s="97"/>
      <c r="J44" s="11"/>
      <c r="K44" s="11"/>
      <c r="L44" s="11"/>
      <c r="M44" s="100"/>
      <c r="N44" s="11"/>
      <c r="O44" s="11"/>
      <c r="P44" s="11"/>
      <c r="Q44" s="100"/>
      <c r="R44" s="11"/>
      <c r="S44" s="11"/>
      <c r="T44" s="11"/>
      <c r="U44" s="11"/>
      <c r="V44" s="11"/>
      <c r="W44" s="11"/>
      <c r="X44" s="11"/>
      <c r="Y44" s="11"/>
      <c r="Z44" s="100"/>
      <c r="AA44" s="11"/>
    </row>
    <row r="45">
      <c r="A45" s="97">
        <v>45.0</v>
      </c>
      <c r="B45" s="11"/>
      <c r="C45" s="98"/>
      <c r="D45" s="99"/>
      <c r="E45" s="11"/>
      <c r="F45" s="99"/>
      <c r="G45" s="11"/>
      <c r="H45" s="10"/>
      <c r="I45" s="97"/>
      <c r="J45" s="11"/>
      <c r="K45" s="11"/>
      <c r="L45" s="11"/>
      <c r="M45" s="100"/>
      <c r="N45" s="11"/>
      <c r="O45" s="11"/>
      <c r="P45" s="11"/>
      <c r="Q45" s="100"/>
      <c r="R45" s="11"/>
      <c r="S45" s="11"/>
      <c r="T45" s="11"/>
      <c r="U45" s="11"/>
      <c r="V45" s="11"/>
      <c r="W45" s="11"/>
      <c r="X45" s="11"/>
      <c r="Y45" s="11"/>
      <c r="Z45" s="100"/>
      <c r="AA45" s="11"/>
    </row>
    <row r="46">
      <c r="A46" s="97">
        <v>46.0</v>
      </c>
      <c r="B46" s="11"/>
      <c r="C46" s="98"/>
      <c r="D46" s="99"/>
      <c r="E46" s="11"/>
      <c r="F46" s="99"/>
      <c r="G46" s="11"/>
      <c r="H46" s="10"/>
      <c r="I46" s="97"/>
      <c r="J46" s="11"/>
      <c r="K46" s="11"/>
      <c r="L46" s="11"/>
      <c r="M46" s="100"/>
      <c r="N46" s="11"/>
      <c r="O46" s="11"/>
      <c r="P46" s="11"/>
      <c r="Q46" s="100"/>
      <c r="R46" s="11"/>
      <c r="S46" s="11"/>
      <c r="T46" s="11"/>
      <c r="U46" s="11"/>
      <c r="V46" s="11"/>
      <c r="W46" s="11"/>
      <c r="X46" s="11"/>
      <c r="Y46" s="11"/>
      <c r="Z46" s="100"/>
      <c r="AA46" s="11"/>
    </row>
    <row r="47">
      <c r="A47" s="97">
        <v>47.0</v>
      </c>
      <c r="B47" s="11"/>
      <c r="C47" s="98"/>
      <c r="D47" s="99"/>
      <c r="E47" s="11"/>
      <c r="F47" s="99"/>
      <c r="G47" s="11"/>
      <c r="H47" s="10"/>
      <c r="I47" s="97"/>
      <c r="J47" s="11"/>
      <c r="K47" s="11"/>
      <c r="L47" s="11"/>
      <c r="M47" s="100"/>
      <c r="N47" s="11"/>
      <c r="O47" s="11"/>
      <c r="P47" s="11"/>
      <c r="Q47" s="100"/>
      <c r="R47" s="11"/>
      <c r="S47" s="11"/>
      <c r="T47" s="11"/>
      <c r="U47" s="11"/>
      <c r="V47" s="11"/>
      <c r="W47" s="11"/>
      <c r="X47" s="11"/>
      <c r="Y47" s="11"/>
      <c r="Z47" s="100"/>
      <c r="AA47" s="11"/>
    </row>
    <row r="48">
      <c r="A48" s="97">
        <v>48.0</v>
      </c>
      <c r="B48" s="11"/>
      <c r="C48" s="98"/>
      <c r="D48" s="99"/>
      <c r="E48" s="11"/>
      <c r="F48" s="99"/>
      <c r="G48" s="11"/>
      <c r="H48" s="10"/>
      <c r="I48" s="97"/>
      <c r="J48" s="11"/>
      <c r="K48" s="11"/>
      <c r="L48" s="11"/>
      <c r="M48" s="100"/>
      <c r="N48" s="11"/>
      <c r="O48" s="11"/>
      <c r="P48" s="11"/>
      <c r="Q48" s="100"/>
      <c r="R48" s="11"/>
      <c r="S48" s="11"/>
      <c r="T48" s="11"/>
      <c r="U48" s="11"/>
      <c r="V48" s="11"/>
      <c r="W48" s="11"/>
      <c r="X48" s="11"/>
      <c r="Y48" s="11"/>
      <c r="Z48" s="100"/>
      <c r="AA48" s="11"/>
    </row>
    <row r="49">
      <c r="A49" s="97">
        <v>49.0</v>
      </c>
      <c r="B49" s="11"/>
      <c r="C49" s="98"/>
      <c r="D49" s="99"/>
      <c r="E49" s="11"/>
      <c r="F49" s="99"/>
      <c r="G49" s="11"/>
      <c r="H49" s="10"/>
      <c r="I49" s="97"/>
      <c r="J49" s="11"/>
      <c r="K49" s="11"/>
      <c r="L49" s="11"/>
      <c r="M49" s="100"/>
      <c r="N49" s="11"/>
      <c r="O49" s="11"/>
      <c r="P49" s="11"/>
      <c r="Q49" s="100"/>
      <c r="R49" s="11"/>
      <c r="S49" s="11"/>
      <c r="T49" s="11"/>
      <c r="U49" s="11"/>
      <c r="V49" s="11"/>
      <c r="W49" s="11"/>
      <c r="X49" s="11"/>
      <c r="Y49" s="11"/>
      <c r="Z49" s="100"/>
      <c r="AA49" s="11"/>
    </row>
    <row r="50">
      <c r="A50" s="97">
        <v>50.0</v>
      </c>
      <c r="B50" s="11"/>
      <c r="C50" s="98"/>
      <c r="D50" s="99"/>
      <c r="E50" s="11"/>
      <c r="F50" s="97"/>
      <c r="G50" s="11"/>
      <c r="H50" s="10"/>
      <c r="I50" s="97"/>
      <c r="J50" s="11"/>
      <c r="K50" s="11"/>
      <c r="L50" s="11"/>
      <c r="M50" s="100"/>
      <c r="N50" s="11"/>
      <c r="O50" s="11"/>
      <c r="P50" s="11"/>
      <c r="Q50" s="100"/>
      <c r="R50" s="11"/>
      <c r="S50" s="11"/>
      <c r="T50" s="11"/>
      <c r="U50" s="11"/>
      <c r="V50" s="11"/>
      <c r="W50" s="11"/>
      <c r="X50" s="11"/>
      <c r="Y50" s="11"/>
      <c r="Z50" s="100"/>
      <c r="AA50" s="11"/>
    </row>
    <row r="51">
      <c r="A51" s="97">
        <v>51.0</v>
      </c>
      <c r="B51" s="104"/>
      <c r="C51" s="109"/>
      <c r="D51" s="105"/>
      <c r="E51" s="104"/>
      <c r="F51" s="105"/>
      <c r="G51" s="104"/>
      <c r="H51" s="10"/>
      <c r="I51" s="106"/>
      <c r="J51" s="11"/>
      <c r="K51" s="11"/>
      <c r="L51" s="11"/>
      <c r="M51" s="100"/>
      <c r="N51" s="11"/>
      <c r="O51" s="11"/>
      <c r="P51" s="11"/>
      <c r="Q51" s="100"/>
      <c r="R51" s="11"/>
      <c r="S51" s="11"/>
      <c r="T51" s="11"/>
      <c r="U51" s="11"/>
      <c r="V51" s="11"/>
      <c r="W51" s="11"/>
      <c r="X51" s="11"/>
      <c r="Y51" s="11"/>
      <c r="Z51" s="100"/>
      <c r="AA51" s="11"/>
    </row>
    <row r="52">
      <c r="A52" s="97">
        <v>52.0</v>
      </c>
      <c r="B52" s="11"/>
      <c r="C52" s="98"/>
      <c r="D52" s="99"/>
      <c r="E52" s="11"/>
      <c r="F52" s="99"/>
      <c r="G52" s="11"/>
      <c r="H52" s="10"/>
      <c r="I52" s="97"/>
      <c r="J52" s="11"/>
      <c r="K52" s="11"/>
      <c r="L52" s="11"/>
      <c r="M52" s="100"/>
      <c r="N52" s="11"/>
      <c r="O52" s="11"/>
      <c r="P52" s="11"/>
      <c r="Q52" s="100"/>
      <c r="R52" s="11"/>
      <c r="S52" s="11"/>
      <c r="T52" s="11"/>
      <c r="U52" s="11"/>
      <c r="V52" s="11"/>
      <c r="W52" s="11"/>
      <c r="X52" s="11"/>
      <c r="Y52" s="11"/>
      <c r="Z52" s="100"/>
      <c r="AA52" s="11"/>
    </row>
    <row r="53">
      <c r="A53" s="97">
        <v>53.0</v>
      </c>
      <c r="B53" s="104"/>
      <c r="C53" s="109"/>
      <c r="D53" s="105"/>
      <c r="E53" s="106"/>
      <c r="F53" s="105"/>
      <c r="G53" s="104"/>
      <c r="H53" s="10"/>
      <c r="I53" s="106"/>
      <c r="J53" s="104"/>
      <c r="K53" s="104"/>
      <c r="L53" s="104"/>
      <c r="M53" s="110"/>
      <c r="N53" s="104"/>
      <c r="O53" s="104"/>
      <c r="P53" s="104"/>
      <c r="Q53" s="110"/>
      <c r="R53" s="104"/>
      <c r="S53" s="104"/>
      <c r="T53" s="104"/>
      <c r="U53" s="104"/>
      <c r="V53" s="104"/>
      <c r="W53" s="104"/>
      <c r="X53" s="104"/>
      <c r="Y53" s="104"/>
      <c r="Z53" s="110"/>
      <c r="AA53" s="104"/>
    </row>
    <row r="54">
      <c r="A54" s="111"/>
      <c r="B54" s="112" t="s">
        <v>272</v>
      </c>
      <c r="C54" s="113"/>
      <c r="D54" s="113"/>
      <c r="E54" s="113"/>
      <c r="F54" s="113"/>
      <c r="G54" s="113"/>
      <c r="H54" s="113"/>
      <c r="I54" s="114"/>
      <c r="J54" s="115">
        <f t="array" ref="J54">SUM(INDIRECT("J2"&amp; ":J" &amp; ROW()-1) )</f>
        <v>270718.55</v>
      </c>
      <c r="K54" s="115">
        <f t="array" ref="K54">SUM(INDIRECT("K2"&amp; ":K" &amp; ROW()-1) )</f>
        <v>522805.27</v>
      </c>
      <c r="L54" s="115">
        <f t="array" ref="L54">SUM( INDIRECT("L2"&amp; ":L" &amp; ROW()-1) )</f>
        <v>-2251.35</v>
      </c>
      <c r="M54" s="116">
        <f>L54/AE2</f>
        <v>-0.0608472973</v>
      </c>
      <c r="N54" s="117"/>
      <c r="O54" s="117">
        <f>SUM(O2:O22)</f>
        <v>-35.35</v>
      </c>
      <c r="P54" s="117">
        <f t="array" ref="P54">SUM(INDIRECT("P2"&amp; ":P" &amp; ROW()-1) )</f>
        <v>8782.02</v>
      </c>
      <c r="Q54" s="116">
        <f>P54/AE2</f>
        <v>0.2373518919</v>
      </c>
      <c r="R54" s="115">
        <f t="array" ref="R54">SUM(INDIRECT("P2"&amp; ":P" &amp; ROW()-1) )</f>
        <v>8782.02</v>
      </c>
      <c r="S54" s="116">
        <f t="array" ref="S54">SUM(INDIRECT("Q2"&amp; ":Q" &amp; ROW()-1) )</f>
        <v>1.376766452</v>
      </c>
      <c r="T54" s="118" t="str">
        <f t="array" ref="T54">SUM(INDIRECT("R2"&amp; ":R" &amp; ROW()-1) )</f>
        <v>#REF!</v>
      </c>
      <c r="U54" s="118" t="str">
        <f t="array" ref="U54">SUM(INDIRECT("S2"&amp; ":S" &amp; ROW()-1) )</f>
        <v>#REF!</v>
      </c>
      <c r="V54" s="118" t="str">
        <f t="array" ref="V54">SUM(INDIRECT("T2"&amp; ":T" &amp; ROW()-1) )</f>
        <v>#REF!</v>
      </c>
      <c r="W54" s="118" t="str">
        <f t="array" ref="W54">SUM(INDIRECT("U2"&amp; ":U" &amp; ROW()-1) )</f>
        <v>#REF!</v>
      </c>
      <c r="X54" s="119" t="str">
        <f t="array" ref="X54">SUM(INDIRECT("V2"&amp; ":V" &amp; ROW()-1) )</f>
        <v>#REF!</v>
      </c>
      <c r="Y54" s="115" t="str">
        <f t="array" ref="Y54">SUM(INDIRECT("W2"&amp; ":W" &amp; ROW()-1) )</f>
        <v>#REF!</v>
      </c>
      <c r="Z54" s="116" t="str">
        <f>Y54/AE2</f>
        <v>#REF!</v>
      </c>
      <c r="AA54" s="118" t="str">
        <f t="array" ref="AA54">AE2+SUM(INDIRECT("W2"&amp; ":W" &amp; ROW()-1) )-X54+Y54</f>
        <v>#REF!</v>
      </c>
    </row>
  </sheetData>
  <mergeCells count="1">
    <mergeCell ref="B54:I54"/>
  </mergeCells>
  <conditionalFormatting sqref="L2:Q54 Y2:Z54 AM3:AO31 AE4:AE6 AE8:AE16 AF12">
    <cfRule type="cellIs" dxfId="0" priority="1" operator="lessThan">
      <formula>0</formula>
    </cfRule>
  </conditionalFormatting>
  <conditionalFormatting sqref="L2:Q54 Y2:Z54 AM3:AO31 AE4:AE6 AE8:AE16 AF12">
    <cfRule type="cellIs" dxfId="1" priority="2" operator="greaterThan">
      <formula>0</formula>
    </cfRule>
  </conditionalFormatting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3" max="3" width="9.5"/>
    <col customWidth="1" min="4" max="4" width="10.88"/>
    <col customWidth="1" min="5" max="5" width="8.38"/>
    <col customWidth="1" min="6" max="6" width="10.5"/>
    <col customWidth="1" min="7" max="8" width="8.38"/>
    <col customWidth="1" min="9" max="9" width="4.38"/>
    <col customWidth="1" min="10" max="11" width="10.25"/>
    <col customWidth="1" min="12" max="12" width="11.88"/>
    <col customWidth="1" min="13" max="13" width="9.13"/>
    <col customWidth="1" min="15" max="15" width="7.13"/>
    <col customWidth="1" min="16" max="16" width="7.0"/>
    <col customWidth="1" min="17" max="17" width="9.75"/>
    <col customWidth="1" min="18" max="18" width="5.13"/>
    <col customWidth="1" min="19" max="19" width="11.25"/>
    <col customWidth="1" min="20" max="20" width="8.0"/>
    <col customWidth="1" min="21" max="21" width="10.13"/>
    <col customWidth="1" min="22" max="22" width="11.25"/>
    <col customWidth="1" min="23" max="23" width="9.38"/>
    <col customWidth="1" min="24" max="24" width="8.5"/>
    <col customWidth="1" min="26" max="26" width="7.13"/>
    <col customWidth="1" min="27" max="27" width="17.88"/>
  </cols>
  <sheetData>
    <row r="1">
      <c r="A1" s="94" t="s">
        <v>241</v>
      </c>
      <c r="B1" s="94" t="s">
        <v>4</v>
      </c>
      <c r="C1" s="94" t="s">
        <v>73</v>
      </c>
      <c r="D1" s="94" t="s">
        <v>74</v>
      </c>
      <c r="E1" s="94" t="s">
        <v>75</v>
      </c>
      <c r="F1" s="94" t="s">
        <v>76</v>
      </c>
      <c r="G1" s="94" t="s">
        <v>77</v>
      </c>
      <c r="H1" s="94" t="s">
        <v>78</v>
      </c>
      <c r="I1" s="94" t="s">
        <v>79</v>
      </c>
      <c r="J1" s="94" t="s">
        <v>80</v>
      </c>
      <c r="K1" s="94" t="s">
        <v>81</v>
      </c>
      <c r="L1" s="94" t="s">
        <v>6</v>
      </c>
      <c r="M1" s="94" t="s">
        <v>82</v>
      </c>
      <c r="N1" s="94" t="s">
        <v>5</v>
      </c>
      <c r="O1" s="94" t="s">
        <v>85</v>
      </c>
      <c r="P1" s="94" t="s">
        <v>86</v>
      </c>
      <c r="Q1" s="94" t="s">
        <v>87</v>
      </c>
      <c r="R1" s="94" t="s">
        <v>88</v>
      </c>
      <c r="S1" s="94" t="s">
        <v>89</v>
      </c>
      <c r="T1" s="94" t="s">
        <v>90</v>
      </c>
      <c r="U1" s="94" t="s">
        <v>91</v>
      </c>
      <c r="V1" s="94" t="s">
        <v>92</v>
      </c>
      <c r="W1" s="94" t="s">
        <v>93</v>
      </c>
      <c r="X1" s="94" t="s">
        <v>94</v>
      </c>
      <c r="Y1" s="95" t="s">
        <v>95</v>
      </c>
      <c r="Z1" s="20"/>
      <c r="AA1" s="21"/>
    </row>
    <row r="2">
      <c r="A2" s="97">
        <v>1.0</v>
      </c>
      <c r="B2" s="11" t="s">
        <v>51</v>
      </c>
      <c r="C2" s="98" t="s">
        <v>273</v>
      </c>
      <c r="D2" s="99">
        <v>44565.0</v>
      </c>
      <c r="E2" s="11">
        <v>714.25</v>
      </c>
      <c r="F2" s="99"/>
      <c r="G2" s="11">
        <v>0.0</v>
      </c>
      <c r="H2" s="10">
        <f>IFERROR(__xludf.DUMMYFUNCTION("GOOGLEFINANCE(""NSE:""&amp;B2,""price"")"),271.3)</f>
        <v>271.3</v>
      </c>
      <c r="I2" s="97">
        <v>18.0</v>
      </c>
      <c r="J2" s="11">
        <f t="shared" ref="J2:J27" si="1">E2*I2</f>
        <v>12856.5</v>
      </c>
      <c r="K2" s="11">
        <f t="shared" ref="K2:K27" si="2">IF(G2&gt;0,(E2+G2)*I2,E2*I2)</f>
        <v>12856.5</v>
      </c>
      <c r="L2" s="11">
        <f t="shared" ref="L2:L27" si="3">IF(G2&gt;0,0,(H2-E2)*I2)</f>
        <v>-7973.1</v>
      </c>
      <c r="M2" s="100">
        <f t="shared" ref="M2:M27" si="4">IF(G2&gt;0,0,(H2-E2)/E2)</f>
        <v>-0.6201610081</v>
      </c>
      <c r="N2" s="11">
        <f t="shared" ref="N2:N27" si="5">IF(G2=0,0,(G2-E2)*I2)</f>
        <v>0</v>
      </c>
      <c r="O2" s="100">
        <f t="shared" ref="O2:O27" si="6">IF(G2&gt;0,(G2-E2)/E2,0)</f>
        <v>0</v>
      </c>
      <c r="P2" s="11">
        <f t="shared" ref="P2:P27" si="7">0.001*K2</f>
        <v>12.8565</v>
      </c>
      <c r="Q2" s="11">
        <f t="shared" ref="Q2:Q27" si="8">0.0000325*K2</f>
        <v>0.41783625</v>
      </c>
      <c r="R2" s="11">
        <f t="shared" ref="R2:R27" si="9">0.18*Q2</f>
        <v>0.075210525</v>
      </c>
      <c r="S2" s="101">
        <f t="shared" ref="S2:S27" si="10">0.0000005*K2</f>
        <v>0.00642825</v>
      </c>
      <c r="T2" s="11">
        <f t="shared" ref="T2:T27" si="11">P2+Q2+R2+S2</f>
        <v>13.35597503</v>
      </c>
      <c r="U2" s="11">
        <f t="shared" ref="U2:U6" si="12">IF(G2&gt;0,15.34,0)</f>
        <v>0</v>
      </c>
      <c r="V2" s="11">
        <f t="shared" ref="V2:V27" si="13">T2+U2</f>
        <v>13.35597503</v>
      </c>
      <c r="W2" s="11">
        <f t="shared" ref="W2:W27" si="14">IF(G2&gt;0,N2-V2,0)</f>
        <v>0</v>
      </c>
      <c r="X2" s="100">
        <f t="shared" ref="X2:X27" si="15">W2/J2</f>
        <v>0</v>
      </c>
      <c r="Y2" s="102">
        <f>sum($AB$2,W2)</f>
        <v>109000</v>
      </c>
      <c r="Z2" s="31"/>
      <c r="AA2" s="32" t="s">
        <v>98</v>
      </c>
      <c r="AB2" s="33">
        <v>109000.0</v>
      </c>
    </row>
    <row r="3">
      <c r="A3" s="97">
        <v>2.0</v>
      </c>
      <c r="B3" s="11" t="s">
        <v>138</v>
      </c>
      <c r="C3" s="97" t="s">
        <v>273</v>
      </c>
      <c r="D3" s="99">
        <v>44565.0</v>
      </c>
      <c r="E3" s="11">
        <v>1669.0</v>
      </c>
      <c r="F3" s="99">
        <v>44572.0</v>
      </c>
      <c r="G3" s="11">
        <v>1853.85</v>
      </c>
      <c r="H3" s="10">
        <f>IFERROR(__xludf.DUMMYFUNCTION("GOOGLEFINANCE(""NSE:""&amp;B3,""price"")"),2823.1)</f>
        <v>2823.1</v>
      </c>
      <c r="I3" s="97">
        <v>7.0</v>
      </c>
      <c r="J3" s="11">
        <f t="shared" si="1"/>
        <v>11683</v>
      </c>
      <c r="K3" s="11">
        <f t="shared" si="2"/>
        <v>24659.95</v>
      </c>
      <c r="L3" s="11">
        <f t="shared" si="3"/>
        <v>0</v>
      </c>
      <c r="M3" s="100">
        <f t="shared" si="4"/>
        <v>0</v>
      </c>
      <c r="N3" s="11">
        <f t="shared" si="5"/>
        <v>1293.95</v>
      </c>
      <c r="O3" s="100">
        <f t="shared" si="6"/>
        <v>0.1107549431</v>
      </c>
      <c r="P3" s="11">
        <f t="shared" si="7"/>
        <v>24.65995</v>
      </c>
      <c r="Q3" s="11">
        <f t="shared" si="8"/>
        <v>0.801448375</v>
      </c>
      <c r="R3" s="11">
        <f t="shared" si="9"/>
        <v>0.1442607075</v>
      </c>
      <c r="S3" s="11">
        <f t="shared" si="10"/>
        <v>0.012329975</v>
      </c>
      <c r="T3" s="11">
        <f t="shared" si="11"/>
        <v>25.61798906</v>
      </c>
      <c r="U3" s="11">
        <f t="shared" si="12"/>
        <v>15.34</v>
      </c>
      <c r="V3" s="11">
        <f t="shared" si="13"/>
        <v>40.95798906</v>
      </c>
      <c r="W3" s="11">
        <f t="shared" si="14"/>
        <v>1252.992011</v>
      </c>
      <c r="X3" s="100">
        <f t="shared" si="15"/>
        <v>0.1072491664</v>
      </c>
      <c r="Y3" s="102">
        <f t="shared" ref="Y3:Y6" si="16">sum(Y2,W3)</f>
        <v>110252.992</v>
      </c>
      <c r="Z3" s="31"/>
      <c r="AA3" s="32" t="s">
        <v>99</v>
      </c>
      <c r="AB3" s="33">
        <f>AB2+W28</f>
        <v>119538.0176</v>
      </c>
    </row>
    <row r="4">
      <c r="A4" s="97">
        <v>3.0</v>
      </c>
      <c r="B4" s="97" t="s">
        <v>274</v>
      </c>
      <c r="C4" s="97" t="s">
        <v>273</v>
      </c>
      <c r="D4" s="99">
        <v>44565.0</v>
      </c>
      <c r="E4" s="11">
        <v>2645.75</v>
      </c>
      <c r="F4" s="99">
        <v>44903.0</v>
      </c>
      <c r="G4" s="11">
        <v>2652.03</v>
      </c>
      <c r="H4" s="10" t="str">
        <f>IFERROR(__xludf.DUMMYFUNCTION("GOOGLEFINANCE(""NSE:""&amp;B4,""price"")"),"#N/A")</f>
        <v>#N/A</v>
      </c>
      <c r="I4" s="97">
        <v>4.0</v>
      </c>
      <c r="J4" s="11">
        <f t="shared" si="1"/>
        <v>10583</v>
      </c>
      <c r="K4" s="11">
        <f t="shared" si="2"/>
        <v>21191.12</v>
      </c>
      <c r="L4" s="11">
        <f t="shared" si="3"/>
        <v>0</v>
      </c>
      <c r="M4" s="100">
        <f t="shared" si="4"/>
        <v>0</v>
      </c>
      <c r="N4" s="11">
        <f t="shared" si="5"/>
        <v>25.12</v>
      </c>
      <c r="O4" s="100">
        <f t="shared" si="6"/>
        <v>0.002373618067</v>
      </c>
      <c r="P4" s="11">
        <f t="shared" si="7"/>
        <v>21.19112</v>
      </c>
      <c r="Q4" s="11">
        <f t="shared" si="8"/>
        <v>0.6887114</v>
      </c>
      <c r="R4" s="11">
        <f t="shared" si="9"/>
        <v>0.123968052</v>
      </c>
      <c r="S4" s="11">
        <f t="shared" si="10"/>
        <v>0.01059556</v>
      </c>
      <c r="T4" s="11">
        <f t="shared" si="11"/>
        <v>22.01439501</v>
      </c>
      <c r="U4" s="11">
        <f t="shared" si="12"/>
        <v>15.34</v>
      </c>
      <c r="V4" s="11">
        <f t="shared" si="13"/>
        <v>37.35439501</v>
      </c>
      <c r="W4" s="11">
        <f t="shared" si="14"/>
        <v>-12.23439501</v>
      </c>
      <c r="X4" s="100">
        <f t="shared" si="15"/>
        <v>-0.001156042239</v>
      </c>
      <c r="Y4" s="102">
        <f t="shared" si="16"/>
        <v>110240.7576</v>
      </c>
      <c r="Z4" s="31"/>
      <c r="AA4" s="32" t="s">
        <v>100</v>
      </c>
      <c r="AB4" s="9">
        <f>AB3-AB2</f>
        <v>10538.01756</v>
      </c>
    </row>
    <row r="5">
      <c r="A5" s="97">
        <v>4.0</v>
      </c>
      <c r="B5" s="120" t="s">
        <v>68</v>
      </c>
      <c r="C5" s="121" t="s">
        <v>273</v>
      </c>
      <c r="D5" s="99">
        <v>44565.0</v>
      </c>
      <c r="E5" s="11">
        <v>225.15</v>
      </c>
      <c r="F5" s="99"/>
      <c r="G5" s="11">
        <v>0.0</v>
      </c>
      <c r="H5" s="10">
        <f>IFERROR(__xludf.DUMMYFUNCTION("GOOGLEFINANCE(""NSE:""&amp;B5,""price"")"),382.4)</f>
        <v>382.4</v>
      </c>
      <c r="I5" s="97">
        <v>22.0</v>
      </c>
      <c r="J5" s="11">
        <f t="shared" si="1"/>
        <v>4953.3</v>
      </c>
      <c r="K5" s="11">
        <f t="shared" si="2"/>
        <v>4953.3</v>
      </c>
      <c r="L5" s="11">
        <f t="shared" si="3"/>
        <v>3459.5</v>
      </c>
      <c r="M5" s="100">
        <f t="shared" si="4"/>
        <v>0.6984232734</v>
      </c>
      <c r="N5" s="11">
        <f t="shared" si="5"/>
        <v>0</v>
      </c>
      <c r="O5" s="100">
        <f t="shared" si="6"/>
        <v>0</v>
      </c>
      <c r="P5" s="11">
        <f t="shared" si="7"/>
        <v>4.9533</v>
      </c>
      <c r="Q5" s="11">
        <f t="shared" si="8"/>
        <v>0.16098225</v>
      </c>
      <c r="R5" s="11">
        <f t="shared" si="9"/>
        <v>0.028976805</v>
      </c>
      <c r="S5" s="11">
        <f t="shared" si="10"/>
        <v>0.00247665</v>
      </c>
      <c r="T5" s="11">
        <f t="shared" si="11"/>
        <v>5.145735705</v>
      </c>
      <c r="U5" s="11">
        <f t="shared" si="12"/>
        <v>0</v>
      </c>
      <c r="V5" s="11">
        <f t="shared" si="13"/>
        <v>5.145735705</v>
      </c>
      <c r="W5" s="11">
        <f t="shared" si="14"/>
        <v>0</v>
      </c>
      <c r="X5" s="100">
        <f t="shared" si="15"/>
        <v>0</v>
      </c>
      <c r="Y5" s="11">
        <f t="shared" si="16"/>
        <v>110240.7576</v>
      </c>
      <c r="Z5" s="31"/>
      <c r="AA5" s="32" t="s">
        <v>103</v>
      </c>
      <c r="AB5" s="37">
        <f>AB4/AB2</f>
        <v>0.09667906022</v>
      </c>
    </row>
    <row r="6">
      <c r="A6" s="97">
        <v>5.0</v>
      </c>
      <c r="B6" s="120" t="s">
        <v>68</v>
      </c>
      <c r="C6" s="121" t="s">
        <v>273</v>
      </c>
      <c r="D6" s="99">
        <v>44565.0</v>
      </c>
      <c r="E6" s="11">
        <v>225.15</v>
      </c>
      <c r="F6" s="99">
        <v>44657.0</v>
      </c>
      <c r="G6" s="11">
        <v>293.55</v>
      </c>
      <c r="H6" s="10">
        <f>IFERROR(__xludf.DUMMYFUNCTION("GOOGLEFINANCE(""NSE:""&amp;B6,""price"")"),382.4)</f>
        <v>382.4</v>
      </c>
      <c r="I6" s="97">
        <v>30.0</v>
      </c>
      <c r="J6" s="11">
        <f t="shared" si="1"/>
        <v>6754.5</v>
      </c>
      <c r="K6" s="11">
        <f t="shared" si="2"/>
        <v>15561</v>
      </c>
      <c r="L6" s="11">
        <f t="shared" si="3"/>
        <v>0</v>
      </c>
      <c r="M6" s="100">
        <f t="shared" si="4"/>
        <v>0</v>
      </c>
      <c r="N6" s="11">
        <f t="shared" si="5"/>
        <v>2052</v>
      </c>
      <c r="O6" s="100">
        <f t="shared" si="6"/>
        <v>0.3037974684</v>
      </c>
      <c r="P6" s="11">
        <f t="shared" si="7"/>
        <v>15.561</v>
      </c>
      <c r="Q6" s="11">
        <f t="shared" si="8"/>
        <v>0.5057325</v>
      </c>
      <c r="R6" s="11">
        <f t="shared" si="9"/>
        <v>0.09103185</v>
      </c>
      <c r="S6" s="11">
        <f t="shared" si="10"/>
        <v>0.0077805</v>
      </c>
      <c r="T6" s="11">
        <f t="shared" si="11"/>
        <v>16.16554485</v>
      </c>
      <c r="U6" s="11">
        <f t="shared" si="12"/>
        <v>15.34</v>
      </c>
      <c r="V6" s="11">
        <f t="shared" si="13"/>
        <v>31.50554485</v>
      </c>
      <c r="W6" s="11">
        <f t="shared" si="14"/>
        <v>2020.494455</v>
      </c>
      <c r="X6" s="100">
        <f t="shared" si="15"/>
        <v>0.2991330898</v>
      </c>
      <c r="Y6" s="11">
        <f t="shared" si="16"/>
        <v>112261.2521</v>
      </c>
      <c r="Z6" s="31"/>
      <c r="AA6" s="31"/>
      <c r="AB6" s="39"/>
    </row>
    <row r="7">
      <c r="A7" s="97">
        <v>6.0</v>
      </c>
      <c r="B7" s="11" t="s">
        <v>23</v>
      </c>
      <c r="C7" s="97" t="s">
        <v>153</v>
      </c>
      <c r="D7" s="99">
        <v>44565.0</v>
      </c>
      <c r="E7" s="11">
        <v>1520.0</v>
      </c>
      <c r="F7" s="99">
        <v>44574.0</v>
      </c>
      <c r="G7" s="11">
        <v>1539.1</v>
      </c>
      <c r="H7" s="10">
        <f>IFERROR(__xludf.DUMMYFUNCTION("GOOGLEFINANCE(""NSE:""&amp;B7,""price"")"),997.0)</f>
        <v>997</v>
      </c>
      <c r="I7" s="97">
        <v>10.0</v>
      </c>
      <c r="J7" s="11">
        <f t="shared" si="1"/>
        <v>15200</v>
      </c>
      <c r="K7" s="11">
        <f t="shared" si="2"/>
        <v>30591</v>
      </c>
      <c r="L7" s="11">
        <f t="shared" si="3"/>
        <v>0</v>
      </c>
      <c r="M7" s="100">
        <f t="shared" si="4"/>
        <v>0</v>
      </c>
      <c r="N7" s="11">
        <f t="shared" si="5"/>
        <v>191</v>
      </c>
      <c r="O7" s="100">
        <f t="shared" si="6"/>
        <v>0.01256578947</v>
      </c>
      <c r="P7" s="11">
        <f t="shared" si="7"/>
        <v>30.591</v>
      </c>
      <c r="Q7" s="11">
        <f t="shared" si="8"/>
        <v>0.9942075</v>
      </c>
      <c r="R7" s="11">
        <f t="shared" si="9"/>
        <v>0.17895735</v>
      </c>
      <c r="S7" s="11">
        <f t="shared" si="10"/>
        <v>0.0152955</v>
      </c>
      <c r="T7" s="11">
        <f t="shared" si="11"/>
        <v>31.77946035</v>
      </c>
      <c r="U7" s="11">
        <v>23.6</v>
      </c>
      <c r="V7" s="11">
        <f t="shared" si="13"/>
        <v>55.37946035</v>
      </c>
      <c r="W7" s="11">
        <f t="shared" si="14"/>
        <v>135.6205396</v>
      </c>
      <c r="X7" s="100">
        <f t="shared" si="15"/>
        <v>0.008922403924</v>
      </c>
      <c r="Y7" s="11">
        <f>sum(Y5,W7)</f>
        <v>110376.3782</v>
      </c>
    </row>
    <row r="8">
      <c r="A8" s="97">
        <v>7.0</v>
      </c>
      <c r="B8" s="11" t="s">
        <v>59</v>
      </c>
      <c r="C8" s="97" t="s">
        <v>153</v>
      </c>
      <c r="D8" s="99">
        <v>44565.0</v>
      </c>
      <c r="E8" s="11">
        <v>1938.0</v>
      </c>
      <c r="F8" s="99">
        <v>44574.0</v>
      </c>
      <c r="G8" s="11">
        <v>1985.3</v>
      </c>
      <c r="H8" s="10">
        <f>IFERROR(__xludf.DUMMYFUNCTION("GOOGLEFINANCE(""NSE:""&amp;B8,""price"")"),4070.0)</f>
        <v>4070</v>
      </c>
      <c r="I8" s="97">
        <v>15.0</v>
      </c>
      <c r="J8" s="11">
        <f t="shared" si="1"/>
        <v>29070</v>
      </c>
      <c r="K8" s="11">
        <f t="shared" si="2"/>
        <v>58849.5</v>
      </c>
      <c r="L8" s="11">
        <f t="shared" si="3"/>
        <v>0</v>
      </c>
      <c r="M8" s="100">
        <f t="shared" si="4"/>
        <v>0</v>
      </c>
      <c r="N8" s="11">
        <f t="shared" si="5"/>
        <v>709.5</v>
      </c>
      <c r="O8" s="100">
        <f t="shared" si="6"/>
        <v>0.02440660475</v>
      </c>
      <c r="P8" s="11">
        <f t="shared" si="7"/>
        <v>58.8495</v>
      </c>
      <c r="Q8" s="11">
        <f t="shared" si="8"/>
        <v>1.91260875</v>
      </c>
      <c r="R8" s="11">
        <f t="shared" si="9"/>
        <v>0.344269575</v>
      </c>
      <c r="S8" s="11">
        <f t="shared" si="10"/>
        <v>0.02942475</v>
      </c>
      <c r="T8" s="11">
        <f t="shared" si="11"/>
        <v>61.13580308</v>
      </c>
      <c r="U8" s="11">
        <v>23.6</v>
      </c>
      <c r="V8" s="11">
        <f t="shared" si="13"/>
        <v>84.73580308</v>
      </c>
      <c r="W8" s="11">
        <f t="shared" si="14"/>
        <v>624.7641969</v>
      </c>
      <c r="X8" s="100">
        <f t="shared" si="15"/>
        <v>0.02149171644</v>
      </c>
      <c r="Y8" s="11">
        <f t="shared" ref="Y8:Y27" si="17">sum(Y7,W8)</f>
        <v>111001.1424</v>
      </c>
    </row>
    <row r="9">
      <c r="A9" s="97">
        <v>8.0</v>
      </c>
      <c r="B9" s="11" t="s">
        <v>34</v>
      </c>
      <c r="C9" s="98" t="s">
        <v>114</v>
      </c>
      <c r="D9" s="99">
        <v>44568.0</v>
      </c>
      <c r="E9" s="11">
        <v>1293.3</v>
      </c>
      <c r="F9" s="99"/>
      <c r="G9" s="11">
        <v>0.0</v>
      </c>
      <c r="H9" s="10">
        <f>IFERROR(__xludf.DUMMYFUNCTION("GOOGLEFINANCE(""NSE:""&amp;B9,""price"")"),1674.8)</f>
        <v>1674.8</v>
      </c>
      <c r="I9" s="97">
        <v>10.0</v>
      </c>
      <c r="J9" s="11">
        <f t="shared" si="1"/>
        <v>12933</v>
      </c>
      <c r="K9" s="11">
        <f t="shared" si="2"/>
        <v>12933</v>
      </c>
      <c r="L9" s="11">
        <f t="shared" si="3"/>
        <v>3815</v>
      </c>
      <c r="M9" s="100">
        <f t="shared" si="4"/>
        <v>0.2949818294</v>
      </c>
      <c r="N9" s="11">
        <f t="shared" si="5"/>
        <v>0</v>
      </c>
      <c r="O9" s="100">
        <f t="shared" si="6"/>
        <v>0</v>
      </c>
      <c r="P9" s="11">
        <f t="shared" si="7"/>
        <v>12.933</v>
      </c>
      <c r="Q9" s="11">
        <f t="shared" si="8"/>
        <v>0.4203225</v>
      </c>
      <c r="R9" s="11">
        <f t="shared" si="9"/>
        <v>0.07565805</v>
      </c>
      <c r="S9" s="11">
        <f t="shared" si="10"/>
        <v>0.0064665</v>
      </c>
      <c r="T9" s="11">
        <f t="shared" si="11"/>
        <v>13.43544705</v>
      </c>
      <c r="U9" s="11">
        <f t="shared" ref="U9:U12" si="18">IF(G9&gt;0,16,0)</f>
        <v>0</v>
      </c>
      <c r="V9" s="11">
        <f t="shared" si="13"/>
        <v>13.43544705</v>
      </c>
      <c r="W9" s="11">
        <f t="shared" si="14"/>
        <v>0</v>
      </c>
      <c r="X9" s="100">
        <f t="shared" si="15"/>
        <v>0</v>
      </c>
      <c r="Y9" s="11">
        <f t="shared" si="17"/>
        <v>111001.1424</v>
      </c>
    </row>
    <row r="10">
      <c r="A10" s="97">
        <v>9.0</v>
      </c>
      <c r="B10" s="11" t="s">
        <v>34</v>
      </c>
      <c r="C10" s="97" t="s">
        <v>114</v>
      </c>
      <c r="D10" s="99">
        <v>44589.0</v>
      </c>
      <c r="E10" s="11">
        <v>1090.7</v>
      </c>
      <c r="F10" s="99"/>
      <c r="G10" s="11">
        <v>0.0</v>
      </c>
      <c r="H10" s="10">
        <f>IFERROR(__xludf.DUMMYFUNCTION("GOOGLEFINANCE(""NSE:""&amp;B10,""price"")"),1674.8)</f>
        <v>1674.8</v>
      </c>
      <c r="I10" s="97">
        <v>7.0</v>
      </c>
      <c r="J10" s="11">
        <f t="shared" si="1"/>
        <v>7634.9</v>
      </c>
      <c r="K10" s="11">
        <f t="shared" si="2"/>
        <v>7634.9</v>
      </c>
      <c r="L10" s="11">
        <f t="shared" si="3"/>
        <v>4088.7</v>
      </c>
      <c r="M10" s="100">
        <f t="shared" si="4"/>
        <v>0.5355276428</v>
      </c>
      <c r="N10" s="11">
        <f t="shared" si="5"/>
        <v>0</v>
      </c>
      <c r="O10" s="100">
        <f t="shared" si="6"/>
        <v>0</v>
      </c>
      <c r="P10" s="11">
        <f t="shared" si="7"/>
        <v>7.6349</v>
      </c>
      <c r="Q10" s="11">
        <f t="shared" si="8"/>
        <v>0.24813425</v>
      </c>
      <c r="R10" s="11">
        <f t="shared" si="9"/>
        <v>0.044664165</v>
      </c>
      <c r="S10" s="11">
        <f t="shared" si="10"/>
        <v>0.00381745</v>
      </c>
      <c r="T10" s="11">
        <f t="shared" si="11"/>
        <v>7.931515865</v>
      </c>
      <c r="U10" s="11">
        <f t="shared" si="18"/>
        <v>0</v>
      </c>
      <c r="V10" s="11">
        <f t="shared" si="13"/>
        <v>7.931515865</v>
      </c>
      <c r="W10" s="11">
        <f t="shared" si="14"/>
        <v>0</v>
      </c>
      <c r="X10" s="100">
        <f t="shared" si="15"/>
        <v>0</v>
      </c>
      <c r="Y10" s="11">
        <f t="shared" si="17"/>
        <v>111001.1424</v>
      </c>
    </row>
    <row r="11">
      <c r="A11" s="97">
        <v>10.0</v>
      </c>
      <c r="B11" s="11" t="s">
        <v>278</v>
      </c>
      <c r="C11" s="97" t="s">
        <v>273</v>
      </c>
      <c r="D11" s="99">
        <v>44589.0</v>
      </c>
      <c r="E11" s="11">
        <v>3741.85</v>
      </c>
      <c r="F11" s="99">
        <v>44630.0</v>
      </c>
      <c r="G11" s="11">
        <v>4107.05</v>
      </c>
      <c r="H11" s="11">
        <v>3400.0</v>
      </c>
      <c r="I11" s="97">
        <v>3.0</v>
      </c>
      <c r="J11" s="11">
        <f t="shared" si="1"/>
        <v>11225.55</v>
      </c>
      <c r="K11" s="11">
        <f t="shared" si="2"/>
        <v>23546.7</v>
      </c>
      <c r="L11" s="11">
        <f t="shared" si="3"/>
        <v>0</v>
      </c>
      <c r="M11" s="100">
        <f t="shared" si="4"/>
        <v>0</v>
      </c>
      <c r="N11" s="11">
        <f t="shared" si="5"/>
        <v>1095.6</v>
      </c>
      <c r="O11" s="100">
        <f t="shared" si="6"/>
        <v>0.09759878135</v>
      </c>
      <c r="P11" s="11">
        <f t="shared" si="7"/>
        <v>23.5467</v>
      </c>
      <c r="Q11" s="11">
        <f t="shared" si="8"/>
        <v>0.76526775</v>
      </c>
      <c r="R11" s="11">
        <f t="shared" si="9"/>
        <v>0.137748195</v>
      </c>
      <c r="S11" s="11">
        <f t="shared" si="10"/>
        <v>0.01177335</v>
      </c>
      <c r="T11" s="11">
        <f t="shared" si="11"/>
        <v>24.4614893</v>
      </c>
      <c r="U11" s="11">
        <f t="shared" si="18"/>
        <v>16</v>
      </c>
      <c r="V11" s="11">
        <f t="shared" si="13"/>
        <v>40.4614893</v>
      </c>
      <c r="W11" s="11">
        <f t="shared" si="14"/>
        <v>1055.138511</v>
      </c>
      <c r="X11" s="100">
        <f t="shared" si="15"/>
        <v>0.09399437094</v>
      </c>
      <c r="Y11" s="11">
        <f t="shared" si="17"/>
        <v>112056.2809</v>
      </c>
    </row>
    <row r="12">
      <c r="A12" s="97">
        <v>11.0</v>
      </c>
      <c r="B12" s="104" t="s">
        <v>280</v>
      </c>
      <c r="C12" s="109" t="s">
        <v>153</v>
      </c>
      <c r="D12" s="105">
        <v>44600.0</v>
      </c>
      <c r="E12" s="11">
        <v>230.0</v>
      </c>
      <c r="F12" s="105">
        <v>44600.0</v>
      </c>
      <c r="G12" s="104">
        <v>248.0</v>
      </c>
      <c r="H12" s="10">
        <f>IFERROR(__xludf.DUMMYFUNCTION("GOOGLEFINANCE(""NSE:""&amp;B12,""price"")"),238.85)</f>
        <v>238.85</v>
      </c>
      <c r="I12" s="106">
        <v>65.0</v>
      </c>
      <c r="J12" s="11">
        <f t="shared" si="1"/>
        <v>14950</v>
      </c>
      <c r="K12" s="11">
        <f t="shared" si="2"/>
        <v>31070</v>
      </c>
      <c r="L12" s="11">
        <f t="shared" si="3"/>
        <v>0</v>
      </c>
      <c r="M12" s="100">
        <f t="shared" si="4"/>
        <v>0</v>
      </c>
      <c r="N12" s="11">
        <f t="shared" si="5"/>
        <v>1170</v>
      </c>
      <c r="O12" s="100">
        <f t="shared" si="6"/>
        <v>0.07826086957</v>
      </c>
      <c r="P12" s="11">
        <f t="shared" si="7"/>
        <v>31.07</v>
      </c>
      <c r="Q12" s="11">
        <f t="shared" si="8"/>
        <v>1.009775</v>
      </c>
      <c r="R12" s="11">
        <f t="shared" si="9"/>
        <v>0.1817595</v>
      </c>
      <c r="S12" s="11">
        <f t="shared" si="10"/>
        <v>0.015535</v>
      </c>
      <c r="T12" s="11">
        <f t="shared" si="11"/>
        <v>32.2770695</v>
      </c>
      <c r="U12" s="11">
        <f t="shared" si="18"/>
        <v>16</v>
      </c>
      <c r="V12" s="11">
        <f t="shared" si="13"/>
        <v>48.2770695</v>
      </c>
      <c r="W12" s="11">
        <f t="shared" si="14"/>
        <v>1121.722931</v>
      </c>
      <c r="X12" s="100">
        <f t="shared" si="15"/>
        <v>0.07503163415</v>
      </c>
      <c r="Y12" s="11">
        <f t="shared" si="17"/>
        <v>113178.0038</v>
      </c>
      <c r="AC12" s="9"/>
    </row>
    <row r="13">
      <c r="A13" s="97">
        <v>12.0</v>
      </c>
      <c r="B13" s="107" t="s">
        <v>282</v>
      </c>
      <c r="C13" s="97" t="s">
        <v>153</v>
      </c>
      <c r="D13" s="99">
        <v>44629.0</v>
      </c>
      <c r="E13" s="11">
        <v>1990.0</v>
      </c>
      <c r="F13" s="99">
        <v>44631.0</v>
      </c>
      <c r="G13" s="11">
        <v>2093.0</v>
      </c>
      <c r="H13" s="10">
        <f>IFERROR(__xludf.DUMMYFUNCTION("GOOGLEFINANCE(""NSE:""&amp;B13,""price"")"),2298.1)</f>
        <v>2298.1</v>
      </c>
      <c r="I13" s="97">
        <v>8.0</v>
      </c>
      <c r="J13" s="11">
        <f t="shared" si="1"/>
        <v>15920</v>
      </c>
      <c r="K13" s="11">
        <f t="shared" si="2"/>
        <v>32664</v>
      </c>
      <c r="L13" s="11">
        <f t="shared" si="3"/>
        <v>0</v>
      </c>
      <c r="M13" s="100">
        <f t="shared" si="4"/>
        <v>0</v>
      </c>
      <c r="N13" s="11">
        <f t="shared" si="5"/>
        <v>824</v>
      </c>
      <c r="O13" s="100">
        <f t="shared" si="6"/>
        <v>0.05175879397</v>
      </c>
      <c r="P13" s="11">
        <f t="shared" si="7"/>
        <v>32.664</v>
      </c>
      <c r="Q13" s="11">
        <f t="shared" si="8"/>
        <v>1.06158</v>
      </c>
      <c r="R13" s="11">
        <f t="shared" si="9"/>
        <v>0.1910844</v>
      </c>
      <c r="S13" s="11">
        <f t="shared" si="10"/>
        <v>0.016332</v>
      </c>
      <c r="T13" s="11">
        <f t="shared" si="11"/>
        <v>33.9329964</v>
      </c>
      <c r="U13" s="11">
        <v>23.6</v>
      </c>
      <c r="V13" s="11">
        <f t="shared" si="13"/>
        <v>57.5329964</v>
      </c>
      <c r="W13" s="11">
        <f t="shared" si="14"/>
        <v>766.4670036</v>
      </c>
      <c r="X13" s="100">
        <f t="shared" si="15"/>
        <v>0.04814491229</v>
      </c>
      <c r="Y13" s="11">
        <f t="shared" si="17"/>
        <v>113944.4708</v>
      </c>
    </row>
    <row r="14">
      <c r="A14" s="97">
        <v>13.0</v>
      </c>
      <c r="B14" s="107" t="s">
        <v>284</v>
      </c>
      <c r="C14" s="97" t="s">
        <v>153</v>
      </c>
      <c r="D14" s="99">
        <v>44634.0</v>
      </c>
      <c r="E14" s="11">
        <v>2056.8</v>
      </c>
      <c r="F14" s="99">
        <v>44634.0</v>
      </c>
      <c r="G14" s="11">
        <v>2167.0</v>
      </c>
      <c r="H14" s="10">
        <f>IFERROR(__xludf.DUMMYFUNCTION("GOOGLEFINANCE(""NSE:""&amp;B14,""price"")"),1697.9)</f>
        <v>1697.9</v>
      </c>
      <c r="I14" s="97">
        <v>7.0</v>
      </c>
      <c r="J14" s="11">
        <f t="shared" si="1"/>
        <v>14397.6</v>
      </c>
      <c r="K14" s="11">
        <f t="shared" si="2"/>
        <v>29566.6</v>
      </c>
      <c r="L14" s="11">
        <f t="shared" si="3"/>
        <v>0</v>
      </c>
      <c r="M14" s="100">
        <f t="shared" si="4"/>
        <v>0</v>
      </c>
      <c r="N14" s="11">
        <f t="shared" si="5"/>
        <v>771.4</v>
      </c>
      <c r="O14" s="100">
        <f t="shared" si="6"/>
        <v>0.05357837417</v>
      </c>
      <c r="P14" s="11">
        <f t="shared" si="7"/>
        <v>29.5666</v>
      </c>
      <c r="Q14" s="11">
        <f t="shared" si="8"/>
        <v>0.9609145</v>
      </c>
      <c r="R14" s="11">
        <f t="shared" si="9"/>
        <v>0.17296461</v>
      </c>
      <c r="S14" s="11">
        <f t="shared" si="10"/>
        <v>0.0147833</v>
      </c>
      <c r="T14" s="11">
        <f t="shared" si="11"/>
        <v>30.71526241</v>
      </c>
      <c r="U14" s="11">
        <v>23.6</v>
      </c>
      <c r="V14" s="11">
        <f t="shared" si="13"/>
        <v>54.31526241</v>
      </c>
      <c r="W14" s="11">
        <f t="shared" si="14"/>
        <v>717.0847376</v>
      </c>
      <c r="X14" s="100">
        <f t="shared" si="15"/>
        <v>0.0498058522</v>
      </c>
      <c r="Y14" s="11">
        <f t="shared" si="17"/>
        <v>114661.5555</v>
      </c>
    </row>
    <row r="15">
      <c r="A15" s="97">
        <v>14.0</v>
      </c>
      <c r="B15" s="108" t="s">
        <v>285</v>
      </c>
      <c r="C15" s="98" t="s">
        <v>153</v>
      </c>
      <c r="D15" s="99">
        <v>44634.0</v>
      </c>
      <c r="E15" s="11">
        <v>1070.4</v>
      </c>
      <c r="F15" s="99">
        <v>44637.0</v>
      </c>
      <c r="G15" s="11">
        <v>1115.6</v>
      </c>
      <c r="H15" s="10">
        <f>IFERROR(__xludf.DUMMYFUNCTION("GOOGLEFINANCE(""NSE:""&amp;B15,""price"")"),2024.0)</f>
        <v>2024</v>
      </c>
      <c r="I15" s="97">
        <v>15.0</v>
      </c>
      <c r="J15" s="11">
        <f t="shared" si="1"/>
        <v>16056</v>
      </c>
      <c r="K15" s="11">
        <f t="shared" si="2"/>
        <v>32790</v>
      </c>
      <c r="L15" s="11">
        <f t="shared" si="3"/>
        <v>0</v>
      </c>
      <c r="M15" s="100">
        <f t="shared" si="4"/>
        <v>0</v>
      </c>
      <c r="N15" s="11">
        <f t="shared" si="5"/>
        <v>678</v>
      </c>
      <c r="O15" s="100">
        <f t="shared" si="6"/>
        <v>0.04222720478</v>
      </c>
      <c r="P15" s="11">
        <f t="shared" si="7"/>
        <v>32.79</v>
      </c>
      <c r="Q15" s="11">
        <f t="shared" si="8"/>
        <v>1.065675</v>
      </c>
      <c r="R15" s="11">
        <f t="shared" si="9"/>
        <v>0.1918215</v>
      </c>
      <c r="S15" s="11">
        <f t="shared" si="10"/>
        <v>0.016395</v>
      </c>
      <c r="T15" s="11">
        <f t="shared" si="11"/>
        <v>34.0638915</v>
      </c>
      <c r="U15" s="11">
        <v>15.4</v>
      </c>
      <c r="V15" s="11">
        <f t="shared" si="13"/>
        <v>49.4638915</v>
      </c>
      <c r="W15" s="11">
        <f t="shared" si="14"/>
        <v>628.5361085</v>
      </c>
      <c r="X15" s="100">
        <f t="shared" si="15"/>
        <v>0.03914649405</v>
      </c>
      <c r="Y15" s="11">
        <f t="shared" si="17"/>
        <v>115290.0916</v>
      </c>
    </row>
    <row r="16">
      <c r="A16" s="97">
        <v>15.0</v>
      </c>
      <c r="B16" s="97" t="s">
        <v>286</v>
      </c>
      <c r="C16" s="98" t="s">
        <v>273</v>
      </c>
      <c r="D16" s="99">
        <v>44634.0</v>
      </c>
      <c r="E16" s="11">
        <v>777.0</v>
      </c>
      <c r="F16" s="99">
        <v>44652.0</v>
      </c>
      <c r="G16" s="11">
        <v>792.7</v>
      </c>
      <c r="H16" s="10">
        <f>IFERROR(__xludf.DUMMYFUNCTION("GOOGLEFINANCE(""NSE:""&amp;B16,""price"")"),1144.1)</f>
        <v>1144.1</v>
      </c>
      <c r="I16" s="97">
        <v>15.0</v>
      </c>
      <c r="J16" s="11">
        <f t="shared" si="1"/>
        <v>11655</v>
      </c>
      <c r="K16" s="11">
        <f t="shared" si="2"/>
        <v>23545.5</v>
      </c>
      <c r="L16" s="11">
        <f t="shared" si="3"/>
        <v>0</v>
      </c>
      <c r="M16" s="100">
        <f t="shared" si="4"/>
        <v>0</v>
      </c>
      <c r="N16" s="11">
        <f t="shared" si="5"/>
        <v>235.5</v>
      </c>
      <c r="O16" s="100">
        <f t="shared" si="6"/>
        <v>0.02020592021</v>
      </c>
      <c r="P16" s="11">
        <f t="shared" si="7"/>
        <v>23.5455</v>
      </c>
      <c r="Q16" s="11">
        <f t="shared" si="8"/>
        <v>0.76522875</v>
      </c>
      <c r="R16" s="11">
        <f t="shared" si="9"/>
        <v>0.137741175</v>
      </c>
      <c r="S16" s="11">
        <f t="shared" si="10"/>
        <v>0.01177275</v>
      </c>
      <c r="T16" s="11">
        <f t="shared" si="11"/>
        <v>24.46024268</v>
      </c>
      <c r="U16" s="11">
        <v>15.34</v>
      </c>
      <c r="V16" s="11">
        <f t="shared" si="13"/>
        <v>39.80024268</v>
      </c>
      <c r="W16" s="11">
        <f t="shared" si="14"/>
        <v>195.6997573</v>
      </c>
      <c r="X16" s="100">
        <f t="shared" si="15"/>
        <v>0.01679105597</v>
      </c>
      <c r="Y16" s="11">
        <f t="shared" si="17"/>
        <v>115485.7914</v>
      </c>
      <c r="AB16" s="9"/>
    </row>
    <row r="17">
      <c r="A17" s="97">
        <v>16.0</v>
      </c>
      <c r="B17" s="11" t="s">
        <v>39</v>
      </c>
      <c r="C17" s="98" t="s">
        <v>153</v>
      </c>
      <c r="D17" s="99">
        <v>44642.0</v>
      </c>
      <c r="E17" s="11">
        <v>2522.9</v>
      </c>
      <c r="F17" s="99">
        <v>44644.0</v>
      </c>
      <c r="G17" s="11">
        <v>2570.4</v>
      </c>
      <c r="H17" s="10">
        <f>IFERROR(__xludf.DUMMYFUNCTION("GOOGLEFINANCE(""NSE:""&amp;B17,""price"")"),1569.0)</f>
        <v>1569</v>
      </c>
      <c r="I17" s="97">
        <v>5.0</v>
      </c>
      <c r="J17" s="11">
        <f t="shared" si="1"/>
        <v>12614.5</v>
      </c>
      <c r="K17" s="11">
        <f t="shared" si="2"/>
        <v>25466.5</v>
      </c>
      <c r="L17" s="11">
        <f t="shared" si="3"/>
        <v>0</v>
      </c>
      <c r="M17" s="100">
        <f t="shared" si="4"/>
        <v>0</v>
      </c>
      <c r="N17" s="11">
        <f t="shared" si="5"/>
        <v>237.5</v>
      </c>
      <c r="O17" s="100">
        <f t="shared" si="6"/>
        <v>0.01882753974</v>
      </c>
      <c r="P17" s="11">
        <f t="shared" si="7"/>
        <v>25.4665</v>
      </c>
      <c r="Q17" s="11">
        <f t="shared" si="8"/>
        <v>0.82766125</v>
      </c>
      <c r="R17" s="11">
        <f t="shared" si="9"/>
        <v>0.148979025</v>
      </c>
      <c r="S17" s="11">
        <f t="shared" si="10"/>
        <v>0.01273325</v>
      </c>
      <c r="T17" s="11">
        <f t="shared" si="11"/>
        <v>26.45587353</v>
      </c>
      <c r="U17" s="11">
        <v>15.34</v>
      </c>
      <c r="V17" s="11">
        <f t="shared" si="13"/>
        <v>41.79587353</v>
      </c>
      <c r="W17" s="11">
        <f t="shared" si="14"/>
        <v>195.7041265</v>
      </c>
      <c r="X17" s="100">
        <f t="shared" si="15"/>
        <v>0.01551421986</v>
      </c>
      <c r="Y17" s="11">
        <f t="shared" si="17"/>
        <v>115681.4955</v>
      </c>
    </row>
    <row r="18">
      <c r="A18" s="97">
        <v>17.0</v>
      </c>
      <c r="B18" s="11" t="s">
        <v>210</v>
      </c>
      <c r="C18" s="97" t="s">
        <v>153</v>
      </c>
      <c r="D18" s="99">
        <v>44643.0</v>
      </c>
      <c r="E18" s="11">
        <v>3718.0</v>
      </c>
      <c r="F18" s="99">
        <v>44648.0</v>
      </c>
      <c r="G18" s="11">
        <v>3670.0</v>
      </c>
      <c r="H18" s="10">
        <f>IFERROR(__xludf.DUMMYFUNCTION("GOOGLEFINANCE(""NSE:""&amp;B18,""price"")"),3305.1)</f>
        <v>3305.1</v>
      </c>
      <c r="I18" s="97">
        <v>4.0</v>
      </c>
      <c r="J18" s="11">
        <f t="shared" si="1"/>
        <v>14872</v>
      </c>
      <c r="K18" s="11">
        <f t="shared" si="2"/>
        <v>29552</v>
      </c>
      <c r="L18" s="11">
        <f t="shared" si="3"/>
        <v>0</v>
      </c>
      <c r="M18" s="100">
        <f t="shared" si="4"/>
        <v>0</v>
      </c>
      <c r="N18" s="11">
        <f t="shared" si="5"/>
        <v>-192</v>
      </c>
      <c r="O18" s="100">
        <f t="shared" si="6"/>
        <v>-0.01291016676</v>
      </c>
      <c r="P18" s="11">
        <f t="shared" si="7"/>
        <v>29.552</v>
      </c>
      <c r="Q18" s="11">
        <f t="shared" si="8"/>
        <v>0.96044</v>
      </c>
      <c r="R18" s="11">
        <f t="shared" si="9"/>
        <v>0.1728792</v>
      </c>
      <c r="S18" s="11">
        <f t="shared" si="10"/>
        <v>0.014776</v>
      </c>
      <c r="T18" s="11">
        <f t="shared" si="11"/>
        <v>30.7000952</v>
      </c>
      <c r="U18" s="11">
        <v>15.34</v>
      </c>
      <c r="V18" s="11">
        <f t="shared" si="13"/>
        <v>46.0400952</v>
      </c>
      <c r="W18" s="11">
        <f t="shared" si="14"/>
        <v>-238.0400952</v>
      </c>
      <c r="X18" s="100">
        <f t="shared" si="15"/>
        <v>-0.01600592356</v>
      </c>
      <c r="Y18" s="11">
        <f t="shared" si="17"/>
        <v>115443.4554</v>
      </c>
    </row>
    <row r="19">
      <c r="A19" s="97">
        <v>18.0</v>
      </c>
      <c r="B19" s="120" t="s">
        <v>23</v>
      </c>
      <c r="C19" s="121" t="s">
        <v>153</v>
      </c>
      <c r="D19" s="99">
        <v>44644.0</v>
      </c>
      <c r="E19" s="11">
        <v>1439.0</v>
      </c>
      <c r="F19" s="99">
        <v>44651.0</v>
      </c>
      <c r="G19" s="11">
        <v>1482.1</v>
      </c>
      <c r="H19" s="10">
        <f>IFERROR(__xludf.DUMMYFUNCTION("GOOGLEFINANCE(""NSE:""&amp;B19,""price"")"),997.0)</f>
        <v>997</v>
      </c>
      <c r="I19" s="97">
        <v>5.0</v>
      </c>
      <c r="J19" s="11">
        <f t="shared" si="1"/>
        <v>7195</v>
      </c>
      <c r="K19" s="11">
        <f t="shared" si="2"/>
        <v>14605.5</v>
      </c>
      <c r="L19" s="11">
        <f t="shared" si="3"/>
        <v>0</v>
      </c>
      <c r="M19" s="100">
        <f t="shared" si="4"/>
        <v>0</v>
      </c>
      <c r="N19" s="11">
        <f t="shared" si="5"/>
        <v>215.5</v>
      </c>
      <c r="O19" s="100">
        <f t="shared" si="6"/>
        <v>0.02995135511</v>
      </c>
      <c r="P19" s="11">
        <f t="shared" si="7"/>
        <v>14.6055</v>
      </c>
      <c r="Q19" s="11">
        <f t="shared" si="8"/>
        <v>0.47467875</v>
      </c>
      <c r="R19" s="11">
        <f t="shared" si="9"/>
        <v>0.085442175</v>
      </c>
      <c r="S19" s="11">
        <f t="shared" si="10"/>
        <v>0.00730275</v>
      </c>
      <c r="T19" s="11">
        <f t="shared" si="11"/>
        <v>15.17292368</v>
      </c>
      <c r="U19" s="11">
        <v>15.34</v>
      </c>
      <c r="V19" s="11">
        <f t="shared" si="13"/>
        <v>30.51292368</v>
      </c>
      <c r="W19" s="11">
        <f t="shared" si="14"/>
        <v>184.9870763</v>
      </c>
      <c r="X19" s="100">
        <f t="shared" si="15"/>
        <v>0.02571050401</v>
      </c>
      <c r="Y19" s="11">
        <f t="shared" si="17"/>
        <v>115628.4425</v>
      </c>
    </row>
    <row r="20">
      <c r="A20" s="97">
        <v>19.0</v>
      </c>
      <c r="B20" s="120" t="s">
        <v>23</v>
      </c>
      <c r="C20" s="122" t="s">
        <v>153</v>
      </c>
      <c r="D20" s="99">
        <v>44644.0</v>
      </c>
      <c r="E20" s="11">
        <v>1439.0</v>
      </c>
      <c r="F20" s="99">
        <v>44655.0</v>
      </c>
      <c r="G20" s="11">
        <v>1646.75</v>
      </c>
      <c r="H20" s="10">
        <f>IFERROR(__xludf.DUMMYFUNCTION("GOOGLEFINANCE(""NSE:""&amp;B20,""price"")"),997.0)</f>
        <v>997</v>
      </c>
      <c r="I20" s="97">
        <v>5.0</v>
      </c>
      <c r="J20" s="11">
        <f t="shared" si="1"/>
        <v>7195</v>
      </c>
      <c r="K20" s="11">
        <f t="shared" si="2"/>
        <v>15428.75</v>
      </c>
      <c r="L20" s="11">
        <f t="shared" si="3"/>
        <v>0</v>
      </c>
      <c r="M20" s="100">
        <f t="shared" si="4"/>
        <v>0</v>
      </c>
      <c r="N20" s="11">
        <f t="shared" si="5"/>
        <v>1038.75</v>
      </c>
      <c r="O20" s="100">
        <f t="shared" si="6"/>
        <v>0.144371091</v>
      </c>
      <c r="P20" s="11">
        <f t="shared" si="7"/>
        <v>15.42875</v>
      </c>
      <c r="Q20" s="11">
        <f t="shared" si="8"/>
        <v>0.501434375</v>
      </c>
      <c r="R20" s="11">
        <f t="shared" si="9"/>
        <v>0.0902581875</v>
      </c>
      <c r="S20" s="11">
        <f t="shared" si="10"/>
        <v>0.007714375</v>
      </c>
      <c r="T20" s="11">
        <f t="shared" si="11"/>
        <v>16.02815694</v>
      </c>
      <c r="U20" s="11">
        <v>15.34</v>
      </c>
      <c r="V20" s="11">
        <f t="shared" si="13"/>
        <v>31.36815694</v>
      </c>
      <c r="W20" s="11">
        <f t="shared" si="14"/>
        <v>1007.381843</v>
      </c>
      <c r="X20" s="100">
        <f t="shared" si="15"/>
        <v>0.140011375</v>
      </c>
      <c r="Y20" s="11">
        <f t="shared" si="17"/>
        <v>116635.8244</v>
      </c>
    </row>
    <row r="21">
      <c r="A21" s="97">
        <v>20.0</v>
      </c>
      <c r="B21" s="120" t="s">
        <v>169</v>
      </c>
      <c r="C21" s="122" t="s">
        <v>153</v>
      </c>
      <c r="D21" s="99">
        <v>44649.0</v>
      </c>
      <c r="E21" s="11">
        <v>437.6</v>
      </c>
      <c r="F21" s="99">
        <v>44655.0</v>
      </c>
      <c r="G21" s="11">
        <v>448.0</v>
      </c>
      <c r="H21" s="10" t="str">
        <f>IFERROR(__xludf.DUMMYFUNCTION("GOOGLEFINANCE(""NSE:""&amp;B21,""price"")"),"#N/A")</f>
        <v>#N/A</v>
      </c>
      <c r="I21" s="97">
        <v>15.0</v>
      </c>
      <c r="J21" s="11">
        <f t="shared" si="1"/>
        <v>6564</v>
      </c>
      <c r="K21" s="11">
        <f t="shared" si="2"/>
        <v>13284</v>
      </c>
      <c r="L21" s="11">
        <f t="shared" si="3"/>
        <v>0</v>
      </c>
      <c r="M21" s="100">
        <f t="shared" si="4"/>
        <v>0</v>
      </c>
      <c r="N21" s="11">
        <f t="shared" si="5"/>
        <v>156</v>
      </c>
      <c r="O21" s="100">
        <f t="shared" si="6"/>
        <v>0.02376599634</v>
      </c>
      <c r="P21" s="11">
        <f t="shared" si="7"/>
        <v>13.284</v>
      </c>
      <c r="Q21" s="11">
        <f t="shared" si="8"/>
        <v>0.43173</v>
      </c>
      <c r="R21" s="11">
        <f t="shared" si="9"/>
        <v>0.0777114</v>
      </c>
      <c r="S21" s="11">
        <f t="shared" si="10"/>
        <v>0.006642</v>
      </c>
      <c r="T21" s="11">
        <f t="shared" si="11"/>
        <v>13.8000834</v>
      </c>
      <c r="U21" s="11">
        <v>15.34</v>
      </c>
      <c r="V21" s="11">
        <f t="shared" si="13"/>
        <v>29.1400834</v>
      </c>
      <c r="W21" s="11">
        <f t="shared" si="14"/>
        <v>126.8599166</v>
      </c>
      <c r="X21" s="100">
        <f t="shared" si="15"/>
        <v>0.0193266174</v>
      </c>
      <c r="Y21" s="11">
        <f t="shared" si="17"/>
        <v>116762.6843</v>
      </c>
    </row>
    <row r="22">
      <c r="A22" s="97">
        <v>21.0</v>
      </c>
      <c r="B22" s="120" t="s">
        <v>169</v>
      </c>
      <c r="C22" s="122" t="s">
        <v>153</v>
      </c>
      <c r="D22" s="99">
        <v>44649.0</v>
      </c>
      <c r="E22" s="11">
        <v>437.6</v>
      </c>
      <c r="F22" s="99">
        <v>44712.0</v>
      </c>
      <c r="G22" s="11">
        <v>448.75</v>
      </c>
      <c r="H22" s="10" t="str">
        <f>IFERROR(__xludf.DUMMYFUNCTION("GOOGLEFINANCE(""NSE:""&amp;B22,""price"")"),"#N/A")</f>
        <v>#N/A</v>
      </c>
      <c r="I22" s="97">
        <v>15.0</v>
      </c>
      <c r="J22" s="11">
        <f t="shared" si="1"/>
        <v>6564</v>
      </c>
      <c r="K22" s="11">
        <f t="shared" si="2"/>
        <v>13295.25</v>
      </c>
      <c r="L22" s="11">
        <f t="shared" si="3"/>
        <v>0</v>
      </c>
      <c r="M22" s="100">
        <f t="shared" si="4"/>
        <v>0</v>
      </c>
      <c r="N22" s="11">
        <f t="shared" si="5"/>
        <v>167.25</v>
      </c>
      <c r="O22" s="100">
        <f t="shared" si="6"/>
        <v>0.02547989031</v>
      </c>
      <c r="P22" s="11">
        <f t="shared" si="7"/>
        <v>13.29525</v>
      </c>
      <c r="Q22" s="11">
        <f t="shared" si="8"/>
        <v>0.432095625</v>
      </c>
      <c r="R22" s="11">
        <f t="shared" si="9"/>
        <v>0.0777772125</v>
      </c>
      <c r="S22" s="11">
        <f t="shared" si="10"/>
        <v>0.006647625</v>
      </c>
      <c r="T22" s="11">
        <f t="shared" si="11"/>
        <v>13.81177046</v>
      </c>
      <c r="U22" s="11">
        <v>15.34</v>
      </c>
      <c r="V22" s="11">
        <f t="shared" si="13"/>
        <v>29.15177046</v>
      </c>
      <c r="W22" s="11">
        <f t="shared" si="14"/>
        <v>138.0982295</v>
      </c>
      <c r="X22" s="100">
        <f t="shared" si="15"/>
        <v>0.02103873089</v>
      </c>
      <c r="Y22" s="11">
        <f t="shared" si="17"/>
        <v>116900.7825</v>
      </c>
    </row>
    <row r="23">
      <c r="A23" s="97">
        <v>22.0</v>
      </c>
      <c r="B23" s="11" t="s">
        <v>23</v>
      </c>
      <c r="C23" s="98" t="s">
        <v>273</v>
      </c>
      <c r="D23" s="99">
        <v>44662.0</v>
      </c>
      <c r="E23" s="11">
        <v>1505.2</v>
      </c>
      <c r="F23" s="99">
        <v>44904.0</v>
      </c>
      <c r="G23" s="11">
        <v>1624.85</v>
      </c>
      <c r="H23" s="10">
        <f>IFERROR(__xludf.DUMMYFUNCTION("GOOGLEFINANCE(""NSE:""&amp;B23,""price"")"),997.0)</f>
        <v>997</v>
      </c>
      <c r="I23" s="97">
        <v>10.0</v>
      </c>
      <c r="J23" s="11">
        <f t="shared" si="1"/>
        <v>15052</v>
      </c>
      <c r="K23" s="11">
        <f t="shared" si="2"/>
        <v>31300.5</v>
      </c>
      <c r="L23" s="11">
        <f t="shared" si="3"/>
        <v>0</v>
      </c>
      <c r="M23" s="100">
        <f t="shared" si="4"/>
        <v>0</v>
      </c>
      <c r="N23" s="11">
        <f t="shared" si="5"/>
        <v>1196.5</v>
      </c>
      <c r="O23" s="100">
        <f t="shared" si="6"/>
        <v>0.07949109753</v>
      </c>
      <c r="P23" s="11">
        <f t="shared" si="7"/>
        <v>31.3005</v>
      </c>
      <c r="Q23" s="11">
        <f t="shared" si="8"/>
        <v>1.01726625</v>
      </c>
      <c r="R23" s="11">
        <f t="shared" si="9"/>
        <v>0.183107925</v>
      </c>
      <c r="S23" s="11">
        <f t="shared" si="10"/>
        <v>0.01565025</v>
      </c>
      <c r="T23" s="11">
        <f t="shared" si="11"/>
        <v>32.51652443</v>
      </c>
      <c r="U23" s="11">
        <v>15.34</v>
      </c>
      <c r="V23" s="11">
        <f t="shared" si="13"/>
        <v>47.85652443</v>
      </c>
      <c r="W23" s="11">
        <f t="shared" si="14"/>
        <v>1148.643476</v>
      </c>
      <c r="X23" s="100">
        <f t="shared" si="15"/>
        <v>0.07631168453</v>
      </c>
      <c r="Y23" s="11">
        <f t="shared" si="17"/>
        <v>118049.426</v>
      </c>
    </row>
    <row r="24">
      <c r="A24" s="97">
        <v>24.0</v>
      </c>
      <c r="B24" s="11" t="s">
        <v>278</v>
      </c>
      <c r="C24" s="98" t="s">
        <v>153</v>
      </c>
      <c r="D24" s="99">
        <v>44678.0</v>
      </c>
      <c r="E24" s="11">
        <v>3549.5</v>
      </c>
      <c r="F24" s="99">
        <v>44896.0</v>
      </c>
      <c r="G24" s="11">
        <v>3400.0</v>
      </c>
      <c r="H24" s="11">
        <v>3400.0</v>
      </c>
      <c r="I24" s="97">
        <v>1.0</v>
      </c>
      <c r="J24" s="11">
        <f t="shared" si="1"/>
        <v>3549.5</v>
      </c>
      <c r="K24" s="11">
        <f t="shared" si="2"/>
        <v>6949.5</v>
      </c>
      <c r="L24" s="11">
        <f t="shared" si="3"/>
        <v>0</v>
      </c>
      <c r="M24" s="100">
        <f t="shared" si="4"/>
        <v>0</v>
      </c>
      <c r="N24" s="11">
        <f t="shared" si="5"/>
        <v>-149.5</v>
      </c>
      <c r="O24" s="100">
        <f t="shared" si="6"/>
        <v>-0.04211860825</v>
      </c>
      <c r="P24" s="11">
        <f t="shared" si="7"/>
        <v>6.9495</v>
      </c>
      <c r="Q24" s="11">
        <f t="shared" si="8"/>
        <v>0.22585875</v>
      </c>
      <c r="R24" s="11">
        <f t="shared" si="9"/>
        <v>0.040654575</v>
      </c>
      <c r="S24" s="11">
        <f t="shared" si="10"/>
        <v>0.00347475</v>
      </c>
      <c r="T24" s="11">
        <f t="shared" si="11"/>
        <v>7.219488075</v>
      </c>
      <c r="U24" s="11">
        <v>15.34</v>
      </c>
      <c r="V24" s="11">
        <f t="shared" si="13"/>
        <v>22.55948808</v>
      </c>
      <c r="W24" s="11">
        <f t="shared" si="14"/>
        <v>-172.0594881</v>
      </c>
      <c r="X24" s="100">
        <f t="shared" si="15"/>
        <v>-0.04847428879</v>
      </c>
      <c r="Y24" s="11">
        <f t="shared" si="17"/>
        <v>117877.3665</v>
      </c>
    </row>
    <row r="25">
      <c r="A25" s="97">
        <v>25.0</v>
      </c>
      <c r="B25" s="11" t="s">
        <v>23</v>
      </c>
      <c r="C25" s="97" t="s">
        <v>153</v>
      </c>
      <c r="D25" s="99">
        <v>44694.0</v>
      </c>
      <c r="E25" s="11">
        <v>1305.9</v>
      </c>
      <c r="F25" s="99">
        <v>44712.0</v>
      </c>
      <c r="G25" s="11">
        <v>1401.25</v>
      </c>
      <c r="H25" s="10">
        <f>IFERROR(__xludf.DUMMYFUNCTION("GOOGLEFINANCE(""NSE:""&amp;B25,""price"")"),997.0)</f>
        <v>997</v>
      </c>
      <c r="I25" s="97">
        <v>2.0</v>
      </c>
      <c r="J25" s="11">
        <f t="shared" si="1"/>
        <v>2611.8</v>
      </c>
      <c r="K25" s="11">
        <f t="shared" si="2"/>
        <v>5414.3</v>
      </c>
      <c r="L25" s="11">
        <f t="shared" si="3"/>
        <v>0</v>
      </c>
      <c r="M25" s="100">
        <f t="shared" si="4"/>
        <v>0</v>
      </c>
      <c r="N25" s="11">
        <f t="shared" si="5"/>
        <v>190.7</v>
      </c>
      <c r="O25" s="100">
        <f t="shared" si="6"/>
        <v>0.07301477908</v>
      </c>
      <c r="P25" s="11">
        <f t="shared" si="7"/>
        <v>5.4143</v>
      </c>
      <c r="Q25" s="11">
        <f t="shared" si="8"/>
        <v>0.17596475</v>
      </c>
      <c r="R25" s="11">
        <f t="shared" si="9"/>
        <v>0.031673655</v>
      </c>
      <c r="S25" s="11">
        <f t="shared" si="10"/>
        <v>0.00270715</v>
      </c>
      <c r="T25" s="11">
        <f t="shared" si="11"/>
        <v>5.624645555</v>
      </c>
      <c r="U25" s="11">
        <v>15.34</v>
      </c>
      <c r="V25" s="11">
        <f t="shared" si="13"/>
        <v>20.96464556</v>
      </c>
      <c r="W25" s="11">
        <f t="shared" si="14"/>
        <v>169.7353544</v>
      </c>
      <c r="X25" s="100">
        <f t="shared" si="15"/>
        <v>0.06498788362</v>
      </c>
      <c r="Y25" s="11">
        <f t="shared" si="17"/>
        <v>118047.1018</v>
      </c>
    </row>
    <row r="26">
      <c r="A26" s="97">
        <v>26.0</v>
      </c>
      <c r="B26" s="11" t="s">
        <v>243</v>
      </c>
      <c r="C26" s="98" t="s">
        <v>153</v>
      </c>
      <c r="D26" s="99">
        <v>44903.0</v>
      </c>
      <c r="E26" s="11">
        <v>784.0</v>
      </c>
      <c r="F26" s="99">
        <v>44911.0</v>
      </c>
      <c r="G26" s="11">
        <v>758.8</v>
      </c>
      <c r="H26" s="10">
        <f>IFERROR(__xludf.DUMMYFUNCTION("GOOGLEFINANCE(""NSE:""&amp;B26,""price"")"),512.3)</f>
        <v>512.3</v>
      </c>
      <c r="I26" s="97">
        <v>13.0</v>
      </c>
      <c r="J26" s="11">
        <f t="shared" si="1"/>
        <v>10192</v>
      </c>
      <c r="K26" s="11">
        <f t="shared" si="2"/>
        <v>20056.4</v>
      </c>
      <c r="L26" s="11">
        <f t="shared" si="3"/>
        <v>0</v>
      </c>
      <c r="M26" s="100">
        <f t="shared" si="4"/>
        <v>0</v>
      </c>
      <c r="N26" s="11">
        <f t="shared" si="5"/>
        <v>-327.6</v>
      </c>
      <c r="O26" s="100">
        <f t="shared" si="6"/>
        <v>-0.03214285714</v>
      </c>
      <c r="P26" s="11">
        <f t="shared" si="7"/>
        <v>20.0564</v>
      </c>
      <c r="Q26" s="11">
        <f t="shared" si="8"/>
        <v>0.651833</v>
      </c>
      <c r="R26" s="11">
        <f t="shared" si="9"/>
        <v>0.11732994</v>
      </c>
      <c r="S26" s="11">
        <f t="shared" si="10"/>
        <v>0.0100282</v>
      </c>
      <c r="T26" s="11">
        <f t="shared" si="11"/>
        <v>20.83559114</v>
      </c>
      <c r="U26" s="11">
        <v>15.34</v>
      </c>
      <c r="V26" s="11">
        <f t="shared" si="13"/>
        <v>36.17559114</v>
      </c>
      <c r="W26" s="11">
        <f t="shared" si="14"/>
        <v>-363.7755911</v>
      </c>
      <c r="X26" s="100">
        <f t="shared" si="15"/>
        <v>-0.03569226758</v>
      </c>
      <c r="Y26" s="11">
        <f t="shared" si="17"/>
        <v>117683.3262</v>
      </c>
    </row>
    <row r="27">
      <c r="A27" s="97">
        <v>27.0</v>
      </c>
      <c r="B27" s="11" t="s">
        <v>206</v>
      </c>
      <c r="C27" s="98" t="s">
        <v>153</v>
      </c>
      <c r="D27" s="99">
        <v>44909.0</v>
      </c>
      <c r="E27" s="11">
        <v>749.35</v>
      </c>
      <c r="F27" s="99">
        <v>44911.0</v>
      </c>
      <c r="G27" s="11">
        <v>740.15</v>
      </c>
      <c r="H27" s="10">
        <f>IFERROR(__xludf.DUMMYFUNCTION("GOOGLEFINANCE(""NSE:""&amp;B27,""price"")"),1095.9)</f>
        <v>1095.9</v>
      </c>
      <c r="I27" s="97">
        <v>14.0</v>
      </c>
      <c r="J27" s="11">
        <f t="shared" si="1"/>
        <v>10490.9</v>
      </c>
      <c r="K27" s="11">
        <f t="shared" si="2"/>
        <v>20853</v>
      </c>
      <c r="L27" s="11">
        <f t="shared" si="3"/>
        <v>0</v>
      </c>
      <c r="M27" s="100">
        <f t="shared" si="4"/>
        <v>0</v>
      </c>
      <c r="N27" s="11">
        <f t="shared" si="5"/>
        <v>-128.8</v>
      </c>
      <c r="O27" s="100">
        <f t="shared" si="6"/>
        <v>-0.012277307</v>
      </c>
      <c r="P27" s="11">
        <f t="shared" si="7"/>
        <v>20.853</v>
      </c>
      <c r="Q27" s="11">
        <f t="shared" si="8"/>
        <v>0.6777225</v>
      </c>
      <c r="R27" s="11">
        <f t="shared" si="9"/>
        <v>0.12199005</v>
      </c>
      <c r="S27" s="11">
        <f t="shared" si="10"/>
        <v>0.0104265</v>
      </c>
      <c r="T27" s="11">
        <f t="shared" si="11"/>
        <v>21.66313905</v>
      </c>
      <c r="U27" s="11">
        <v>15.34</v>
      </c>
      <c r="V27" s="11">
        <f t="shared" si="13"/>
        <v>37.00313905</v>
      </c>
      <c r="W27" s="11">
        <f t="shared" si="14"/>
        <v>-165.8031391</v>
      </c>
      <c r="X27" s="100">
        <f t="shared" si="15"/>
        <v>-0.01580447236</v>
      </c>
      <c r="Y27" s="11">
        <f t="shared" si="17"/>
        <v>117517.5231</v>
      </c>
    </row>
    <row r="28">
      <c r="A28" s="111"/>
      <c r="B28" s="112" t="s">
        <v>272</v>
      </c>
      <c r="C28" s="113"/>
      <c r="D28" s="113"/>
      <c r="E28" s="113"/>
      <c r="F28" s="113"/>
      <c r="G28" s="113"/>
      <c r="H28" s="113"/>
      <c r="I28" s="114"/>
      <c r="J28" s="118"/>
      <c r="K28" s="115">
        <f t="array" ref="K28">SUM(INDIRECT("J2"&amp; ":J" &amp; ROW()-1) )</f>
        <v>292773.05</v>
      </c>
      <c r="L28" s="115">
        <f t="array" ref="L28">SUM( INDIRECT("L2"&amp; ":L" &amp; ROW()-1) )</f>
        <v>3390.1</v>
      </c>
      <c r="M28" s="116">
        <f>L28/AB2</f>
        <v>0.03110183486</v>
      </c>
      <c r="N28" s="117">
        <f t="array" ref="N28">SUM(INDIRECT("N2"&amp; ":N" &amp; ROW()-1) )</f>
        <v>11450.37</v>
      </c>
      <c r="O28" s="116">
        <f>N28/AB2</f>
        <v>0.1050492661</v>
      </c>
      <c r="P28" s="115">
        <f t="array" ref="P28">SUM(INDIRECT("P2"&amp; ":P" &amp; ROW()-1) )</f>
        <v>558.61877</v>
      </c>
      <c r="Q28" s="115">
        <f t="array" ref="Q28">SUM(INDIRECT("Q2"&amp; ":Q" &amp; ROW()-1) )</f>
        <v>18.15511003</v>
      </c>
      <c r="R28" s="115">
        <f t="array" ref="R28">SUM(INDIRECT("R2"&amp; ":R" &amp; ROW()-1) )</f>
        <v>3.267919805</v>
      </c>
      <c r="S28" s="115">
        <f t="array" ref="S28">SUM(INDIRECT("S2"&amp; ":S" &amp; ROW()-1) )</f>
        <v>0.279309385</v>
      </c>
      <c r="T28" s="115">
        <f t="array" ref="T28">SUM(INDIRECT("T2"&amp; ":T" &amp; ROW()-1) )</f>
        <v>580.3211092</v>
      </c>
      <c r="U28" s="115">
        <f t="array" ref="U28">SUM(INDIRECT("U2"&amp; ":U" &amp; ROW()-1) )</f>
        <v>371.9</v>
      </c>
      <c r="V28" s="123">
        <f t="array" ref="V28">SUM(INDIRECT("V2"&amp; ":V" &amp; ROW()-1) )</f>
        <v>952.2211092</v>
      </c>
      <c r="W28" s="115">
        <f t="array" ref="W28">SUM(INDIRECT("W2"&amp; ":W" &amp; ROW()-1) )</f>
        <v>10538.01756</v>
      </c>
      <c r="X28" s="116">
        <f>W28/AB2</f>
        <v>0.09667906022</v>
      </c>
      <c r="Y28" s="115">
        <f t="array" ref="Y28">AB2+SUM(INDIRECT("W2"&amp; ":W" &amp; ROW()-1) )-V28+W28</f>
        <v>129123.814</v>
      </c>
    </row>
  </sheetData>
  <autoFilter ref="$A$1:$Y$28"/>
  <mergeCells count="1">
    <mergeCell ref="B28:I28"/>
  </mergeCells>
  <conditionalFormatting sqref="L2:O28 W2:X28 AB4:AB6 AB8:AB16 AC12">
    <cfRule type="cellIs" dxfId="0" priority="1" operator="lessThan">
      <formula>0</formula>
    </cfRule>
  </conditionalFormatting>
  <conditionalFormatting sqref="L2:O28 W2:X28 AB4:AB6 AB8:AB16 AC12">
    <cfRule type="cellIs" dxfId="1" priority="2" operator="greaterThan">
      <formula>0</formula>
    </cfRule>
  </conditionalFormatting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3" max="3" width="9.5"/>
    <col customWidth="1" min="4" max="4" width="10.88"/>
    <col customWidth="1" min="5" max="5" width="8.38"/>
    <col customWidth="1" min="6" max="6" width="10.5"/>
    <col customWidth="1" min="7" max="8" width="8.38"/>
    <col customWidth="1" min="9" max="9" width="4.38"/>
    <col customWidth="1" min="10" max="11" width="10.25"/>
    <col customWidth="1" min="12" max="12" width="11.88"/>
    <col customWidth="1" min="13" max="13" width="9.13"/>
    <col customWidth="1" min="15" max="15" width="7.13"/>
    <col customWidth="1" hidden="1" min="16" max="16" width="7.0"/>
    <col customWidth="1" hidden="1" min="17" max="17" width="9.75"/>
    <col customWidth="1" hidden="1" min="18" max="18" width="5.13"/>
    <col customWidth="1" hidden="1" min="19" max="19" width="11.25"/>
    <col customWidth="1" hidden="1" min="20" max="20" width="8.0"/>
    <col customWidth="1" hidden="1" min="21" max="21" width="10.13"/>
    <col customWidth="1" min="22" max="22" width="11.25"/>
    <col customWidth="1" min="23" max="23" width="9.38"/>
    <col customWidth="1" min="24" max="24" width="8.5"/>
    <col customWidth="1" min="26" max="26" width="7.13"/>
    <col customWidth="1" min="27" max="27" width="17.88"/>
  </cols>
  <sheetData>
    <row r="1">
      <c r="A1" s="94" t="s">
        <v>287</v>
      </c>
      <c r="B1" s="94" t="s">
        <v>4</v>
      </c>
      <c r="C1" s="94" t="s">
        <v>73</v>
      </c>
      <c r="D1" s="94" t="s">
        <v>74</v>
      </c>
      <c r="E1" s="94" t="s">
        <v>75</v>
      </c>
      <c r="F1" s="94" t="s">
        <v>76</v>
      </c>
      <c r="G1" s="94" t="s">
        <v>77</v>
      </c>
      <c r="H1" s="94" t="s">
        <v>78</v>
      </c>
      <c r="I1" s="94" t="s">
        <v>79</v>
      </c>
      <c r="J1" s="94" t="s">
        <v>80</v>
      </c>
      <c r="K1" s="94" t="s">
        <v>81</v>
      </c>
      <c r="L1" s="94" t="s">
        <v>6</v>
      </c>
      <c r="M1" s="94" t="s">
        <v>82</v>
      </c>
      <c r="N1" s="94" t="s">
        <v>5</v>
      </c>
      <c r="O1" s="94" t="s">
        <v>85</v>
      </c>
      <c r="P1" s="94" t="s">
        <v>86</v>
      </c>
      <c r="Q1" s="94" t="s">
        <v>87</v>
      </c>
      <c r="R1" s="94" t="s">
        <v>88</v>
      </c>
      <c r="S1" s="94" t="s">
        <v>89</v>
      </c>
      <c r="T1" s="94" t="s">
        <v>90</v>
      </c>
      <c r="U1" s="94" t="s">
        <v>91</v>
      </c>
      <c r="V1" s="94" t="s">
        <v>92</v>
      </c>
      <c r="W1" s="94" t="s">
        <v>93</v>
      </c>
      <c r="X1" s="94" t="s">
        <v>94</v>
      </c>
      <c r="Y1" s="95" t="s">
        <v>95</v>
      </c>
      <c r="Z1" s="20"/>
      <c r="AA1" s="21"/>
    </row>
    <row r="2">
      <c r="A2" s="97">
        <v>1.0</v>
      </c>
      <c r="B2" s="11" t="s">
        <v>51</v>
      </c>
      <c r="C2" s="98" t="s">
        <v>273</v>
      </c>
      <c r="D2" s="99">
        <v>44232.0</v>
      </c>
      <c r="E2" s="11">
        <v>408.0</v>
      </c>
      <c r="F2" s="99">
        <v>44229.0</v>
      </c>
      <c r="G2" s="11">
        <v>421.0</v>
      </c>
      <c r="H2" s="10">
        <f>IFERROR(__xludf.DUMMYFUNCTION("GOOGLEFINANCE(""NSE:""&amp;B2,""price"")"),271.3)</f>
        <v>271.3</v>
      </c>
      <c r="I2" s="97">
        <v>48.0</v>
      </c>
      <c r="J2" s="11">
        <f t="shared" ref="J2:J53" si="1">E2*I2</f>
        <v>19584</v>
      </c>
      <c r="K2" s="11">
        <f t="shared" ref="K2:K53" si="2">IF(G2&gt;0,(E2+G2)*I2,E2*I2)</f>
        <v>39792</v>
      </c>
      <c r="L2" s="11">
        <f t="shared" ref="L2:L5" si="3">IF(G2&gt;0,0,(G2-E2)*I2)</f>
        <v>0</v>
      </c>
      <c r="M2" s="100">
        <f t="shared" ref="M2:M53" si="4">IF(G2&gt;0,0,(H2-E2)/E2)</f>
        <v>0</v>
      </c>
      <c r="N2" s="11">
        <f t="shared" ref="N2:N53" si="5">IF(G2=0,0,(G2-E2)*I2)</f>
        <v>624</v>
      </c>
      <c r="O2" s="100">
        <f t="shared" ref="O2:O53" si="6">IF(G2&gt;0,(G2-E2)/E2,0)</f>
        <v>0.0318627451</v>
      </c>
      <c r="P2" s="11">
        <f t="shared" ref="P2:P53" si="7">0.001*K2</f>
        <v>39.792</v>
      </c>
      <c r="Q2" s="11">
        <f t="shared" ref="Q2:Q53" si="8">0.0000325*K2</f>
        <v>1.29324</v>
      </c>
      <c r="R2" s="11">
        <f t="shared" ref="R2:R53" si="9">0.18*Q2</f>
        <v>0.2327832</v>
      </c>
      <c r="S2" s="101">
        <f t="shared" ref="S2:S53" si="10">0.0000005*K2</f>
        <v>0.019896</v>
      </c>
      <c r="T2" s="11">
        <f t="shared" ref="T2:T53" si="11">P2+Q2+R2+S2</f>
        <v>41.3379192</v>
      </c>
      <c r="U2" s="11">
        <f t="shared" ref="U2:U9" si="12">IF(G2&gt;0,16,0)</f>
        <v>16</v>
      </c>
      <c r="V2" s="11">
        <f t="shared" ref="V2:V35" si="13">T2+U2</f>
        <v>57.3379192</v>
      </c>
      <c r="W2" s="11">
        <f t="shared" ref="W2:W53" si="14">IF(G2&gt;0,N2-V2,0)</f>
        <v>566.6620808</v>
      </c>
      <c r="X2" s="100">
        <f t="shared" ref="X2:X53" si="15">W2/J2</f>
        <v>0.02893495102</v>
      </c>
      <c r="Y2" s="102">
        <f>sum($AB$2,W2)</f>
        <v>90566.66208</v>
      </c>
      <c r="Z2" s="31"/>
      <c r="AA2" s="32" t="s">
        <v>98</v>
      </c>
      <c r="AB2" s="9">
        <v>90000.0</v>
      </c>
    </row>
    <row r="3">
      <c r="A3" s="97">
        <v>2.0</v>
      </c>
      <c r="B3" s="11" t="s">
        <v>138</v>
      </c>
      <c r="C3" s="97" t="s">
        <v>273</v>
      </c>
      <c r="D3" s="99">
        <v>44200.0</v>
      </c>
      <c r="E3" s="11">
        <v>917.78</v>
      </c>
      <c r="F3" s="99">
        <v>44229.0</v>
      </c>
      <c r="G3" s="11">
        <v>1160.0</v>
      </c>
      <c r="H3" s="10">
        <f>IFERROR(__xludf.DUMMYFUNCTION("GOOGLEFINANCE(""NSE:""&amp;B3,""price"")"),2823.1)</f>
        <v>2823.1</v>
      </c>
      <c r="I3" s="97">
        <v>27.0</v>
      </c>
      <c r="J3" s="11">
        <f t="shared" si="1"/>
        <v>24780.06</v>
      </c>
      <c r="K3" s="11">
        <f t="shared" si="2"/>
        <v>56100.06</v>
      </c>
      <c r="L3" s="11">
        <f t="shared" si="3"/>
        <v>0</v>
      </c>
      <c r="M3" s="100">
        <f t="shared" si="4"/>
        <v>0</v>
      </c>
      <c r="N3" s="11">
        <f t="shared" si="5"/>
        <v>6539.94</v>
      </c>
      <c r="O3" s="100">
        <f t="shared" si="6"/>
        <v>0.2639194578</v>
      </c>
      <c r="P3" s="11">
        <f t="shared" si="7"/>
        <v>56.10006</v>
      </c>
      <c r="Q3" s="11">
        <f t="shared" si="8"/>
        <v>1.82325195</v>
      </c>
      <c r="R3" s="11">
        <f t="shared" si="9"/>
        <v>0.328185351</v>
      </c>
      <c r="S3" s="11">
        <f t="shared" si="10"/>
        <v>0.02805003</v>
      </c>
      <c r="T3" s="11">
        <f t="shared" si="11"/>
        <v>58.27954733</v>
      </c>
      <c r="U3" s="11">
        <f t="shared" si="12"/>
        <v>16</v>
      </c>
      <c r="V3" s="11">
        <f t="shared" si="13"/>
        <v>74.27954733</v>
      </c>
      <c r="W3" s="11">
        <f t="shared" si="14"/>
        <v>6465.660453</v>
      </c>
      <c r="X3" s="100">
        <f t="shared" si="15"/>
        <v>0.2609219047</v>
      </c>
      <c r="Y3" s="102">
        <f t="shared" ref="Y3:Y50" si="16">sum(Y2,W3)</f>
        <v>97032.32253</v>
      </c>
      <c r="Z3" s="31"/>
      <c r="AA3" s="32" t="s">
        <v>99</v>
      </c>
      <c r="AB3" s="33">
        <f>AB2+W54</f>
        <v>133070.9875</v>
      </c>
    </row>
    <row r="4">
      <c r="A4" s="97">
        <v>3.0</v>
      </c>
      <c r="B4" s="124" t="s">
        <v>288</v>
      </c>
      <c r="C4" s="97" t="s">
        <v>153</v>
      </c>
      <c r="D4" s="99">
        <v>44196.0</v>
      </c>
      <c r="E4" s="11">
        <v>252.0</v>
      </c>
      <c r="F4" s="99">
        <v>44235.0</v>
      </c>
      <c r="G4" s="11">
        <v>228.0</v>
      </c>
      <c r="H4" s="10">
        <f>IFERROR(__xludf.DUMMYFUNCTION("GOOGLEFINANCE(""NSE:""&amp;B4,""price"")"),468.95)</f>
        <v>468.95</v>
      </c>
      <c r="I4" s="97">
        <v>25.0</v>
      </c>
      <c r="J4" s="11">
        <f t="shared" si="1"/>
        <v>6300</v>
      </c>
      <c r="K4" s="11">
        <f t="shared" si="2"/>
        <v>12000</v>
      </c>
      <c r="L4" s="11">
        <f t="shared" si="3"/>
        <v>0</v>
      </c>
      <c r="M4" s="100">
        <f t="shared" si="4"/>
        <v>0</v>
      </c>
      <c r="N4" s="11">
        <f t="shared" si="5"/>
        <v>-600</v>
      </c>
      <c r="O4" s="100">
        <f t="shared" si="6"/>
        <v>-0.09523809524</v>
      </c>
      <c r="P4" s="11">
        <f t="shared" si="7"/>
        <v>12</v>
      </c>
      <c r="Q4" s="11">
        <f t="shared" si="8"/>
        <v>0.39</v>
      </c>
      <c r="R4" s="11">
        <f t="shared" si="9"/>
        <v>0.0702</v>
      </c>
      <c r="S4" s="11">
        <f t="shared" si="10"/>
        <v>0.006</v>
      </c>
      <c r="T4" s="11">
        <f t="shared" si="11"/>
        <v>12.4662</v>
      </c>
      <c r="U4" s="11">
        <f t="shared" si="12"/>
        <v>16</v>
      </c>
      <c r="V4" s="11">
        <f t="shared" si="13"/>
        <v>28.4662</v>
      </c>
      <c r="W4" s="11">
        <f t="shared" si="14"/>
        <v>-628.4662</v>
      </c>
      <c r="X4" s="100">
        <f t="shared" si="15"/>
        <v>-0.09975653968</v>
      </c>
      <c r="Y4" s="102">
        <f t="shared" si="16"/>
        <v>96403.85633</v>
      </c>
      <c r="Z4" s="31"/>
      <c r="AA4" s="32" t="s">
        <v>100</v>
      </c>
      <c r="AB4" s="9">
        <f>AB3-AB2</f>
        <v>43070.98751</v>
      </c>
    </row>
    <row r="5">
      <c r="A5" s="97">
        <v>4.0</v>
      </c>
      <c r="B5" s="11" t="s">
        <v>289</v>
      </c>
      <c r="C5" s="97" t="s">
        <v>273</v>
      </c>
      <c r="D5" s="99">
        <v>44230.0</v>
      </c>
      <c r="E5" s="11">
        <v>938.12</v>
      </c>
      <c r="F5" s="99">
        <v>44231.0</v>
      </c>
      <c r="G5" s="11">
        <v>920.04</v>
      </c>
      <c r="H5" s="10">
        <f>IFERROR(__xludf.DUMMYFUNCTION("GOOGLEFINANCE(""NSE:""&amp;B5,""price"")"),1216.6)</f>
        <v>1216.6</v>
      </c>
      <c r="I5" s="97">
        <v>30.0</v>
      </c>
      <c r="J5" s="11">
        <f t="shared" si="1"/>
        <v>28143.6</v>
      </c>
      <c r="K5" s="11">
        <f t="shared" si="2"/>
        <v>55744.8</v>
      </c>
      <c r="L5" s="11">
        <f t="shared" si="3"/>
        <v>0</v>
      </c>
      <c r="M5" s="100">
        <f t="shared" si="4"/>
        <v>0</v>
      </c>
      <c r="N5" s="11">
        <f t="shared" si="5"/>
        <v>-542.4</v>
      </c>
      <c r="O5" s="100">
        <f t="shared" si="6"/>
        <v>-0.01927258773</v>
      </c>
      <c r="P5" s="11">
        <f t="shared" si="7"/>
        <v>55.7448</v>
      </c>
      <c r="Q5" s="11">
        <f t="shared" si="8"/>
        <v>1.811706</v>
      </c>
      <c r="R5" s="11">
        <f t="shared" si="9"/>
        <v>0.32610708</v>
      </c>
      <c r="S5" s="11">
        <f t="shared" si="10"/>
        <v>0.0278724</v>
      </c>
      <c r="T5" s="11">
        <f t="shared" si="11"/>
        <v>57.91048548</v>
      </c>
      <c r="U5" s="11">
        <f t="shared" si="12"/>
        <v>16</v>
      </c>
      <c r="V5" s="11">
        <f t="shared" si="13"/>
        <v>73.91048548</v>
      </c>
      <c r="W5" s="11">
        <f t="shared" si="14"/>
        <v>-616.3104855</v>
      </c>
      <c r="X5" s="100">
        <f t="shared" si="15"/>
        <v>-0.02189877931</v>
      </c>
      <c r="Y5" s="11">
        <f t="shared" si="16"/>
        <v>95787.54585</v>
      </c>
      <c r="Z5" s="31"/>
      <c r="AA5" s="32" t="s">
        <v>103</v>
      </c>
      <c r="AB5" s="37">
        <f>AB4/AB2</f>
        <v>0.4785665279</v>
      </c>
    </row>
    <row r="6">
      <c r="A6" s="97">
        <v>5.0</v>
      </c>
      <c r="B6" s="11" t="s">
        <v>289</v>
      </c>
      <c r="C6" s="98" t="s">
        <v>273</v>
      </c>
      <c r="D6" s="99">
        <v>44230.0</v>
      </c>
      <c r="E6" s="11">
        <v>938.12</v>
      </c>
      <c r="F6" s="99">
        <v>44302.0</v>
      </c>
      <c r="G6" s="11">
        <v>942.0</v>
      </c>
      <c r="H6" s="10">
        <f>IFERROR(__xludf.DUMMYFUNCTION("GOOGLEFINANCE(""NSE:""&amp;B6,""price"")"),1216.6)</f>
        <v>1216.6</v>
      </c>
      <c r="I6" s="97">
        <v>20.0</v>
      </c>
      <c r="J6" s="11">
        <f t="shared" si="1"/>
        <v>18762.4</v>
      </c>
      <c r="K6" s="11">
        <f t="shared" si="2"/>
        <v>37602.4</v>
      </c>
      <c r="L6" s="11">
        <f t="shared" ref="L6:L53" si="17">IF(G6&gt;0,0,(H6-E6)*I6)</f>
        <v>0</v>
      </c>
      <c r="M6" s="100">
        <f t="shared" si="4"/>
        <v>0</v>
      </c>
      <c r="N6" s="11">
        <f t="shared" si="5"/>
        <v>77.6</v>
      </c>
      <c r="O6" s="100">
        <f t="shared" si="6"/>
        <v>0.004135931437</v>
      </c>
      <c r="P6" s="11">
        <f t="shared" si="7"/>
        <v>37.6024</v>
      </c>
      <c r="Q6" s="11">
        <f t="shared" si="8"/>
        <v>1.222078</v>
      </c>
      <c r="R6" s="11">
        <f t="shared" si="9"/>
        <v>0.21997404</v>
      </c>
      <c r="S6" s="11">
        <f t="shared" si="10"/>
        <v>0.0188012</v>
      </c>
      <c r="T6" s="11">
        <f t="shared" si="11"/>
        <v>39.06325324</v>
      </c>
      <c r="U6" s="11">
        <f t="shared" si="12"/>
        <v>16</v>
      </c>
      <c r="V6" s="11">
        <f t="shared" si="13"/>
        <v>55.06325324</v>
      </c>
      <c r="W6" s="11">
        <f t="shared" si="14"/>
        <v>22.53674676</v>
      </c>
      <c r="X6" s="100">
        <f t="shared" si="15"/>
        <v>0.001201165456</v>
      </c>
      <c r="Y6" s="11">
        <f t="shared" si="16"/>
        <v>95810.08259</v>
      </c>
    </row>
    <row r="7">
      <c r="A7" s="97">
        <v>6.0</v>
      </c>
      <c r="B7" s="11" t="s">
        <v>14</v>
      </c>
      <c r="C7" s="98" t="s">
        <v>273</v>
      </c>
      <c r="D7" s="99">
        <v>44236.0</v>
      </c>
      <c r="E7" s="11">
        <v>2520.0</v>
      </c>
      <c r="F7" s="99">
        <v>44286.0</v>
      </c>
      <c r="G7" s="11">
        <v>2564.0</v>
      </c>
      <c r="H7" s="10">
        <f>IFERROR(__xludf.DUMMYFUNCTION("GOOGLEFINANCE(""NSE:""&amp;B7,""price"")"),2808.0)</f>
        <v>2808</v>
      </c>
      <c r="I7" s="97">
        <v>5.0</v>
      </c>
      <c r="J7" s="11">
        <f t="shared" si="1"/>
        <v>12600</v>
      </c>
      <c r="K7" s="11">
        <f t="shared" si="2"/>
        <v>25420</v>
      </c>
      <c r="L7" s="11">
        <f t="shared" si="17"/>
        <v>0</v>
      </c>
      <c r="M7" s="100">
        <f t="shared" si="4"/>
        <v>0</v>
      </c>
      <c r="N7" s="11">
        <f t="shared" si="5"/>
        <v>220</v>
      </c>
      <c r="O7" s="100">
        <f t="shared" si="6"/>
        <v>0.01746031746</v>
      </c>
      <c r="P7" s="11">
        <f t="shared" si="7"/>
        <v>25.42</v>
      </c>
      <c r="Q7" s="11">
        <f t="shared" si="8"/>
        <v>0.82615</v>
      </c>
      <c r="R7" s="11">
        <f t="shared" si="9"/>
        <v>0.148707</v>
      </c>
      <c r="S7" s="11">
        <f t="shared" si="10"/>
        <v>0.01271</v>
      </c>
      <c r="T7" s="11">
        <f t="shared" si="11"/>
        <v>26.407567</v>
      </c>
      <c r="U7" s="11">
        <f t="shared" si="12"/>
        <v>16</v>
      </c>
      <c r="V7" s="11">
        <f t="shared" si="13"/>
        <v>42.407567</v>
      </c>
      <c r="W7" s="11">
        <f t="shared" si="14"/>
        <v>177.592433</v>
      </c>
      <c r="X7" s="100">
        <f t="shared" si="15"/>
        <v>0.01409463754</v>
      </c>
      <c r="Y7" s="11">
        <f t="shared" si="16"/>
        <v>95987.67503</v>
      </c>
    </row>
    <row r="8">
      <c r="A8" s="97">
        <v>7.0</v>
      </c>
      <c r="B8" s="11" t="s">
        <v>290</v>
      </c>
      <c r="C8" s="98" t="s">
        <v>273</v>
      </c>
      <c r="D8" s="99">
        <v>44235.0</v>
      </c>
      <c r="E8" s="11">
        <v>220.8</v>
      </c>
      <c r="F8" s="99">
        <v>44356.0</v>
      </c>
      <c r="G8" s="11">
        <v>223.75</v>
      </c>
      <c r="H8" s="10">
        <f>IFERROR(__xludf.DUMMYFUNCTION("GOOGLEFINANCE(""NSE:""&amp;B8,""price"")"),91.8)</f>
        <v>91.8</v>
      </c>
      <c r="I8" s="97">
        <v>24.0</v>
      </c>
      <c r="J8" s="11">
        <f t="shared" si="1"/>
        <v>5299.2</v>
      </c>
      <c r="K8" s="11">
        <f t="shared" si="2"/>
        <v>10669.2</v>
      </c>
      <c r="L8" s="11">
        <f t="shared" si="17"/>
        <v>0</v>
      </c>
      <c r="M8" s="100">
        <f t="shared" si="4"/>
        <v>0</v>
      </c>
      <c r="N8" s="11">
        <f t="shared" si="5"/>
        <v>70.8</v>
      </c>
      <c r="O8" s="100">
        <f t="shared" si="6"/>
        <v>0.01336050725</v>
      </c>
      <c r="P8" s="11">
        <f t="shared" si="7"/>
        <v>10.6692</v>
      </c>
      <c r="Q8" s="11">
        <f t="shared" si="8"/>
        <v>0.346749</v>
      </c>
      <c r="R8" s="11">
        <f t="shared" si="9"/>
        <v>0.06241482</v>
      </c>
      <c r="S8" s="11">
        <f t="shared" si="10"/>
        <v>0.0053346</v>
      </c>
      <c r="T8" s="11">
        <f t="shared" si="11"/>
        <v>11.08369842</v>
      </c>
      <c r="U8" s="11">
        <f t="shared" si="12"/>
        <v>16</v>
      </c>
      <c r="V8" s="11">
        <f t="shared" si="13"/>
        <v>27.08369842</v>
      </c>
      <c r="W8" s="11">
        <f t="shared" si="14"/>
        <v>43.71630158</v>
      </c>
      <c r="X8" s="100">
        <f t="shared" si="15"/>
        <v>0.008249604012</v>
      </c>
      <c r="Y8" s="11">
        <f t="shared" si="16"/>
        <v>96031.39133</v>
      </c>
    </row>
    <row r="9">
      <c r="A9" s="97">
        <v>8.0</v>
      </c>
      <c r="B9" s="11" t="s">
        <v>39</v>
      </c>
      <c r="C9" s="98" t="s">
        <v>273</v>
      </c>
      <c r="D9" s="99">
        <v>44235.0</v>
      </c>
      <c r="E9" s="11">
        <v>1951.32</v>
      </c>
      <c r="F9" s="99">
        <v>44238.0</v>
      </c>
      <c r="G9" s="11">
        <v>2047.0</v>
      </c>
      <c r="H9" s="10">
        <f>IFERROR(__xludf.DUMMYFUNCTION("GOOGLEFINANCE(""NSE:""&amp;B9,""price"")"),1569.0)</f>
        <v>1569</v>
      </c>
      <c r="I9" s="97">
        <v>5.0</v>
      </c>
      <c r="J9" s="11">
        <f t="shared" si="1"/>
        <v>9756.6</v>
      </c>
      <c r="K9" s="11">
        <f t="shared" si="2"/>
        <v>19991.6</v>
      </c>
      <c r="L9" s="11">
        <f t="shared" si="17"/>
        <v>0</v>
      </c>
      <c r="M9" s="100">
        <f t="shared" si="4"/>
        <v>0</v>
      </c>
      <c r="N9" s="11">
        <f t="shared" si="5"/>
        <v>478.4</v>
      </c>
      <c r="O9" s="100">
        <f t="shared" si="6"/>
        <v>0.04903347478</v>
      </c>
      <c r="P9" s="11">
        <f t="shared" si="7"/>
        <v>19.9916</v>
      </c>
      <c r="Q9" s="11">
        <f t="shared" si="8"/>
        <v>0.649727</v>
      </c>
      <c r="R9" s="11">
        <f t="shared" si="9"/>
        <v>0.11695086</v>
      </c>
      <c r="S9" s="11">
        <f t="shared" si="10"/>
        <v>0.0099958</v>
      </c>
      <c r="T9" s="11">
        <f t="shared" si="11"/>
        <v>20.76827366</v>
      </c>
      <c r="U9" s="11">
        <f t="shared" si="12"/>
        <v>16</v>
      </c>
      <c r="V9" s="11">
        <f t="shared" si="13"/>
        <v>36.76827366</v>
      </c>
      <c r="W9" s="11">
        <f t="shared" si="14"/>
        <v>441.6317263</v>
      </c>
      <c r="X9" s="100">
        <f t="shared" si="15"/>
        <v>0.04526492081</v>
      </c>
      <c r="Y9" s="11">
        <f t="shared" si="16"/>
        <v>96473.02306</v>
      </c>
    </row>
    <row r="10">
      <c r="A10" s="97">
        <v>9.0</v>
      </c>
      <c r="B10" s="11" t="s">
        <v>38</v>
      </c>
      <c r="C10" s="97" t="s">
        <v>114</v>
      </c>
      <c r="D10" s="99">
        <v>44235.0</v>
      </c>
      <c r="E10" s="11">
        <v>142.16</v>
      </c>
      <c r="F10" s="99">
        <v>44252.0</v>
      </c>
      <c r="G10" s="11">
        <v>153.0</v>
      </c>
      <c r="H10" s="10">
        <f>IFERROR(__xludf.DUMMYFUNCTION("GOOGLEFINANCE(""NSE:""&amp;B10,""price"")"),400.65)</f>
        <v>400.65</v>
      </c>
      <c r="I10" s="97">
        <v>100.0</v>
      </c>
      <c r="J10" s="11">
        <f t="shared" si="1"/>
        <v>14216</v>
      </c>
      <c r="K10" s="11">
        <f t="shared" si="2"/>
        <v>29516</v>
      </c>
      <c r="L10" s="11">
        <f t="shared" si="17"/>
        <v>0</v>
      </c>
      <c r="M10" s="100">
        <f t="shared" si="4"/>
        <v>0</v>
      </c>
      <c r="N10" s="11">
        <f t="shared" si="5"/>
        <v>1084</v>
      </c>
      <c r="O10" s="100">
        <f t="shared" si="6"/>
        <v>0.0762521103</v>
      </c>
      <c r="P10" s="11">
        <f t="shared" si="7"/>
        <v>29.516</v>
      </c>
      <c r="Q10" s="11">
        <f t="shared" si="8"/>
        <v>0.95927</v>
      </c>
      <c r="R10" s="11">
        <f t="shared" si="9"/>
        <v>0.1726686</v>
      </c>
      <c r="S10" s="11">
        <f t="shared" si="10"/>
        <v>0.014758</v>
      </c>
      <c r="T10" s="11">
        <f t="shared" si="11"/>
        <v>30.6626966</v>
      </c>
      <c r="U10" s="11">
        <v>59.0</v>
      </c>
      <c r="V10" s="11">
        <f t="shared" si="13"/>
        <v>89.6626966</v>
      </c>
      <c r="W10" s="11">
        <f t="shared" si="14"/>
        <v>994.3373034</v>
      </c>
      <c r="X10" s="100">
        <f t="shared" si="15"/>
        <v>0.06994494256</v>
      </c>
      <c r="Y10" s="11">
        <f t="shared" si="16"/>
        <v>97467.36036</v>
      </c>
    </row>
    <row r="11">
      <c r="A11" s="97">
        <v>10.0</v>
      </c>
      <c r="B11" s="11" t="s">
        <v>122</v>
      </c>
      <c r="C11" s="97" t="s">
        <v>153</v>
      </c>
      <c r="D11" s="99">
        <v>44236.0</v>
      </c>
      <c r="E11" s="11">
        <v>12.15</v>
      </c>
      <c r="F11" s="99"/>
      <c r="G11" s="11">
        <v>0.0</v>
      </c>
      <c r="H11" s="10">
        <f>IFERROR(__xludf.DUMMYFUNCTION("GOOGLEFINANCE(""NSE:""&amp;B11,""price"")"),12.02)</f>
        <v>12.02</v>
      </c>
      <c r="I11" s="97">
        <v>95.0</v>
      </c>
      <c r="J11" s="11">
        <f t="shared" si="1"/>
        <v>1154.25</v>
      </c>
      <c r="K11" s="11">
        <f t="shared" si="2"/>
        <v>1154.25</v>
      </c>
      <c r="L11" s="11">
        <f t="shared" si="17"/>
        <v>-12.35</v>
      </c>
      <c r="M11" s="100">
        <f t="shared" si="4"/>
        <v>-0.01069958848</v>
      </c>
      <c r="N11" s="11">
        <f t="shared" si="5"/>
        <v>0</v>
      </c>
      <c r="O11" s="100">
        <f t="shared" si="6"/>
        <v>0</v>
      </c>
      <c r="P11" s="11">
        <f t="shared" si="7"/>
        <v>1.15425</v>
      </c>
      <c r="Q11" s="11">
        <f t="shared" si="8"/>
        <v>0.037513125</v>
      </c>
      <c r="R11" s="11">
        <f t="shared" si="9"/>
        <v>0.0067523625</v>
      </c>
      <c r="S11" s="11">
        <f t="shared" si="10"/>
        <v>0.000577125</v>
      </c>
      <c r="T11" s="11">
        <f t="shared" si="11"/>
        <v>1.199092613</v>
      </c>
      <c r="U11" s="11">
        <f t="shared" ref="U11:U12" si="18">IF(G11&gt;0,16,0)</f>
        <v>0</v>
      </c>
      <c r="V11" s="11">
        <f t="shared" si="13"/>
        <v>1.199092613</v>
      </c>
      <c r="W11" s="11">
        <f t="shared" si="14"/>
        <v>0</v>
      </c>
      <c r="X11" s="100">
        <f t="shared" si="15"/>
        <v>0</v>
      </c>
      <c r="Y11" s="11">
        <f t="shared" si="16"/>
        <v>97467.36036</v>
      </c>
    </row>
    <row r="12">
      <c r="A12" s="97">
        <v>11.0</v>
      </c>
      <c r="B12" s="11" t="s">
        <v>294</v>
      </c>
      <c r="C12" s="98" t="s">
        <v>273</v>
      </c>
      <c r="D12" s="99">
        <v>44238.0</v>
      </c>
      <c r="E12" s="11">
        <v>357.1</v>
      </c>
      <c r="F12" s="99">
        <v>44242.0</v>
      </c>
      <c r="G12" s="11">
        <v>378.35</v>
      </c>
      <c r="H12" s="10">
        <f>IFERROR(__xludf.DUMMYFUNCTION("GOOGLEFINANCE(""NSE:""&amp;B12,""price"")"),366.75)</f>
        <v>366.75</v>
      </c>
      <c r="I12" s="97">
        <v>34.0</v>
      </c>
      <c r="J12" s="11">
        <f t="shared" si="1"/>
        <v>12141.4</v>
      </c>
      <c r="K12" s="11">
        <f t="shared" si="2"/>
        <v>25005.3</v>
      </c>
      <c r="L12" s="11">
        <f t="shared" si="17"/>
        <v>0</v>
      </c>
      <c r="M12" s="100">
        <f t="shared" si="4"/>
        <v>0</v>
      </c>
      <c r="N12" s="11">
        <f t="shared" si="5"/>
        <v>722.5</v>
      </c>
      <c r="O12" s="100">
        <f t="shared" si="6"/>
        <v>0.05950714086</v>
      </c>
      <c r="P12" s="11">
        <f t="shared" si="7"/>
        <v>25.0053</v>
      </c>
      <c r="Q12" s="11">
        <f t="shared" si="8"/>
        <v>0.81267225</v>
      </c>
      <c r="R12" s="11">
        <f t="shared" si="9"/>
        <v>0.146281005</v>
      </c>
      <c r="S12" s="11">
        <f t="shared" si="10"/>
        <v>0.01250265</v>
      </c>
      <c r="T12" s="11">
        <f t="shared" si="11"/>
        <v>25.97675591</v>
      </c>
      <c r="U12" s="11">
        <f t="shared" si="18"/>
        <v>16</v>
      </c>
      <c r="V12" s="11">
        <f t="shared" si="13"/>
        <v>41.97675591</v>
      </c>
      <c r="W12" s="11">
        <f t="shared" si="14"/>
        <v>680.5232441</v>
      </c>
      <c r="X12" s="100">
        <f t="shared" si="15"/>
        <v>0.05604981667</v>
      </c>
      <c r="Y12" s="11">
        <f t="shared" si="16"/>
        <v>98147.8836</v>
      </c>
      <c r="AC12" s="9"/>
    </row>
    <row r="13">
      <c r="A13" s="97">
        <v>12.0</v>
      </c>
      <c r="B13" s="107" t="s">
        <v>31</v>
      </c>
      <c r="C13" s="97" t="s">
        <v>114</v>
      </c>
      <c r="D13" s="99">
        <v>44242.0</v>
      </c>
      <c r="E13" s="11">
        <v>53.9</v>
      </c>
      <c r="F13" s="99">
        <v>44274.0</v>
      </c>
      <c r="G13" s="11">
        <v>60.0</v>
      </c>
      <c r="H13" s="10">
        <f>IFERROR(__xludf.DUMMYFUNCTION("GOOGLEFINANCE(""NSE:""&amp;B13,""price"")"),84.9)</f>
        <v>84.9</v>
      </c>
      <c r="I13" s="97">
        <v>100.0</v>
      </c>
      <c r="J13" s="11">
        <f t="shared" si="1"/>
        <v>5390</v>
      </c>
      <c r="K13" s="11">
        <f t="shared" si="2"/>
        <v>11390</v>
      </c>
      <c r="L13" s="11">
        <f t="shared" si="17"/>
        <v>0</v>
      </c>
      <c r="M13" s="100">
        <f t="shared" si="4"/>
        <v>0</v>
      </c>
      <c r="N13" s="11">
        <f t="shared" si="5"/>
        <v>610</v>
      </c>
      <c r="O13" s="100">
        <f t="shared" si="6"/>
        <v>0.1131725417</v>
      </c>
      <c r="P13" s="11">
        <f t="shared" si="7"/>
        <v>11.39</v>
      </c>
      <c r="Q13" s="11">
        <f t="shared" si="8"/>
        <v>0.370175</v>
      </c>
      <c r="R13" s="11">
        <f t="shared" si="9"/>
        <v>0.0666315</v>
      </c>
      <c r="S13" s="11">
        <f t="shared" si="10"/>
        <v>0.005695</v>
      </c>
      <c r="T13" s="11">
        <f t="shared" si="11"/>
        <v>11.8325015</v>
      </c>
      <c r="U13" s="11">
        <v>59.0</v>
      </c>
      <c r="V13" s="11">
        <f t="shared" si="13"/>
        <v>70.8325015</v>
      </c>
      <c r="W13" s="11">
        <f t="shared" si="14"/>
        <v>539.1674985</v>
      </c>
      <c r="X13" s="100">
        <f t="shared" si="15"/>
        <v>0.1000310758</v>
      </c>
      <c r="Y13" s="11">
        <f t="shared" si="16"/>
        <v>98687.0511</v>
      </c>
    </row>
    <row r="14">
      <c r="A14" s="97">
        <v>13.0</v>
      </c>
      <c r="B14" s="107" t="s">
        <v>296</v>
      </c>
      <c r="C14" s="97" t="s">
        <v>114</v>
      </c>
      <c r="D14" s="99">
        <v>44242.0</v>
      </c>
      <c r="E14" s="11">
        <v>84.89</v>
      </c>
      <c r="F14" s="99">
        <v>44259.0</v>
      </c>
      <c r="G14" s="11">
        <v>92.0</v>
      </c>
      <c r="H14" s="10">
        <f>IFERROR(__xludf.DUMMYFUNCTION("GOOGLEFINANCE(""NSE:""&amp;B14,""price"")"),265.1)</f>
        <v>265.1</v>
      </c>
      <c r="I14" s="97">
        <v>50.0</v>
      </c>
      <c r="J14" s="11">
        <f t="shared" si="1"/>
        <v>4244.5</v>
      </c>
      <c r="K14" s="11">
        <f t="shared" si="2"/>
        <v>8844.5</v>
      </c>
      <c r="L14" s="11">
        <f t="shared" si="17"/>
        <v>0</v>
      </c>
      <c r="M14" s="100">
        <f t="shared" si="4"/>
        <v>0</v>
      </c>
      <c r="N14" s="11">
        <f t="shared" si="5"/>
        <v>355.5</v>
      </c>
      <c r="O14" s="100">
        <f t="shared" si="6"/>
        <v>0.08375544823</v>
      </c>
      <c r="P14" s="11">
        <f t="shared" si="7"/>
        <v>8.8445</v>
      </c>
      <c r="Q14" s="11">
        <f t="shared" si="8"/>
        <v>0.28744625</v>
      </c>
      <c r="R14" s="11">
        <f t="shared" si="9"/>
        <v>0.051740325</v>
      </c>
      <c r="S14" s="11">
        <f t="shared" si="10"/>
        <v>0.00442225</v>
      </c>
      <c r="T14" s="11">
        <f t="shared" si="11"/>
        <v>9.188108825</v>
      </c>
      <c r="U14" s="11">
        <v>59.0</v>
      </c>
      <c r="V14" s="11">
        <f t="shared" si="13"/>
        <v>68.18810883</v>
      </c>
      <c r="W14" s="11">
        <f t="shared" si="14"/>
        <v>287.3118912</v>
      </c>
      <c r="X14" s="100">
        <f t="shared" si="15"/>
        <v>0.06769039726</v>
      </c>
      <c r="Y14" s="11">
        <f t="shared" si="16"/>
        <v>98974.36299</v>
      </c>
    </row>
    <row r="15">
      <c r="A15" s="97">
        <v>14.0</v>
      </c>
      <c r="B15" s="108" t="s">
        <v>298</v>
      </c>
      <c r="C15" s="98" t="s">
        <v>273</v>
      </c>
      <c r="D15" s="99">
        <v>44242.0</v>
      </c>
      <c r="E15" s="11">
        <v>99.7</v>
      </c>
      <c r="F15" s="99">
        <v>44252.0</v>
      </c>
      <c r="G15" s="11">
        <v>106.0</v>
      </c>
      <c r="H15" s="10" t="str">
        <f>IFERROR(__xludf.DUMMYFUNCTION("GOOGLEFINANCE(""NSE:""&amp;B15,""price"")"),"#N/A")</f>
        <v>#N/A</v>
      </c>
      <c r="I15" s="97">
        <v>100.0</v>
      </c>
      <c r="J15" s="11">
        <f t="shared" si="1"/>
        <v>9970</v>
      </c>
      <c r="K15" s="11">
        <f t="shared" si="2"/>
        <v>20570</v>
      </c>
      <c r="L15" s="11">
        <f t="shared" si="17"/>
        <v>0</v>
      </c>
      <c r="M15" s="100">
        <f t="shared" si="4"/>
        <v>0</v>
      </c>
      <c r="N15" s="11">
        <f t="shared" si="5"/>
        <v>630</v>
      </c>
      <c r="O15" s="100">
        <f t="shared" si="6"/>
        <v>0.06318956871</v>
      </c>
      <c r="P15" s="11">
        <f t="shared" si="7"/>
        <v>20.57</v>
      </c>
      <c r="Q15" s="11">
        <f t="shared" si="8"/>
        <v>0.668525</v>
      </c>
      <c r="R15" s="11">
        <f t="shared" si="9"/>
        <v>0.1203345</v>
      </c>
      <c r="S15" s="11">
        <f t="shared" si="10"/>
        <v>0.010285</v>
      </c>
      <c r="T15" s="11">
        <f t="shared" si="11"/>
        <v>21.3691445</v>
      </c>
      <c r="U15" s="11">
        <f t="shared" ref="U15:U17" si="19">IF(G15&gt;0,16,0)</f>
        <v>16</v>
      </c>
      <c r="V15" s="11">
        <f t="shared" si="13"/>
        <v>37.3691445</v>
      </c>
      <c r="W15" s="11">
        <f t="shared" si="14"/>
        <v>592.6308555</v>
      </c>
      <c r="X15" s="100">
        <f t="shared" si="15"/>
        <v>0.05944140978</v>
      </c>
      <c r="Y15" s="11">
        <f t="shared" si="16"/>
        <v>99566.99385</v>
      </c>
    </row>
    <row r="16">
      <c r="A16" s="97">
        <v>15.0</v>
      </c>
      <c r="B16" s="97" t="s">
        <v>300</v>
      </c>
      <c r="C16" s="98" t="s">
        <v>273</v>
      </c>
      <c r="D16" s="99">
        <v>44245.0</v>
      </c>
      <c r="E16" s="11">
        <v>214.5</v>
      </c>
      <c r="F16" s="99">
        <v>44257.0</v>
      </c>
      <c r="G16" s="11">
        <v>221.45</v>
      </c>
      <c r="H16" s="10">
        <f>IFERROR(__xludf.DUMMYFUNCTION("GOOGLEFINANCE(""NSE:""&amp;B16,""price"")"),570.35)</f>
        <v>570.35</v>
      </c>
      <c r="I16" s="97">
        <v>25.0</v>
      </c>
      <c r="J16" s="11">
        <f t="shared" si="1"/>
        <v>5362.5</v>
      </c>
      <c r="K16" s="11">
        <f t="shared" si="2"/>
        <v>10898.75</v>
      </c>
      <c r="L16" s="11">
        <f t="shared" si="17"/>
        <v>0</v>
      </c>
      <c r="M16" s="100">
        <f t="shared" si="4"/>
        <v>0</v>
      </c>
      <c r="N16" s="11">
        <f t="shared" si="5"/>
        <v>173.75</v>
      </c>
      <c r="O16" s="100">
        <f t="shared" si="6"/>
        <v>0.0324009324</v>
      </c>
      <c r="P16" s="11">
        <f t="shared" si="7"/>
        <v>10.89875</v>
      </c>
      <c r="Q16" s="11">
        <f t="shared" si="8"/>
        <v>0.354209375</v>
      </c>
      <c r="R16" s="11">
        <f t="shared" si="9"/>
        <v>0.0637576875</v>
      </c>
      <c r="S16" s="11">
        <f t="shared" si="10"/>
        <v>0.005449375</v>
      </c>
      <c r="T16" s="11">
        <f t="shared" si="11"/>
        <v>11.32216644</v>
      </c>
      <c r="U16" s="11">
        <f t="shared" si="19"/>
        <v>16</v>
      </c>
      <c r="V16" s="11">
        <f t="shared" si="13"/>
        <v>27.32216644</v>
      </c>
      <c r="W16" s="11">
        <f t="shared" si="14"/>
        <v>146.4278336</v>
      </c>
      <c r="X16" s="100">
        <f t="shared" si="15"/>
        <v>0.02730588971</v>
      </c>
      <c r="Y16" s="11">
        <f t="shared" si="16"/>
        <v>99713.42168</v>
      </c>
    </row>
    <row r="17">
      <c r="A17" s="97">
        <v>16.0</v>
      </c>
      <c r="B17" s="11" t="s">
        <v>289</v>
      </c>
      <c r="C17" s="98" t="s">
        <v>273</v>
      </c>
      <c r="D17" s="99">
        <v>44252.0</v>
      </c>
      <c r="E17" s="11">
        <v>871.0</v>
      </c>
      <c r="F17" s="99">
        <v>44302.0</v>
      </c>
      <c r="G17" s="11">
        <v>940.0</v>
      </c>
      <c r="H17" s="10">
        <f>IFERROR(__xludf.DUMMYFUNCTION("GOOGLEFINANCE(""NSE:""&amp;B17,""price"")"),1216.6)</f>
        <v>1216.6</v>
      </c>
      <c r="I17" s="97">
        <v>10.0</v>
      </c>
      <c r="J17" s="11">
        <f t="shared" si="1"/>
        <v>8710</v>
      </c>
      <c r="K17" s="11">
        <f t="shared" si="2"/>
        <v>18110</v>
      </c>
      <c r="L17" s="11">
        <f t="shared" si="17"/>
        <v>0</v>
      </c>
      <c r="M17" s="100">
        <f t="shared" si="4"/>
        <v>0</v>
      </c>
      <c r="N17" s="11">
        <f t="shared" si="5"/>
        <v>690</v>
      </c>
      <c r="O17" s="100">
        <f t="shared" si="6"/>
        <v>0.07921928817</v>
      </c>
      <c r="P17" s="11">
        <f t="shared" si="7"/>
        <v>18.11</v>
      </c>
      <c r="Q17" s="11">
        <f t="shared" si="8"/>
        <v>0.588575</v>
      </c>
      <c r="R17" s="11">
        <f t="shared" si="9"/>
        <v>0.1059435</v>
      </c>
      <c r="S17" s="11">
        <f t="shared" si="10"/>
        <v>0.009055</v>
      </c>
      <c r="T17" s="11">
        <f t="shared" si="11"/>
        <v>18.8135735</v>
      </c>
      <c r="U17" s="11">
        <f t="shared" si="19"/>
        <v>16</v>
      </c>
      <c r="V17" s="11">
        <f t="shared" si="13"/>
        <v>34.8135735</v>
      </c>
      <c r="W17" s="11">
        <f t="shared" si="14"/>
        <v>655.1864265</v>
      </c>
      <c r="X17" s="100">
        <f t="shared" si="15"/>
        <v>0.07522232222</v>
      </c>
      <c r="Y17" s="11">
        <f t="shared" si="16"/>
        <v>100368.6081</v>
      </c>
    </row>
    <row r="18">
      <c r="A18" s="97">
        <v>17.0</v>
      </c>
      <c r="B18" s="11" t="s">
        <v>47</v>
      </c>
      <c r="C18" s="97" t="s">
        <v>114</v>
      </c>
      <c r="D18" s="99">
        <v>44252.0</v>
      </c>
      <c r="E18" s="11">
        <v>210.2</v>
      </c>
      <c r="F18" s="99">
        <v>44272.0</v>
      </c>
      <c r="G18" s="11">
        <v>212.0</v>
      </c>
      <c r="H18" s="10">
        <f>IFERROR(__xludf.DUMMYFUNCTION("GOOGLEFINANCE(""NSE:""&amp;B18,""price"")"),408.85)</f>
        <v>408.85</v>
      </c>
      <c r="I18" s="97">
        <v>70.0</v>
      </c>
      <c r="J18" s="11">
        <f t="shared" si="1"/>
        <v>14714</v>
      </c>
      <c r="K18" s="11">
        <f t="shared" si="2"/>
        <v>29554</v>
      </c>
      <c r="L18" s="11">
        <f t="shared" si="17"/>
        <v>0</v>
      </c>
      <c r="M18" s="100">
        <f t="shared" si="4"/>
        <v>0</v>
      </c>
      <c r="N18" s="11">
        <f t="shared" si="5"/>
        <v>126</v>
      </c>
      <c r="O18" s="100">
        <f t="shared" si="6"/>
        <v>0.008563273073</v>
      </c>
      <c r="P18" s="11">
        <f t="shared" si="7"/>
        <v>29.554</v>
      </c>
      <c r="Q18" s="11">
        <f t="shared" si="8"/>
        <v>0.960505</v>
      </c>
      <c r="R18" s="11">
        <f t="shared" si="9"/>
        <v>0.1728909</v>
      </c>
      <c r="S18" s="11">
        <f t="shared" si="10"/>
        <v>0.014777</v>
      </c>
      <c r="T18" s="11">
        <f t="shared" si="11"/>
        <v>30.7021729</v>
      </c>
      <c r="U18" s="11">
        <v>59.0</v>
      </c>
      <c r="V18" s="11">
        <f t="shared" si="13"/>
        <v>89.7021729</v>
      </c>
      <c r="W18" s="11">
        <f t="shared" si="14"/>
        <v>36.2978271</v>
      </c>
      <c r="X18" s="100">
        <f t="shared" si="15"/>
        <v>0.002466890519</v>
      </c>
      <c r="Y18" s="11">
        <f t="shared" si="16"/>
        <v>100404.9059</v>
      </c>
    </row>
    <row r="19">
      <c r="A19" s="97">
        <v>18.0</v>
      </c>
      <c r="B19" s="11" t="s">
        <v>302</v>
      </c>
      <c r="C19" s="97" t="s">
        <v>114</v>
      </c>
      <c r="D19" s="99">
        <v>44252.0</v>
      </c>
      <c r="E19" s="11">
        <v>226.0</v>
      </c>
      <c r="F19" s="99">
        <v>44258.0</v>
      </c>
      <c r="G19" s="11">
        <v>243.5</v>
      </c>
      <c r="H19" s="10" t="str">
        <f>IFERROR(__xludf.DUMMYFUNCTION("GOOGLEFINANCE(""NSE:""&amp;B19,""price"")"),"#N/A")</f>
        <v>#N/A</v>
      </c>
      <c r="I19" s="97">
        <v>40.0</v>
      </c>
      <c r="J19" s="11">
        <f t="shared" si="1"/>
        <v>9040</v>
      </c>
      <c r="K19" s="11">
        <f t="shared" si="2"/>
        <v>18780</v>
      </c>
      <c r="L19" s="11">
        <f t="shared" si="17"/>
        <v>0</v>
      </c>
      <c r="M19" s="100">
        <f t="shared" si="4"/>
        <v>0</v>
      </c>
      <c r="N19" s="11">
        <f t="shared" si="5"/>
        <v>700</v>
      </c>
      <c r="O19" s="100">
        <f t="shared" si="6"/>
        <v>0.07743362832</v>
      </c>
      <c r="P19" s="11">
        <f t="shared" si="7"/>
        <v>18.78</v>
      </c>
      <c r="Q19" s="11">
        <f t="shared" si="8"/>
        <v>0.61035</v>
      </c>
      <c r="R19" s="11">
        <f t="shared" si="9"/>
        <v>0.109863</v>
      </c>
      <c r="S19" s="11">
        <f t="shared" si="10"/>
        <v>0.00939</v>
      </c>
      <c r="T19" s="11">
        <f t="shared" si="11"/>
        <v>19.509603</v>
      </c>
      <c r="U19" s="11">
        <v>59.0</v>
      </c>
      <c r="V19" s="11">
        <f t="shared" si="13"/>
        <v>78.509603</v>
      </c>
      <c r="W19" s="11">
        <f t="shared" si="14"/>
        <v>621.490397</v>
      </c>
      <c r="X19" s="100">
        <f t="shared" si="15"/>
        <v>0.06874893772</v>
      </c>
      <c r="Y19" s="11">
        <f t="shared" si="16"/>
        <v>101026.3963</v>
      </c>
    </row>
    <row r="20">
      <c r="A20" s="97">
        <v>19.0</v>
      </c>
      <c r="B20" s="11" t="s">
        <v>41</v>
      </c>
      <c r="C20" s="98" t="s">
        <v>147</v>
      </c>
      <c r="D20" s="99">
        <v>44253.0</v>
      </c>
      <c r="E20" s="11">
        <v>595.9</v>
      </c>
      <c r="F20" s="99"/>
      <c r="G20" s="11">
        <v>0.0</v>
      </c>
      <c r="H20" s="10">
        <f>IFERROR(__xludf.DUMMYFUNCTION("GOOGLEFINANCE(""NSE:""&amp;B20,""price"")"),1362.4)</f>
        <v>1362.4</v>
      </c>
      <c r="I20" s="97">
        <v>20.0</v>
      </c>
      <c r="J20" s="11">
        <f t="shared" si="1"/>
        <v>11918</v>
      </c>
      <c r="K20" s="11">
        <f t="shared" si="2"/>
        <v>11918</v>
      </c>
      <c r="L20" s="11">
        <f t="shared" si="17"/>
        <v>15330</v>
      </c>
      <c r="M20" s="100">
        <f t="shared" si="4"/>
        <v>1.286289646</v>
      </c>
      <c r="N20" s="11">
        <f t="shared" si="5"/>
        <v>0</v>
      </c>
      <c r="O20" s="100">
        <f t="shared" si="6"/>
        <v>0</v>
      </c>
      <c r="P20" s="11">
        <f t="shared" si="7"/>
        <v>11.918</v>
      </c>
      <c r="Q20" s="11">
        <f t="shared" si="8"/>
        <v>0.387335</v>
      </c>
      <c r="R20" s="11">
        <f t="shared" si="9"/>
        <v>0.0697203</v>
      </c>
      <c r="S20" s="11">
        <f t="shared" si="10"/>
        <v>0.005959</v>
      </c>
      <c r="T20" s="11">
        <f t="shared" si="11"/>
        <v>12.3810143</v>
      </c>
      <c r="U20" s="11">
        <f t="shared" ref="U20:U24" si="20">IF(G20&gt;0,16,0)</f>
        <v>0</v>
      </c>
      <c r="V20" s="11">
        <f t="shared" si="13"/>
        <v>12.3810143</v>
      </c>
      <c r="W20" s="11">
        <f t="shared" si="14"/>
        <v>0</v>
      </c>
      <c r="X20" s="100">
        <f t="shared" si="15"/>
        <v>0</v>
      </c>
      <c r="Y20" s="11">
        <f t="shared" si="16"/>
        <v>101026.3963</v>
      </c>
    </row>
    <row r="21">
      <c r="A21" s="97">
        <v>20.0</v>
      </c>
      <c r="B21" s="11" t="s">
        <v>55</v>
      </c>
      <c r="C21" s="98" t="s">
        <v>273</v>
      </c>
      <c r="D21" s="99">
        <v>44251.0</v>
      </c>
      <c r="E21" s="11">
        <v>94.0</v>
      </c>
      <c r="F21" s="99">
        <v>44253.0</v>
      </c>
      <c r="G21" s="11">
        <v>111.85</v>
      </c>
      <c r="H21" s="10">
        <f>IFERROR(__xludf.DUMMYFUNCTION("GOOGLEFINANCE(""NSE:""&amp;B21,""price"")"),360.0)</f>
        <v>360</v>
      </c>
      <c r="I21" s="97">
        <v>155.0</v>
      </c>
      <c r="J21" s="11">
        <f t="shared" si="1"/>
        <v>14570</v>
      </c>
      <c r="K21" s="11">
        <f t="shared" si="2"/>
        <v>31906.75</v>
      </c>
      <c r="L21" s="11">
        <f t="shared" si="17"/>
        <v>0</v>
      </c>
      <c r="M21" s="100">
        <f t="shared" si="4"/>
        <v>0</v>
      </c>
      <c r="N21" s="11">
        <f t="shared" si="5"/>
        <v>2766.75</v>
      </c>
      <c r="O21" s="100">
        <f t="shared" si="6"/>
        <v>0.189893617</v>
      </c>
      <c r="P21" s="11">
        <f t="shared" si="7"/>
        <v>31.90675</v>
      </c>
      <c r="Q21" s="11">
        <f t="shared" si="8"/>
        <v>1.036969375</v>
      </c>
      <c r="R21" s="11">
        <f t="shared" si="9"/>
        <v>0.1866544875</v>
      </c>
      <c r="S21" s="11">
        <f t="shared" si="10"/>
        <v>0.015953375</v>
      </c>
      <c r="T21" s="11">
        <f t="shared" si="11"/>
        <v>33.14632724</v>
      </c>
      <c r="U21" s="11">
        <f t="shared" si="20"/>
        <v>16</v>
      </c>
      <c r="V21" s="11">
        <f t="shared" si="13"/>
        <v>49.14632724</v>
      </c>
      <c r="W21" s="11">
        <f t="shared" si="14"/>
        <v>2717.603673</v>
      </c>
      <c r="X21" s="100">
        <f t="shared" si="15"/>
        <v>0.1865204992</v>
      </c>
      <c r="Y21" s="11">
        <f t="shared" si="16"/>
        <v>103744</v>
      </c>
    </row>
    <row r="22">
      <c r="A22" s="97">
        <v>21.0</v>
      </c>
      <c r="B22" s="11" t="s">
        <v>166</v>
      </c>
      <c r="C22" s="98" t="s">
        <v>273</v>
      </c>
      <c r="D22" s="99">
        <v>44257.0</v>
      </c>
      <c r="E22" s="11">
        <v>210.0</v>
      </c>
      <c r="F22" s="99"/>
      <c r="G22" s="11">
        <v>0.0</v>
      </c>
      <c r="H22" s="10">
        <f>IFERROR(__xludf.DUMMYFUNCTION("GOOGLEFINANCE(""NSE:""&amp;B22,""price"")"),370.5)</f>
        <v>370.5</v>
      </c>
      <c r="I22" s="97">
        <v>50.0</v>
      </c>
      <c r="J22" s="11">
        <f t="shared" si="1"/>
        <v>10500</v>
      </c>
      <c r="K22" s="11">
        <f t="shared" si="2"/>
        <v>10500</v>
      </c>
      <c r="L22" s="11">
        <f t="shared" si="17"/>
        <v>8025</v>
      </c>
      <c r="M22" s="100">
        <f t="shared" si="4"/>
        <v>0.7642857143</v>
      </c>
      <c r="N22" s="11">
        <f t="shared" si="5"/>
        <v>0</v>
      </c>
      <c r="O22" s="100">
        <f t="shared" si="6"/>
        <v>0</v>
      </c>
      <c r="P22" s="11">
        <f t="shared" si="7"/>
        <v>10.5</v>
      </c>
      <c r="Q22" s="11">
        <f t="shared" si="8"/>
        <v>0.34125</v>
      </c>
      <c r="R22" s="11">
        <f t="shared" si="9"/>
        <v>0.061425</v>
      </c>
      <c r="S22" s="11">
        <f t="shared" si="10"/>
        <v>0.00525</v>
      </c>
      <c r="T22" s="11">
        <f t="shared" si="11"/>
        <v>10.907925</v>
      </c>
      <c r="U22" s="11">
        <f t="shared" si="20"/>
        <v>0</v>
      </c>
      <c r="V22" s="11">
        <f t="shared" si="13"/>
        <v>10.907925</v>
      </c>
      <c r="W22" s="11">
        <f t="shared" si="14"/>
        <v>0</v>
      </c>
      <c r="X22" s="100">
        <f t="shared" si="15"/>
        <v>0</v>
      </c>
      <c r="Y22" s="11">
        <f t="shared" si="16"/>
        <v>103744</v>
      </c>
    </row>
    <row r="23">
      <c r="A23" s="97">
        <v>22.0</v>
      </c>
      <c r="B23" s="11" t="s">
        <v>246</v>
      </c>
      <c r="C23" s="98" t="s">
        <v>114</v>
      </c>
      <c r="D23" s="99">
        <v>44258.0</v>
      </c>
      <c r="E23" s="11">
        <v>86.2</v>
      </c>
      <c r="F23" s="99">
        <v>44530.0</v>
      </c>
      <c r="G23" s="11">
        <v>103.0</v>
      </c>
      <c r="H23" s="10">
        <f>IFERROR(__xludf.DUMMYFUNCTION("GOOGLEFINANCE(""NSE:""&amp;B23,""price"")"),292.9)</f>
        <v>292.9</v>
      </c>
      <c r="I23" s="97">
        <v>60.0</v>
      </c>
      <c r="J23" s="11">
        <f t="shared" si="1"/>
        <v>5172</v>
      </c>
      <c r="K23" s="11">
        <f t="shared" si="2"/>
        <v>11352</v>
      </c>
      <c r="L23" s="11">
        <f t="shared" si="17"/>
        <v>0</v>
      </c>
      <c r="M23" s="100">
        <f t="shared" si="4"/>
        <v>0</v>
      </c>
      <c r="N23" s="11">
        <f t="shared" si="5"/>
        <v>1008</v>
      </c>
      <c r="O23" s="100">
        <f t="shared" si="6"/>
        <v>0.1948955916</v>
      </c>
      <c r="P23" s="11">
        <f t="shared" si="7"/>
        <v>11.352</v>
      </c>
      <c r="Q23" s="11">
        <f t="shared" si="8"/>
        <v>0.36894</v>
      </c>
      <c r="R23" s="11">
        <f t="shared" si="9"/>
        <v>0.0664092</v>
      </c>
      <c r="S23" s="11">
        <f t="shared" si="10"/>
        <v>0.005676</v>
      </c>
      <c r="T23" s="11">
        <f t="shared" si="11"/>
        <v>11.7930252</v>
      </c>
      <c r="U23" s="11">
        <f t="shared" si="20"/>
        <v>16</v>
      </c>
      <c r="V23" s="11">
        <f t="shared" si="13"/>
        <v>27.7930252</v>
      </c>
      <c r="W23" s="11">
        <f t="shared" si="14"/>
        <v>980.2069748</v>
      </c>
      <c r="X23" s="100">
        <f t="shared" si="15"/>
        <v>0.1895218435</v>
      </c>
      <c r="Y23" s="11">
        <f t="shared" si="16"/>
        <v>104724.207</v>
      </c>
    </row>
    <row r="24">
      <c r="A24" s="97">
        <v>23.0</v>
      </c>
      <c r="B24" s="11" t="s">
        <v>303</v>
      </c>
      <c r="C24" s="98" t="s">
        <v>273</v>
      </c>
      <c r="D24" s="99">
        <v>44258.0</v>
      </c>
      <c r="E24" s="11">
        <v>146.6</v>
      </c>
      <c r="F24" s="99">
        <v>44354.0</v>
      </c>
      <c r="G24" s="11">
        <v>152.0</v>
      </c>
      <c r="H24" s="10">
        <f>IFERROR(__xludf.DUMMYFUNCTION("GOOGLEFINANCE(""NSE:""&amp;B24,""price"")"),354.0)</f>
        <v>354</v>
      </c>
      <c r="I24" s="97">
        <v>50.0</v>
      </c>
      <c r="J24" s="11">
        <f t="shared" si="1"/>
        <v>7330</v>
      </c>
      <c r="K24" s="11">
        <f t="shared" si="2"/>
        <v>14930</v>
      </c>
      <c r="L24" s="11">
        <f t="shared" si="17"/>
        <v>0</v>
      </c>
      <c r="M24" s="100">
        <f t="shared" si="4"/>
        <v>0</v>
      </c>
      <c r="N24" s="11">
        <f t="shared" si="5"/>
        <v>270</v>
      </c>
      <c r="O24" s="100">
        <f t="shared" si="6"/>
        <v>0.03683492497</v>
      </c>
      <c r="P24" s="11">
        <f t="shared" si="7"/>
        <v>14.93</v>
      </c>
      <c r="Q24" s="11">
        <f t="shared" si="8"/>
        <v>0.485225</v>
      </c>
      <c r="R24" s="11">
        <f t="shared" si="9"/>
        <v>0.0873405</v>
      </c>
      <c r="S24" s="11">
        <f t="shared" si="10"/>
        <v>0.007465</v>
      </c>
      <c r="T24" s="11">
        <f t="shared" si="11"/>
        <v>15.5100305</v>
      </c>
      <c r="U24" s="11">
        <f t="shared" si="20"/>
        <v>16</v>
      </c>
      <c r="V24" s="11">
        <f t="shared" si="13"/>
        <v>31.5100305</v>
      </c>
      <c r="W24" s="11">
        <f t="shared" si="14"/>
        <v>238.4899695</v>
      </c>
      <c r="X24" s="100">
        <f t="shared" si="15"/>
        <v>0.03253614864</v>
      </c>
      <c r="Y24" s="11">
        <f t="shared" si="16"/>
        <v>104962.6969</v>
      </c>
    </row>
    <row r="25">
      <c r="A25" s="97">
        <v>24.0</v>
      </c>
      <c r="B25" s="11" t="s">
        <v>304</v>
      </c>
      <c r="C25" s="97" t="s">
        <v>114</v>
      </c>
      <c r="D25" s="99">
        <v>44259.0</v>
      </c>
      <c r="E25" s="11">
        <v>360.0</v>
      </c>
      <c r="F25" s="99">
        <v>44278.0</v>
      </c>
      <c r="G25" s="11">
        <v>365.0</v>
      </c>
      <c r="H25" s="10">
        <f>IFERROR(__xludf.DUMMYFUNCTION("GOOGLEFINANCE(""NSE:""&amp;B25,""price"")"),149.56)</f>
        <v>149.56</v>
      </c>
      <c r="I25" s="97">
        <v>27.0</v>
      </c>
      <c r="J25" s="11">
        <f t="shared" si="1"/>
        <v>9720</v>
      </c>
      <c r="K25" s="11">
        <f t="shared" si="2"/>
        <v>19575</v>
      </c>
      <c r="L25" s="11">
        <f t="shared" si="17"/>
        <v>0</v>
      </c>
      <c r="M25" s="100">
        <f t="shared" si="4"/>
        <v>0</v>
      </c>
      <c r="N25" s="11">
        <f t="shared" si="5"/>
        <v>135</v>
      </c>
      <c r="O25" s="100">
        <f t="shared" si="6"/>
        <v>0.01388888889</v>
      </c>
      <c r="P25" s="11">
        <f t="shared" si="7"/>
        <v>19.575</v>
      </c>
      <c r="Q25" s="11">
        <f t="shared" si="8"/>
        <v>0.6361875</v>
      </c>
      <c r="R25" s="11">
        <f t="shared" si="9"/>
        <v>0.11451375</v>
      </c>
      <c r="S25" s="11">
        <f t="shared" si="10"/>
        <v>0.0097875</v>
      </c>
      <c r="T25" s="11">
        <f t="shared" si="11"/>
        <v>20.33548875</v>
      </c>
      <c r="U25" s="11">
        <v>59.0</v>
      </c>
      <c r="V25" s="11">
        <f t="shared" si="13"/>
        <v>79.33548875</v>
      </c>
      <c r="W25" s="11">
        <f t="shared" si="14"/>
        <v>55.66451125</v>
      </c>
      <c r="X25" s="100">
        <f t="shared" si="15"/>
        <v>0.005726801569</v>
      </c>
      <c r="Y25" s="11">
        <f t="shared" si="16"/>
        <v>105018.3615</v>
      </c>
    </row>
    <row r="26">
      <c r="A26" s="97">
        <v>25.0</v>
      </c>
      <c r="B26" s="11" t="s">
        <v>122</v>
      </c>
      <c r="C26" s="98" t="s">
        <v>273</v>
      </c>
      <c r="D26" s="99">
        <v>44260.0</v>
      </c>
      <c r="E26" s="11">
        <v>10.7</v>
      </c>
      <c r="F26" s="99"/>
      <c r="G26" s="11">
        <v>0.0</v>
      </c>
      <c r="H26" s="10">
        <f>IFERROR(__xludf.DUMMYFUNCTION("GOOGLEFINANCE(""NSE:""&amp;B26,""price"")"),12.02)</f>
        <v>12.02</v>
      </c>
      <c r="I26" s="97">
        <v>100.0</v>
      </c>
      <c r="J26" s="11">
        <f t="shared" si="1"/>
        <v>1070</v>
      </c>
      <c r="K26" s="11">
        <f t="shared" si="2"/>
        <v>1070</v>
      </c>
      <c r="L26" s="11">
        <f t="shared" si="17"/>
        <v>132</v>
      </c>
      <c r="M26" s="100">
        <f t="shared" si="4"/>
        <v>0.123364486</v>
      </c>
      <c r="N26" s="11">
        <f t="shared" si="5"/>
        <v>0</v>
      </c>
      <c r="O26" s="100">
        <f t="shared" si="6"/>
        <v>0</v>
      </c>
      <c r="P26" s="11">
        <f t="shared" si="7"/>
        <v>1.07</v>
      </c>
      <c r="Q26" s="11">
        <f t="shared" si="8"/>
        <v>0.034775</v>
      </c>
      <c r="R26" s="11">
        <f t="shared" si="9"/>
        <v>0.0062595</v>
      </c>
      <c r="S26" s="11">
        <f t="shared" si="10"/>
        <v>0.000535</v>
      </c>
      <c r="T26" s="11">
        <f t="shared" si="11"/>
        <v>1.1115695</v>
      </c>
      <c r="U26" s="11">
        <f t="shared" ref="U26:U53" si="21">IF(G26&gt;0,16,0)</f>
        <v>0</v>
      </c>
      <c r="V26" s="11">
        <f t="shared" si="13"/>
        <v>1.1115695</v>
      </c>
      <c r="W26" s="11">
        <f t="shared" si="14"/>
        <v>0</v>
      </c>
      <c r="X26" s="100">
        <f t="shared" si="15"/>
        <v>0</v>
      </c>
      <c r="Y26" s="11">
        <f t="shared" si="16"/>
        <v>105018.3615</v>
      </c>
    </row>
    <row r="27">
      <c r="A27" s="97">
        <v>26.0</v>
      </c>
      <c r="B27" s="11" t="s">
        <v>305</v>
      </c>
      <c r="C27" s="98" t="s">
        <v>273</v>
      </c>
      <c r="D27" s="99">
        <v>44267.0</v>
      </c>
      <c r="E27" s="11">
        <v>331.0</v>
      </c>
      <c r="F27" s="99">
        <v>44270.0</v>
      </c>
      <c r="G27" s="11">
        <v>345.0</v>
      </c>
      <c r="H27" s="10">
        <f>IFERROR(__xludf.DUMMYFUNCTION("GOOGLEFINANCE(""NSE:""&amp;B27,""price"")"),142.07)</f>
        <v>142.07</v>
      </c>
      <c r="I27" s="97">
        <v>10.0</v>
      </c>
      <c r="J27" s="11">
        <f t="shared" si="1"/>
        <v>3310</v>
      </c>
      <c r="K27" s="11">
        <f t="shared" si="2"/>
        <v>6760</v>
      </c>
      <c r="L27" s="11">
        <f t="shared" si="17"/>
        <v>0</v>
      </c>
      <c r="M27" s="100">
        <f t="shared" si="4"/>
        <v>0</v>
      </c>
      <c r="N27" s="11">
        <f t="shared" si="5"/>
        <v>140</v>
      </c>
      <c r="O27" s="100">
        <f t="shared" si="6"/>
        <v>0.04229607251</v>
      </c>
      <c r="P27" s="11">
        <f t="shared" si="7"/>
        <v>6.76</v>
      </c>
      <c r="Q27" s="11">
        <f t="shared" si="8"/>
        <v>0.2197</v>
      </c>
      <c r="R27" s="11">
        <f t="shared" si="9"/>
        <v>0.039546</v>
      </c>
      <c r="S27" s="11">
        <f t="shared" si="10"/>
        <v>0.00338</v>
      </c>
      <c r="T27" s="11">
        <f t="shared" si="11"/>
        <v>7.022626</v>
      </c>
      <c r="U27" s="11">
        <f t="shared" si="21"/>
        <v>16</v>
      </c>
      <c r="V27" s="11">
        <f t="shared" si="13"/>
        <v>23.022626</v>
      </c>
      <c r="W27" s="11">
        <f t="shared" si="14"/>
        <v>116.977374</v>
      </c>
      <c r="X27" s="100">
        <f t="shared" si="15"/>
        <v>0.03534059637</v>
      </c>
      <c r="Y27" s="11">
        <f t="shared" si="16"/>
        <v>105135.3388</v>
      </c>
    </row>
    <row r="28">
      <c r="A28" s="97">
        <v>27.0</v>
      </c>
      <c r="B28" s="11" t="s">
        <v>306</v>
      </c>
      <c r="C28" s="97" t="s">
        <v>147</v>
      </c>
      <c r="D28" s="99">
        <v>44260.0</v>
      </c>
      <c r="E28" s="11">
        <v>575.0</v>
      </c>
      <c r="F28" s="99">
        <v>44270.0</v>
      </c>
      <c r="G28" s="11">
        <v>1090.0</v>
      </c>
      <c r="H28" s="10">
        <f>IFERROR(__xludf.DUMMYFUNCTION("GOOGLEFINANCE(""NSE:""&amp;B28,""price"")"),2429.6)</f>
        <v>2429.6</v>
      </c>
      <c r="I28" s="97">
        <v>26.0</v>
      </c>
      <c r="J28" s="11">
        <f t="shared" si="1"/>
        <v>14950</v>
      </c>
      <c r="K28" s="11">
        <f t="shared" si="2"/>
        <v>43290</v>
      </c>
      <c r="L28" s="11">
        <f t="shared" si="17"/>
        <v>0</v>
      </c>
      <c r="M28" s="100">
        <f t="shared" si="4"/>
        <v>0</v>
      </c>
      <c r="N28" s="11">
        <f t="shared" si="5"/>
        <v>13390</v>
      </c>
      <c r="O28" s="100">
        <f t="shared" si="6"/>
        <v>0.8956521739</v>
      </c>
      <c r="P28" s="11">
        <f t="shared" si="7"/>
        <v>43.29</v>
      </c>
      <c r="Q28" s="11">
        <f t="shared" si="8"/>
        <v>1.406925</v>
      </c>
      <c r="R28" s="11">
        <f t="shared" si="9"/>
        <v>0.2532465</v>
      </c>
      <c r="S28" s="11">
        <f t="shared" si="10"/>
        <v>0.021645</v>
      </c>
      <c r="T28" s="11">
        <f t="shared" si="11"/>
        <v>44.9718165</v>
      </c>
      <c r="U28" s="11">
        <f t="shared" si="21"/>
        <v>16</v>
      </c>
      <c r="V28" s="11">
        <f t="shared" si="13"/>
        <v>60.9718165</v>
      </c>
      <c r="W28" s="11">
        <f t="shared" si="14"/>
        <v>13329.02818</v>
      </c>
      <c r="X28" s="100">
        <f t="shared" si="15"/>
        <v>0.8915737915</v>
      </c>
      <c r="Y28" s="11">
        <f t="shared" si="16"/>
        <v>118464.367</v>
      </c>
    </row>
    <row r="29">
      <c r="A29" s="97">
        <v>28.0</v>
      </c>
      <c r="B29" s="11" t="s">
        <v>144</v>
      </c>
      <c r="C29" s="98" t="s">
        <v>273</v>
      </c>
      <c r="D29" s="99">
        <v>44277.0</v>
      </c>
      <c r="E29" s="11">
        <v>722.5</v>
      </c>
      <c r="F29" s="99">
        <v>44344.0</v>
      </c>
      <c r="G29" s="11">
        <v>782.5</v>
      </c>
      <c r="H29" s="10">
        <f>IFERROR(__xludf.DUMMYFUNCTION("GOOGLEFINANCE(""NSE:""&amp;B29,""price"")"),1492.8)</f>
        <v>1492.8</v>
      </c>
      <c r="I29" s="97">
        <v>5.0</v>
      </c>
      <c r="J29" s="11">
        <f t="shared" si="1"/>
        <v>3612.5</v>
      </c>
      <c r="K29" s="11">
        <f t="shared" si="2"/>
        <v>7525</v>
      </c>
      <c r="L29" s="11">
        <f t="shared" si="17"/>
        <v>0</v>
      </c>
      <c r="M29" s="100">
        <f t="shared" si="4"/>
        <v>0</v>
      </c>
      <c r="N29" s="11">
        <f t="shared" si="5"/>
        <v>300</v>
      </c>
      <c r="O29" s="100">
        <f t="shared" si="6"/>
        <v>0.0830449827</v>
      </c>
      <c r="P29" s="11">
        <f t="shared" si="7"/>
        <v>7.525</v>
      </c>
      <c r="Q29" s="11">
        <f t="shared" si="8"/>
        <v>0.2445625</v>
      </c>
      <c r="R29" s="11">
        <f t="shared" si="9"/>
        <v>0.04402125</v>
      </c>
      <c r="S29" s="11">
        <f t="shared" si="10"/>
        <v>0.0037625</v>
      </c>
      <c r="T29" s="11">
        <f t="shared" si="11"/>
        <v>7.81734625</v>
      </c>
      <c r="U29" s="11">
        <f t="shared" si="21"/>
        <v>16</v>
      </c>
      <c r="V29" s="11">
        <f t="shared" si="13"/>
        <v>23.81734625</v>
      </c>
      <c r="W29" s="11">
        <f t="shared" si="14"/>
        <v>276.1826538</v>
      </c>
      <c r="X29" s="100">
        <f t="shared" si="15"/>
        <v>0.07645194567</v>
      </c>
      <c r="Y29" s="11">
        <f t="shared" si="16"/>
        <v>118740.5497</v>
      </c>
    </row>
    <row r="30">
      <c r="A30" s="97">
        <v>29.0</v>
      </c>
      <c r="B30" s="11" t="s">
        <v>144</v>
      </c>
      <c r="C30" s="98" t="s">
        <v>273</v>
      </c>
      <c r="D30" s="99">
        <v>44278.0</v>
      </c>
      <c r="E30" s="11">
        <v>745.0</v>
      </c>
      <c r="F30" s="99">
        <v>44292.0</v>
      </c>
      <c r="G30" s="11">
        <v>815.0</v>
      </c>
      <c r="H30" s="10">
        <f>IFERROR(__xludf.DUMMYFUNCTION("GOOGLEFINANCE(""NSE:""&amp;B30,""price"")"),1492.8)</f>
        <v>1492.8</v>
      </c>
      <c r="I30" s="97">
        <v>4.0</v>
      </c>
      <c r="J30" s="11">
        <f t="shared" si="1"/>
        <v>2980</v>
      </c>
      <c r="K30" s="11">
        <f t="shared" si="2"/>
        <v>6240</v>
      </c>
      <c r="L30" s="11">
        <f t="shared" si="17"/>
        <v>0</v>
      </c>
      <c r="M30" s="100">
        <f t="shared" si="4"/>
        <v>0</v>
      </c>
      <c r="N30" s="11">
        <f t="shared" si="5"/>
        <v>280</v>
      </c>
      <c r="O30" s="100">
        <f t="shared" si="6"/>
        <v>0.09395973154</v>
      </c>
      <c r="P30" s="11">
        <f t="shared" si="7"/>
        <v>6.24</v>
      </c>
      <c r="Q30" s="11">
        <f t="shared" si="8"/>
        <v>0.2028</v>
      </c>
      <c r="R30" s="11">
        <f t="shared" si="9"/>
        <v>0.036504</v>
      </c>
      <c r="S30" s="11">
        <f t="shared" si="10"/>
        <v>0.00312</v>
      </c>
      <c r="T30" s="11">
        <f t="shared" si="11"/>
        <v>6.482424</v>
      </c>
      <c r="U30" s="11">
        <f t="shared" si="21"/>
        <v>16</v>
      </c>
      <c r="V30" s="11">
        <f t="shared" si="13"/>
        <v>22.482424</v>
      </c>
      <c r="W30" s="11">
        <f t="shared" si="14"/>
        <v>257.517576</v>
      </c>
      <c r="X30" s="100">
        <f t="shared" si="15"/>
        <v>0.08641529396</v>
      </c>
      <c r="Y30" s="11">
        <f t="shared" si="16"/>
        <v>118998.0672</v>
      </c>
    </row>
    <row r="31">
      <c r="A31" s="97">
        <v>30.0</v>
      </c>
      <c r="B31" s="11" t="s">
        <v>47</v>
      </c>
      <c r="C31" s="98" t="s">
        <v>114</v>
      </c>
      <c r="D31" s="99">
        <v>44291.0</v>
      </c>
      <c r="E31" s="11">
        <v>213.9</v>
      </c>
      <c r="F31" s="99">
        <v>44461.0</v>
      </c>
      <c r="G31" s="11">
        <v>243.0</v>
      </c>
      <c r="H31" s="10">
        <f>IFERROR(__xludf.DUMMYFUNCTION("GOOGLEFINANCE(""NSE:""&amp;B31,""price"")"),408.85)</f>
        <v>408.85</v>
      </c>
      <c r="I31" s="97">
        <v>50.0</v>
      </c>
      <c r="J31" s="11">
        <f t="shared" si="1"/>
        <v>10695</v>
      </c>
      <c r="K31" s="11">
        <f t="shared" si="2"/>
        <v>22845</v>
      </c>
      <c r="L31" s="11">
        <f t="shared" si="17"/>
        <v>0</v>
      </c>
      <c r="M31" s="100">
        <f t="shared" si="4"/>
        <v>0</v>
      </c>
      <c r="N31" s="11">
        <f t="shared" si="5"/>
        <v>1455</v>
      </c>
      <c r="O31" s="100">
        <f t="shared" si="6"/>
        <v>0.1360448808</v>
      </c>
      <c r="P31" s="11">
        <f t="shared" si="7"/>
        <v>22.845</v>
      </c>
      <c r="Q31" s="11">
        <f t="shared" si="8"/>
        <v>0.7424625</v>
      </c>
      <c r="R31" s="11">
        <f t="shared" si="9"/>
        <v>0.13364325</v>
      </c>
      <c r="S31" s="11">
        <f t="shared" si="10"/>
        <v>0.0114225</v>
      </c>
      <c r="T31" s="11">
        <f t="shared" si="11"/>
        <v>23.73252825</v>
      </c>
      <c r="U31" s="11">
        <f t="shared" si="21"/>
        <v>16</v>
      </c>
      <c r="V31" s="11">
        <f t="shared" si="13"/>
        <v>39.73252825</v>
      </c>
      <c r="W31" s="11">
        <f t="shared" si="14"/>
        <v>1415.267472</v>
      </c>
      <c r="X31" s="100">
        <f t="shared" si="15"/>
        <v>0.1323298244</v>
      </c>
      <c r="Y31" s="11">
        <f t="shared" si="16"/>
        <v>120413.3347</v>
      </c>
    </row>
    <row r="32">
      <c r="A32" s="97">
        <v>31.0</v>
      </c>
      <c r="B32" s="11" t="s">
        <v>41</v>
      </c>
      <c r="C32" s="98" t="s">
        <v>273</v>
      </c>
      <c r="D32" s="99">
        <v>44292.0</v>
      </c>
      <c r="E32" s="11">
        <v>572.6</v>
      </c>
      <c r="F32" s="99">
        <v>44312.0</v>
      </c>
      <c r="G32" s="11">
        <v>595.0</v>
      </c>
      <c r="H32" s="10">
        <f>IFERROR(__xludf.DUMMYFUNCTION("GOOGLEFINANCE(""NSE:""&amp;B32,""price"")"),1362.4)</f>
        <v>1362.4</v>
      </c>
      <c r="I32" s="97">
        <v>20.0</v>
      </c>
      <c r="J32" s="11">
        <f t="shared" si="1"/>
        <v>11452</v>
      </c>
      <c r="K32" s="11">
        <f t="shared" si="2"/>
        <v>23352</v>
      </c>
      <c r="L32" s="11">
        <f t="shared" si="17"/>
        <v>0</v>
      </c>
      <c r="M32" s="100">
        <f t="shared" si="4"/>
        <v>0</v>
      </c>
      <c r="N32" s="11">
        <f t="shared" si="5"/>
        <v>448</v>
      </c>
      <c r="O32" s="100">
        <f t="shared" si="6"/>
        <v>0.0391198044</v>
      </c>
      <c r="P32" s="11">
        <f t="shared" si="7"/>
        <v>23.352</v>
      </c>
      <c r="Q32" s="11">
        <f t="shared" si="8"/>
        <v>0.75894</v>
      </c>
      <c r="R32" s="11">
        <f t="shared" si="9"/>
        <v>0.1366092</v>
      </c>
      <c r="S32" s="11">
        <f t="shared" si="10"/>
        <v>0.011676</v>
      </c>
      <c r="T32" s="11">
        <f t="shared" si="11"/>
        <v>24.2592252</v>
      </c>
      <c r="U32" s="11">
        <f t="shared" si="21"/>
        <v>16</v>
      </c>
      <c r="V32" s="11">
        <f t="shared" si="13"/>
        <v>40.2592252</v>
      </c>
      <c r="W32" s="11">
        <f t="shared" si="14"/>
        <v>407.7407748</v>
      </c>
      <c r="X32" s="100">
        <f t="shared" si="15"/>
        <v>0.03560432892</v>
      </c>
      <c r="Y32" s="11">
        <f t="shared" si="16"/>
        <v>120821.0755</v>
      </c>
    </row>
    <row r="33">
      <c r="A33" s="97">
        <v>32.0</v>
      </c>
      <c r="B33" s="11" t="s">
        <v>307</v>
      </c>
      <c r="C33" s="98" t="s">
        <v>273</v>
      </c>
      <c r="D33" s="99">
        <v>44302.0</v>
      </c>
      <c r="E33" s="11">
        <v>94.0</v>
      </c>
      <c r="F33" s="99">
        <v>44315.0</v>
      </c>
      <c r="G33" s="11">
        <v>99.2</v>
      </c>
      <c r="H33" s="10">
        <f>IFERROR(__xludf.DUMMYFUNCTION("GOOGLEFINANCE(""NSE:""&amp;B33,""price"")"),144.38)</f>
        <v>144.38</v>
      </c>
      <c r="I33" s="97">
        <v>100.0</v>
      </c>
      <c r="J33" s="11">
        <f t="shared" si="1"/>
        <v>9400</v>
      </c>
      <c r="K33" s="11">
        <f t="shared" si="2"/>
        <v>19320</v>
      </c>
      <c r="L33" s="11">
        <f t="shared" si="17"/>
        <v>0</v>
      </c>
      <c r="M33" s="100">
        <f t="shared" si="4"/>
        <v>0</v>
      </c>
      <c r="N33" s="11">
        <f t="shared" si="5"/>
        <v>520</v>
      </c>
      <c r="O33" s="100">
        <f t="shared" si="6"/>
        <v>0.05531914894</v>
      </c>
      <c r="P33" s="11">
        <f t="shared" si="7"/>
        <v>19.32</v>
      </c>
      <c r="Q33" s="11">
        <f t="shared" si="8"/>
        <v>0.6279</v>
      </c>
      <c r="R33" s="11">
        <f t="shared" si="9"/>
        <v>0.113022</v>
      </c>
      <c r="S33" s="11">
        <f t="shared" si="10"/>
        <v>0.00966</v>
      </c>
      <c r="T33" s="11">
        <f t="shared" si="11"/>
        <v>20.070582</v>
      </c>
      <c r="U33" s="11">
        <f t="shared" si="21"/>
        <v>16</v>
      </c>
      <c r="V33" s="11">
        <f t="shared" si="13"/>
        <v>36.070582</v>
      </c>
      <c r="W33" s="11">
        <f t="shared" si="14"/>
        <v>483.929418</v>
      </c>
      <c r="X33" s="100">
        <f t="shared" si="15"/>
        <v>0.05148185298</v>
      </c>
      <c r="Y33" s="11">
        <f t="shared" si="16"/>
        <v>121305.0049</v>
      </c>
    </row>
    <row r="34">
      <c r="A34" s="97">
        <v>33.0</v>
      </c>
      <c r="B34" s="11" t="s">
        <v>68</v>
      </c>
      <c r="C34" s="98" t="s">
        <v>273</v>
      </c>
      <c r="D34" s="99">
        <v>44302.0</v>
      </c>
      <c r="E34" s="11">
        <v>97.6</v>
      </c>
      <c r="F34" s="99">
        <v>44316.0</v>
      </c>
      <c r="G34" s="11">
        <v>101.0</v>
      </c>
      <c r="H34" s="10">
        <f>IFERROR(__xludf.DUMMYFUNCTION("GOOGLEFINANCE(""NSE:""&amp;B34,""price"")"),382.4)</f>
        <v>382.4</v>
      </c>
      <c r="I34" s="97">
        <v>100.0</v>
      </c>
      <c r="J34" s="11">
        <f t="shared" si="1"/>
        <v>9760</v>
      </c>
      <c r="K34" s="11">
        <f t="shared" si="2"/>
        <v>19860</v>
      </c>
      <c r="L34" s="11">
        <f t="shared" si="17"/>
        <v>0</v>
      </c>
      <c r="M34" s="100">
        <f t="shared" si="4"/>
        <v>0</v>
      </c>
      <c r="N34" s="11">
        <f t="shared" si="5"/>
        <v>340</v>
      </c>
      <c r="O34" s="100">
        <f t="shared" si="6"/>
        <v>0.03483606557</v>
      </c>
      <c r="P34" s="11">
        <f t="shared" si="7"/>
        <v>19.86</v>
      </c>
      <c r="Q34" s="11">
        <f t="shared" si="8"/>
        <v>0.64545</v>
      </c>
      <c r="R34" s="11">
        <f t="shared" si="9"/>
        <v>0.116181</v>
      </c>
      <c r="S34" s="11">
        <f t="shared" si="10"/>
        <v>0.00993</v>
      </c>
      <c r="T34" s="11">
        <f t="shared" si="11"/>
        <v>20.631561</v>
      </c>
      <c r="U34" s="11">
        <f t="shared" si="21"/>
        <v>16</v>
      </c>
      <c r="V34" s="11">
        <f t="shared" si="13"/>
        <v>36.631561</v>
      </c>
      <c r="W34" s="11">
        <f t="shared" si="14"/>
        <v>303.368439</v>
      </c>
      <c r="X34" s="100">
        <f t="shared" si="15"/>
        <v>0.03108283186</v>
      </c>
      <c r="Y34" s="11">
        <f t="shared" si="16"/>
        <v>121608.3734</v>
      </c>
    </row>
    <row r="35">
      <c r="A35" s="97">
        <v>34.0</v>
      </c>
      <c r="B35" s="11" t="s">
        <v>66</v>
      </c>
      <c r="C35" s="98" t="s">
        <v>273</v>
      </c>
      <c r="D35" s="99">
        <v>44314.0</v>
      </c>
      <c r="E35" s="11">
        <v>360.0</v>
      </c>
      <c r="F35" s="99">
        <v>44333.0</v>
      </c>
      <c r="G35" s="11">
        <v>372.35</v>
      </c>
      <c r="H35" s="10">
        <f>IFERROR(__xludf.DUMMYFUNCTION("GOOGLEFINANCE(""NSE:""&amp;B35,""price"")"),971.25)</f>
        <v>971.25</v>
      </c>
      <c r="I35" s="97">
        <v>30.0</v>
      </c>
      <c r="J35" s="11">
        <f t="shared" si="1"/>
        <v>10800</v>
      </c>
      <c r="K35" s="11">
        <f t="shared" si="2"/>
        <v>21970.5</v>
      </c>
      <c r="L35" s="11">
        <f t="shared" si="17"/>
        <v>0</v>
      </c>
      <c r="M35" s="100">
        <f t="shared" si="4"/>
        <v>0</v>
      </c>
      <c r="N35" s="11">
        <f t="shared" si="5"/>
        <v>370.5</v>
      </c>
      <c r="O35" s="100">
        <f t="shared" si="6"/>
        <v>0.03430555556</v>
      </c>
      <c r="P35" s="11">
        <f t="shared" si="7"/>
        <v>21.9705</v>
      </c>
      <c r="Q35" s="11">
        <f t="shared" si="8"/>
        <v>0.71404125</v>
      </c>
      <c r="R35" s="11">
        <f t="shared" si="9"/>
        <v>0.128527425</v>
      </c>
      <c r="S35" s="11">
        <f t="shared" si="10"/>
        <v>0.01098525</v>
      </c>
      <c r="T35" s="11">
        <f t="shared" si="11"/>
        <v>22.82405393</v>
      </c>
      <c r="U35" s="11">
        <f t="shared" si="21"/>
        <v>16</v>
      </c>
      <c r="V35" s="11">
        <f t="shared" si="13"/>
        <v>38.82405393</v>
      </c>
      <c r="W35" s="11">
        <f t="shared" si="14"/>
        <v>331.6759461</v>
      </c>
      <c r="X35" s="100">
        <f t="shared" si="15"/>
        <v>0.03071073575</v>
      </c>
      <c r="Y35" s="11">
        <f t="shared" si="16"/>
        <v>121940.0493</v>
      </c>
    </row>
    <row r="36">
      <c r="A36" s="97">
        <v>35.0</v>
      </c>
      <c r="B36" s="11" t="s">
        <v>21</v>
      </c>
      <c r="C36" s="98" t="s">
        <v>273</v>
      </c>
      <c r="D36" s="99">
        <v>44315.0</v>
      </c>
      <c r="E36" s="11">
        <v>714.0</v>
      </c>
      <c r="F36" s="99">
        <v>44315.0</v>
      </c>
      <c r="G36" s="11">
        <v>723.4</v>
      </c>
      <c r="H36" s="10">
        <f>IFERROR(__xludf.DUMMYFUNCTION("GOOGLEFINANCE(""NSE:""&amp;B36,""price"")"),1224.5)</f>
        <v>1224.5</v>
      </c>
      <c r="I36" s="97">
        <v>27.0</v>
      </c>
      <c r="J36" s="11">
        <f t="shared" si="1"/>
        <v>19278</v>
      </c>
      <c r="K36" s="11">
        <f t="shared" si="2"/>
        <v>38809.8</v>
      </c>
      <c r="L36" s="11">
        <f t="shared" si="17"/>
        <v>0</v>
      </c>
      <c r="M36" s="100">
        <f t="shared" si="4"/>
        <v>0</v>
      </c>
      <c r="N36" s="11">
        <f t="shared" si="5"/>
        <v>253.8</v>
      </c>
      <c r="O36" s="100">
        <f t="shared" si="6"/>
        <v>0.01316526611</v>
      </c>
      <c r="P36" s="11">
        <f t="shared" si="7"/>
        <v>38.8098</v>
      </c>
      <c r="Q36" s="11">
        <f t="shared" si="8"/>
        <v>1.2613185</v>
      </c>
      <c r="R36" s="11">
        <f t="shared" si="9"/>
        <v>0.22703733</v>
      </c>
      <c r="S36" s="11">
        <f t="shared" si="10"/>
        <v>0.0194049</v>
      </c>
      <c r="T36" s="11">
        <f t="shared" si="11"/>
        <v>40.31756073</v>
      </c>
      <c r="U36" s="11">
        <f t="shared" si="21"/>
        <v>16</v>
      </c>
      <c r="V36" s="11">
        <v>20.92</v>
      </c>
      <c r="W36" s="11">
        <f t="shared" si="14"/>
        <v>232.88</v>
      </c>
      <c r="X36" s="100">
        <f t="shared" si="15"/>
        <v>0.0120800913</v>
      </c>
      <c r="Y36" s="11">
        <f t="shared" si="16"/>
        <v>122172.9293</v>
      </c>
    </row>
    <row r="37">
      <c r="A37" s="97">
        <v>36.0</v>
      </c>
      <c r="B37" s="11" t="s">
        <v>308</v>
      </c>
      <c r="C37" s="98" t="s">
        <v>273</v>
      </c>
      <c r="D37" s="99">
        <v>44320.0</v>
      </c>
      <c r="E37" s="11">
        <v>109.6</v>
      </c>
      <c r="F37" s="99">
        <v>44326.0</v>
      </c>
      <c r="G37" s="11">
        <v>114.0</v>
      </c>
      <c r="H37" s="10">
        <f>IFERROR(__xludf.DUMMYFUNCTION("GOOGLEFINANCE(""NSE:""&amp;B37,""price"")"),235.4)</f>
        <v>235.4</v>
      </c>
      <c r="I37" s="97">
        <v>50.0</v>
      </c>
      <c r="J37" s="11">
        <f t="shared" si="1"/>
        <v>5480</v>
      </c>
      <c r="K37" s="11">
        <f t="shared" si="2"/>
        <v>11180</v>
      </c>
      <c r="L37" s="11">
        <f t="shared" si="17"/>
        <v>0</v>
      </c>
      <c r="M37" s="100">
        <f t="shared" si="4"/>
        <v>0</v>
      </c>
      <c r="N37" s="11">
        <f t="shared" si="5"/>
        <v>220</v>
      </c>
      <c r="O37" s="100">
        <f t="shared" si="6"/>
        <v>0.0401459854</v>
      </c>
      <c r="P37" s="11">
        <f t="shared" si="7"/>
        <v>11.18</v>
      </c>
      <c r="Q37" s="11">
        <f t="shared" si="8"/>
        <v>0.36335</v>
      </c>
      <c r="R37" s="11">
        <f t="shared" si="9"/>
        <v>0.065403</v>
      </c>
      <c r="S37" s="11">
        <f t="shared" si="10"/>
        <v>0.00559</v>
      </c>
      <c r="T37" s="11">
        <f t="shared" si="11"/>
        <v>11.614343</v>
      </c>
      <c r="U37" s="11">
        <f t="shared" si="21"/>
        <v>16</v>
      </c>
      <c r="V37" s="11">
        <f t="shared" ref="V37:V53" si="22">T37+U37</f>
        <v>27.614343</v>
      </c>
      <c r="W37" s="11">
        <f t="shared" si="14"/>
        <v>192.385657</v>
      </c>
      <c r="X37" s="100">
        <f t="shared" si="15"/>
        <v>0.03510687172</v>
      </c>
      <c r="Y37" s="11">
        <f t="shared" si="16"/>
        <v>122365.315</v>
      </c>
    </row>
    <row r="38">
      <c r="A38" s="97">
        <v>37.0</v>
      </c>
      <c r="B38" s="11" t="s">
        <v>115</v>
      </c>
      <c r="C38" s="98" t="s">
        <v>273</v>
      </c>
      <c r="D38" s="99">
        <v>44323.0</v>
      </c>
      <c r="E38" s="11">
        <v>677.6</v>
      </c>
      <c r="F38" s="99">
        <v>44356.0</v>
      </c>
      <c r="G38" s="11">
        <v>685.75</v>
      </c>
      <c r="H38" s="10">
        <f>IFERROR(__xludf.DUMMYFUNCTION("GOOGLEFINANCE(""NSE:""&amp;B38,""price"")"),763.0)</f>
        <v>763</v>
      </c>
      <c r="I38" s="97">
        <v>20.0</v>
      </c>
      <c r="J38" s="11">
        <f t="shared" si="1"/>
        <v>13552</v>
      </c>
      <c r="K38" s="11">
        <f t="shared" si="2"/>
        <v>27267</v>
      </c>
      <c r="L38" s="11">
        <f t="shared" si="17"/>
        <v>0</v>
      </c>
      <c r="M38" s="100">
        <f t="shared" si="4"/>
        <v>0</v>
      </c>
      <c r="N38" s="11">
        <f t="shared" si="5"/>
        <v>163</v>
      </c>
      <c r="O38" s="100">
        <f t="shared" si="6"/>
        <v>0.01202774498</v>
      </c>
      <c r="P38" s="11">
        <f t="shared" si="7"/>
        <v>27.267</v>
      </c>
      <c r="Q38" s="11">
        <f t="shared" si="8"/>
        <v>0.8861775</v>
      </c>
      <c r="R38" s="11">
        <f t="shared" si="9"/>
        <v>0.15951195</v>
      </c>
      <c r="S38" s="11">
        <f t="shared" si="10"/>
        <v>0.0136335</v>
      </c>
      <c r="T38" s="11">
        <f t="shared" si="11"/>
        <v>28.32632295</v>
      </c>
      <c r="U38" s="11">
        <f t="shared" si="21"/>
        <v>16</v>
      </c>
      <c r="V38" s="11">
        <f t="shared" si="22"/>
        <v>44.32632295</v>
      </c>
      <c r="W38" s="11">
        <f t="shared" si="14"/>
        <v>118.6736771</v>
      </c>
      <c r="X38" s="100">
        <f t="shared" si="15"/>
        <v>0.008756912415</v>
      </c>
      <c r="Y38" s="11">
        <f t="shared" si="16"/>
        <v>122483.9886</v>
      </c>
    </row>
    <row r="39">
      <c r="A39" s="97">
        <v>38.0</v>
      </c>
      <c r="B39" s="11" t="s">
        <v>210</v>
      </c>
      <c r="C39" s="98" t="s">
        <v>273</v>
      </c>
      <c r="D39" s="99">
        <v>44324.0</v>
      </c>
      <c r="E39" s="11">
        <v>3150.0</v>
      </c>
      <c r="F39" s="99">
        <v>44356.0</v>
      </c>
      <c r="G39" s="11">
        <v>3204.0</v>
      </c>
      <c r="H39" s="10">
        <f>IFERROR(__xludf.DUMMYFUNCTION("GOOGLEFINANCE(""NSE:""&amp;B39,""price"")"),3305.1)</f>
        <v>3305.1</v>
      </c>
      <c r="I39" s="97">
        <v>4.0</v>
      </c>
      <c r="J39" s="11">
        <f t="shared" si="1"/>
        <v>12600</v>
      </c>
      <c r="K39" s="11">
        <f t="shared" si="2"/>
        <v>25416</v>
      </c>
      <c r="L39" s="11">
        <f t="shared" si="17"/>
        <v>0</v>
      </c>
      <c r="M39" s="100">
        <f t="shared" si="4"/>
        <v>0</v>
      </c>
      <c r="N39" s="11">
        <f t="shared" si="5"/>
        <v>216</v>
      </c>
      <c r="O39" s="100">
        <f t="shared" si="6"/>
        <v>0.01714285714</v>
      </c>
      <c r="P39" s="11">
        <f t="shared" si="7"/>
        <v>25.416</v>
      </c>
      <c r="Q39" s="11">
        <f t="shared" si="8"/>
        <v>0.82602</v>
      </c>
      <c r="R39" s="11">
        <f t="shared" si="9"/>
        <v>0.1486836</v>
      </c>
      <c r="S39" s="11">
        <f t="shared" si="10"/>
        <v>0.012708</v>
      </c>
      <c r="T39" s="11">
        <f t="shared" si="11"/>
        <v>26.4034116</v>
      </c>
      <c r="U39" s="11">
        <f t="shared" si="21"/>
        <v>16</v>
      </c>
      <c r="V39" s="11">
        <f t="shared" si="22"/>
        <v>42.4034116</v>
      </c>
      <c r="W39" s="11">
        <f t="shared" si="14"/>
        <v>173.5965884</v>
      </c>
      <c r="X39" s="100">
        <f t="shared" si="15"/>
        <v>0.01377750702</v>
      </c>
      <c r="Y39" s="11">
        <f t="shared" si="16"/>
        <v>122657.5852</v>
      </c>
    </row>
    <row r="40">
      <c r="A40" s="97">
        <v>39.0</v>
      </c>
      <c r="B40" s="11" t="s">
        <v>138</v>
      </c>
      <c r="C40" s="98" t="s">
        <v>273</v>
      </c>
      <c r="D40" s="99">
        <v>44334.0</v>
      </c>
      <c r="E40" s="11">
        <v>1425.0</v>
      </c>
      <c r="F40" s="99">
        <v>44347.0</v>
      </c>
      <c r="G40" s="11">
        <v>1486.0</v>
      </c>
      <c r="H40" s="10">
        <f>IFERROR(__xludf.DUMMYFUNCTION("GOOGLEFINANCE(""NSE:""&amp;B40,""price"")"),2823.1)</f>
        <v>2823.1</v>
      </c>
      <c r="I40" s="97">
        <v>5.0</v>
      </c>
      <c r="J40" s="11">
        <f t="shared" si="1"/>
        <v>7125</v>
      </c>
      <c r="K40" s="11">
        <f t="shared" si="2"/>
        <v>14555</v>
      </c>
      <c r="L40" s="11">
        <f t="shared" si="17"/>
        <v>0</v>
      </c>
      <c r="M40" s="100">
        <f t="shared" si="4"/>
        <v>0</v>
      </c>
      <c r="N40" s="11">
        <f t="shared" si="5"/>
        <v>305</v>
      </c>
      <c r="O40" s="100">
        <f t="shared" si="6"/>
        <v>0.04280701754</v>
      </c>
      <c r="P40" s="11">
        <f t="shared" si="7"/>
        <v>14.555</v>
      </c>
      <c r="Q40" s="11">
        <f t="shared" si="8"/>
        <v>0.4730375</v>
      </c>
      <c r="R40" s="11">
        <f t="shared" si="9"/>
        <v>0.08514675</v>
      </c>
      <c r="S40" s="11">
        <f t="shared" si="10"/>
        <v>0.0072775</v>
      </c>
      <c r="T40" s="11">
        <f t="shared" si="11"/>
        <v>15.12046175</v>
      </c>
      <c r="U40" s="11">
        <f t="shared" si="21"/>
        <v>16</v>
      </c>
      <c r="V40" s="11">
        <f t="shared" si="22"/>
        <v>31.12046175</v>
      </c>
      <c r="W40" s="11">
        <f t="shared" si="14"/>
        <v>273.8795383</v>
      </c>
      <c r="X40" s="100">
        <f t="shared" si="15"/>
        <v>0.03843923344</v>
      </c>
      <c r="Y40" s="11">
        <f t="shared" si="16"/>
        <v>122931.4648</v>
      </c>
    </row>
    <row r="41">
      <c r="A41" s="97">
        <v>40.0</v>
      </c>
      <c r="B41" s="11" t="s">
        <v>121</v>
      </c>
      <c r="C41" s="98" t="s">
        <v>273</v>
      </c>
      <c r="D41" s="99">
        <v>44347.0</v>
      </c>
      <c r="E41" s="11">
        <v>652.9</v>
      </c>
      <c r="F41" s="99">
        <v>44350.0</v>
      </c>
      <c r="G41" s="11">
        <v>679.5</v>
      </c>
      <c r="H41" s="10">
        <f>IFERROR(__xludf.DUMMYFUNCTION("GOOGLEFINANCE(""NSE:""&amp;B41,""price"")"),1185.2)</f>
        <v>1185.2</v>
      </c>
      <c r="I41" s="97">
        <v>18.0</v>
      </c>
      <c r="J41" s="11">
        <f t="shared" si="1"/>
        <v>11752.2</v>
      </c>
      <c r="K41" s="11">
        <f t="shared" si="2"/>
        <v>23983.2</v>
      </c>
      <c r="L41" s="11">
        <f t="shared" si="17"/>
        <v>0</v>
      </c>
      <c r="M41" s="100">
        <f t="shared" si="4"/>
        <v>0</v>
      </c>
      <c r="N41" s="11">
        <f t="shared" si="5"/>
        <v>478.8</v>
      </c>
      <c r="O41" s="100">
        <f t="shared" si="6"/>
        <v>0.04074130801</v>
      </c>
      <c r="P41" s="11">
        <f t="shared" si="7"/>
        <v>23.9832</v>
      </c>
      <c r="Q41" s="11">
        <f t="shared" si="8"/>
        <v>0.779454</v>
      </c>
      <c r="R41" s="11">
        <f t="shared" si="9"/>
        <v>0.14030172</v>
      </c>
      <c r="S41" s="11">
        <f t="shared" si="10"/>
        <v>0.0119916</v>
      </c>
      <c r="T41" s="11">
        <f t="shared" si="11"/>
        <v>24.91494732</v>
      </c>
      <c r="U41" s="11">
        <f t="shared" si="21"/>
        <v>16</v>
      </c>
      <c r="V41" s="11">
        <f t="shared" si="22"/>
        <v>40.91494732</v>
      </c>
      <c r="W41" s="11">
        <f t="shared" si="14"/>
        <v>437.8850527</v>
      </c>
      <c r="X41" s="100">
        <f t="shared" si="15"/>
        <v>0.03725983668</v>
      </c>
      <c r="Y41" s="11">
        <f t="shared" si="16"/>
        <v>123369.3498</v>
      </c>
    </row>
    <row r="42">
      <c r="A42" s="97">
        <v>41.0</v>
      </c>
      <c r="B42" s="11" t="s">
        <v>309</v>
      </c>
      <c r="C42" s="98" t="s">
        <v>273</v>
      </c>
      <c r="D42" s="99">
        <v>44354.0</v>
      </c>
      <c r="E42" s="11">
        <v>545.85</v>
      </c>
      <c r="F42" s="99">
        <v>44356.0</v>
      </c>
      <c r="G42" s="11">
        <v>556.4</v>
      </c>
      <c r="H42" s="10">
        <f>IFERROR(__xludf.DUMMYFUNCTION("GOOGLEFINANCE(""NSE:""&amp;B42,""price"")"),493.45)</f>
        <v>493.45</v>
      </c>
      <c r="I42" s="97">
        <v>20.0</v>
      </c>
      <c r="J42" s="11">
        <f t="shared" si="1"/>
        <v>10917</v>
      </c>
      <c r="K42" s="11">
        <f t="shared" si="2"/>
        <v>22045</v>
      </c>
      <c r="L42" s="11">
        <f t="shared" si="17"/>
        <v>0</v>
      </c>
      <c r="M42" s="100">
        <f t="shared" si="4"/>
        <v>0</v>
      </c>
      <c r="N42" s="11">
        <f t="shared" si="5"/>
        <v>211</v>
      </c>
      <c r="O42" s="100">
        <f t="shared" si="6"/>
        <v>0.01932765412</v>
      </c>
      <c r="P42" s="11">
        <f t="shared" si="7"/>
        <v>22.045</v>
      </c>
      <c r="Q42" s="11">
        <f t="shared" si="8"/>
        <v>0.7164625</v>
      </c>
      <c r="R42" s="11">
        <f t="shared" si="9"/>
        <v>0.12896325</v>
      </c>
      <c r="S42" s="11">
        <f t="shared" si="10"/>
        <v>0.0110225</v>
      </c>
      <c r="T42" s="11">
        <f t="shared" si="11"/>
        <v>22.90144825</v>
      </c>
      <c r="U42" s="11">
        <f t="shared" si="21"/>
        <v>16</v>
      </c>
      <c r="V42" s="11">
        <f t="shared" si="22"/>
        <v>38.90144825</v>
      </c>
      <c r="W42" s="11">
        <f t="shared" si="14"/>
        <v>172.0985517</v>
      </c>
      <c r="X42" s="100">
        <f t="shared" si="15"/>
        <v>0.01576427148</v>
      </c>
      <c r="Y42" s="11">
        <f t="shared" si="16"/>
        <v>123541.4484</v>
      </c>
    </row>
    <row r="43">
      <c r="A43" s="97">
        <v>42.0</v>
      </c>
      <c r="B43" s="11" t="s">
        <v>310</v>
      </c>
      <c r="C43" s="98" t="s">
        <v>273</v>
      </c>
      <c r="D43" s="99">
        <v>44375.0</v>
      </c>
      <c r="E43" s="11">
        <v>674.25</v>
      </c>
      <c r="F43" s="125">
        <v>44405.0</v>
      </c>
      <c r="G43" s="11">
        <v>678.85</v>
      </c>
      <c r="H43" s="10">
        <f>IFERROR(__xludf.DUMMYFUNCTION("GOOGLEFINANCE(""NSE:""&amp;B43,""price"")"),1753.4)</f>
        <v>1753.4</v>
      </c>
      <c r="I43" s="97">
        <v>20.0</v>
      </c>
      <c r="J43" s="11">
        <f t="shared" si="1"/>
        <v>13485</v>
      </c>
      <c r="K43" s="11">
        <f t="shared" si="2"/>
        <v>27062</v>
      </c>
      <c r="L43" s="11">
        <f t="shared" si="17"/>
        <v>0</v>
      </c>
      <c r="M43" s="100">
        <f t="shared" si="4"/>
        <v>0</v>
      </c>
      <c r="N43" s="11">
        <f t="shared" si="5"/>
        <v>92</v>
      </c>
      <c r="O43" s="100">
        <f t="shared" si="6"/>
        <v>0.006822395254</v>
      </c>
      <c r="P43" s="11">
        <f t="shared" si="7"/>
        <v>27.062</v>
      </c>
      <c r="Q43" s="11">
        <f t="shared" si="8"/>
        <v>0.879515</v>
      </c>
      <c r="R43" s="11">
        <f t="shared" si="9"/>
        <v>0.1583127</v>
      </c>
      <c r="S43" s="11">
        <f t="shared" si="10"/>
        <v>0.013531</v>
      </c>
      <c r="T43" s="11">
        <f t="shared" si="11"/>
        <v>28.1133587</v>
      </c>
      <c r="U43" s="11">
        <f t="shared" si="21"/>
        <v>16</v>
      </c>
      <c r="V43" s="11">
        <f t="shared" si="22"/>
        <v>44.1133587</v>
      </c>
      <c r="W43" s="11">
        <f t="shared" si="14"/>
        <v>47.8866413</v>
      </c>
      <c r="X43" s="100">
        <f t="shared" si="15"/>
        <v>0.003551104286</v>
      </c>
      <c r="Y43" s="11">
        <f t="shared" si="16"/>
        <v>123589.335</v>
      </c>
    </row>
    <row r="44">
      <c r="A44" s="97">
        <v>43.0</v>
      </c>
      <c r="B44" s="11" t="s">
        <v>311</v>
      </c>
      <c r="C44" s="98" t="s">
        <v>273</v>
      </c>
      <c r="D44" s="99">
        <v>44376.0</v>
      </c>
      <c r="E44" s="11">
        <v>1166.5</v>
      </c>
      <c r="F44" s="99">
        <v>44405.0</v>
      </c>
      <c r="G44" s="11">
        <v>1097.25</v>
      </c>
      <c r="H44" s="10">
        <f>IFERROR(__xludf.DUMMYFUNCTION("GOOGLEFINANCE(""NSE:""&amp;B44,""price"")"),2108.5)</f>
        <v>2108.5</v>
      </c>
      <c r="I44" s="97">
        <v>11.0</v>
      </c>
      <c r="J44" s="11">
        <f t="shared" si="1"/>
        <v>12831.5</v>
      </c>
      <c r="K44" s="11">
        <f t="shared" si="2"/>
        <v>24901.25</v>
      </c>
      <c r="L44" s="11">
        <f t="shared" si="17"/>
        <v>0</v>
      </c>
      <c r="M44" s="100">
        <f t="shared" si="4"/>
        <v>0</v>
      </c>
      <c r="N44" s="11">
        <f t="shared" si="5"/>
        <v>-761.75</v>
      </c>
      <c r="O44" s="100">
        <f t="shared" si="6"/>
        <v>-0.05936562366</v>
      </c>
      <c r="P44" s="11">
        <f t="shared" si="7"/>
        <v>24.90125</v>
      </c>
      <c r="Q44" s="11">
        <f t="shared" si="8"/>
        <v>0.809290625</v>
      </c>
      <c r="R44" s="11">
        <f t="shared" si="9"/>
        <v>0.1456723125</v>
      </c>
      <c r="S44" s="11">
        <f t="shared" si="10"/>
        <v>0.012450625</v>
      </c>
      <c r="T44" s="11">
        <f t="shared" si="11"/>
        <v>25.86866356</v>
      </c>
      <c r="U44" s="11">
        <f t="shared" si="21"/>
        <v>16</v>
      </c>
      <c r="V44" s="11">
        <f t="shared" si="22"/>
        <v>41.86866356</v>
      </c>
      <c r="W44" s="11">
        <f t="shared" si="14"/>
        <v>-803.6186636</v>
      </c>
      <c r="X44" s="100">
        <f t="shared" si="15"/>
        <v>-0.06262858306</v>
      </c>
      <c r="Y44" s="11">
        <f t="shared" si="16"/>
        <v>122785.7163</v>
      </c>
    </row>
    <row r="45">
      <c r="A45" s="97">
        <v>44.0</v>
      </c>
      <c r="B45" s="11" t="s">
        <v>169</v>
      </c>
      <c r="C45" s="98" t="s">
        <v>273</v>
      </c>
      <c r="D45" s="99">
        <v>44393.0</v>
      </c>
      <c r="E45" s="11">
        <v>312.3</v>
      </c>
      <c r="F45" s="99">
        <v>44467.0</v>
      </c>
      <c r="G45" s="11">
        <v>333.1</v>
      </c>
      <c r="H45" s="10" t="str">
        <f>IFERROR(__xludf.DUMMYFUNCTION("GOOGLEFINANCE(""NSE:""&amp;B45,""price"")"),"#N/A")</f>
        <v>#N/A</v>
      </c>
      <c r="I45" s="97">
        <v>40.0</v>
      </c>
      <c r="J45" s="11">
        <f t="shared" si="1"/>
        <v>12492</v>
      </c>
      <c r="K45" s="11">
        <f t="shared" si="2"/>
        <v>25816</v>
      </c>
      <c r="L45" s="11">
        <f t="shared" si="17"/>
        <v>0</v>
      </c>
      <c r="M45" s="100">
        <f t="shared" si="4"/>
        <v>0</v>
      </c>
      <c r="N45" s="11">
        <f t="shared" si="5"/>
        <v>832</v>
      </c>
      <c r="O45" s="100">
        <f t="shared" si="6"/>
        <v>0.06660262568</v>
      </c>
      <c r="P45" s="11">
        <f t="shared" si="7"/>
        <v>25.816</v>
      </c>
      <c r="Q45" s="11">
        <f t="shared" si="8"/>
        <v>0.83902</v>
      </c>
      <c r="R45" s="11">
        <f t="shared" si="9"/>
        <v>0.1510236</v>
      </c>
      <c r="S45" s="11">
        <f t="shared" si="10"/>
        <v>0.012908</v>
      </c>
      <c r="T45" s="11">
        <f t="shared" si="11"/>
        <v>26.8189516</v>
      </c>
      <c r="U45" s="11">
        <f t="shared" si="21"/>
        <v>16</v>
      </c>
      <c r="V45" s="11">
        <f t="shared" si="22"/>
        <v>42.8189516</v>
      </c>
      <c r="W45" s="11">
        <f t="shared" si="14"/>
        <v>789.1810484</v>
      </c>
      <c r="X45" s="100">
        <f t="shared" si="15"/>
        <v>0.06317491582</v>
      </c>
      <c r="Y45" s="11">
        <f t="shared" si="16"/>
        <v>123574.8974</v>
      </c>
    </row>
    <row r="46">
      <c r="A46" s="97">
        <v>45.0</v>
      </c>
      <c r="B46" s="11" t="s">
        <v>173</v>
      </c>
      <c r="C46" s="98" t="s">
        <v>273</v>
      </c>
      <c r="D46" s="99">
        <v>44400.0</v>
      </c>
      <c r="E46" s="11">
        <v>76.0</v>
      </c>
      <c r="F46" s="99">
        <v>44400.0</v>
      </c>
      <c r="G46" s="11">
        <v>121.08</v>
      </c>
      <c r="H46" s="10" t="str">
        <f>IFERROR(__xludf.DUMMYFUNCTION("GOOGLEFINANCE(""NSE:""&amp;B46,""price"")"),"#N/A")</f>
        <v>#N/A</v>
      </c>
      <c r="I46" s="97">
        <v>120.0</v>
      </c>
      <c r="J46" s="11">
        <f t="shared" si="1"/>
        <v>9120</v>
      </c>
      <c r="K46" s="11">
        <f t="shared" si="2"/>
        <v>23649.6</v>
      </c>
      <c r="L46" s="11">
        <f t="shared" si="17"/>
        <v>0</v>
      </c>
      <c r="M46" s="100">
        <f t="shared" si="4"/>
        <v>0</v>
      </c>
      <c r="N46" s="11">
        <f t="shared" si="5"/>
        <v>5409.6</v>
      </c>
      <c r="O46" s="100">
        <f t="shared" si="6"/>
        <v>0.5931578947</v>
      </c>
      <c r="P46" s="11">
        <f t="shared" si="7"/>
        <v>23.6496</v>
      </c>
      <c r="Q46" s="11">
        <f t="shared" si="8"/>
        <v>0.768612</v>
      </c>
      <c r="R46" s="11">
        <f t="shared" si="9"/>
        <v>0.13835016</v>
      </c>
      <c r="S46" s="11">
        <f t="shared" si="10"/>
        <v>0.0118248</v>
      </c>
      <c r="T46" s="11">
        <f t="shared" si="11"/>
        <v>24.56838696</v>
      </c>
      <c r="U46" s="11">
        <f t="shared" si="21"/>
        <v>16</v>
      </c>
      <c r="V46" s="11">
        <f t="shared" si="22"/>
        <v>40.56838696</v>
      </c>
      <c r="W46" s="11">
        <f t="shared" si="14"/>
        <v>5369.031613</v>
      </c>
      <c r="X46" s="100">
        <f t="shared" si="15"/>
        <v>0.5887096067</v>
      </c>
      <c r="Y46" s="11">
        <f t="shared" si="16"/>
        <v>128943.929</v>
      </c>
    </row>
    <row r="47">
      <c r="A47" s="97">
        <v>46.0</v>
      </c>
      <c r="B47" s="11" t="s">
        <v>173</v>
      </c>
      <c r="C47" s="98" t="s">
        <v>273</v>
      </c>
      <c r="D47" s="99">
        <v>44400.0</v>
      </c>
      <c r="E47" s="11">
        <v>76.0</v>
      </c>
      <c r="F47" s="99"/>
      <c r="G47" s="11">
        <v>0.0</v>
      </c>
      <c r="H47" s="10" t="str">
        <f>IFERROR(__xludf.DUMMYFUNCTION("GOOGLEFINANCE(""NSE:""&amp;B47,""price"")"),"#N/A")</f>
        <v>#N/A</v>
      </c>
      <c r="I47" s="97">
        <v>75.0</v>
      </c>
      <c r="J47" s="11">
        <f t="shared" si="1"/>
        <v>5700</v>
      </c>
      <c r="K47" s="11">
        <f t="shared" si="2"/>
        <v>5700</v>
      </c>
      <c r="L47" s="11" t="str">
        <f t="shared" si="17"/>
        <v>#N/A</v>
      </c>
      <c r="M47" s="100" t="str">
        <f t="shared" si="4"/>
        <v>#N/A</v>
      </c>
      <c r="N47" s="11">
        <f t="shared" si="5"/>
        <v>0</v>
      </c>
      <c r="O47" s="100">
        <f t="shared" si="6"/>
        <v>0</v>
      </c>
      <c r="P47" s="11">
        <f t="shared" si="7"/>
        <v>5.7</v>
      </c>
      <c r="Q47" s="11">
        <f t="shared" si="8"/>
        <v>0.18525</v>
      </c>
      <c r="R47" s="11">
        <f t="shared" si="9"/>
        <v>0.033345</v>
      </c>
      <c r="S47" s="11">
        <f t="shared" si="10"/>
        <v>0.00285</v>
      </c>
      <c r="T47" s="11">
        <f t="shared" si="11"/>
        <v>5.921445</v>
      </c>
      <c r="U47" s="11">
        <f t="shared" si="21"/>
        <v>0</v>
      </c>
      <c r="V47" s="11">
        <f t="shared" si="22"/>
        <v>5.921445</v>
      </c>
      <c r="W47" s="11">
        <f t="shared" si="14"/>
        <v>0</v>
      </c>
      <c r="X47" s="100">
        <f t="shared" si="15"/>
        <v>0</v>
      </c>
      <c r="Y47" s="11">
        <f t="shared" si="16"/>
        <v>128943.929</v>
      </c>
    </row>
    <row r="48">
      <c r="A48" s="97">
        <v>47.0</v>
      </c>
      <c r="B48" s="11" t="s">
        <v>274</v>
      </c>
      <c r="C48" s="98" t="s">
        <v>273</v>
      </c>
      <c r="D48" s="99">
        <v>44421.0</v>
      </c>
      <c r="E48" s="11">
        <v>2700.0</v>
      </c>
      <c r="F48" s="99">
        <v>44466.0</v>
      </c>
      <c r="G48" s="11">
        <v>2854.0</v>
      </c>
      <c r="H48" s="10" t="str">
        <f>IFERROR(__xludf.DUMMYFUNCTION("GOOGLEFINANCE(""NSE:""&amp;B48,""price"")"),"#N/A")</f>
        <v>#N/A</v>
      </c>
      <c r="I48" s="97">
        <v>4.0</v>
      </c>
      <c r="J48" s="11">
        <f t="shared" si="1"/>
        <v>10800</v>
      </c>
      <c r="K48" s="11">
        <f t="shared" si="2"/>
        <v>22216</v>
      </c>
      <c r="L48" s="11">
        <f t="shared" si="17"/>
        <v>0</v>
      </c>
      <c r="M48" s="100">
        <f t="shared" si="4"/>
        <v>0</v>
      </c>
      <c r="N48" s="11">
        <f t="shared" si="5"/>
        <v>616</v>
      </c>
      <c r="O48" s="100">
        <f t="shared" si="6"/>
        <v>0.05703703704</v>
      </c>
      <c r="P48" s="11">
        <f t="shared" si="7"/>
        <v>22.216</v>
      </c>
      <c r="Q48" s="11">
        <f t="shared" si="8"/>
        <v>0.72202</v>
      </c>
      <c r="R48" s="11">
        <f t="shared" si="9"/>
        <v>0.1299636</v>
      </c>
      <c r="S48" s="11">
        <f t="shared" si="10"/>
        <v>0.011108</v>
      </c>
      <c r="T48" s="11">
        <f t="shared" si="11"/>
        <v>23.0790916</v>
      </c>
      <c r="U48" s="11">
        <f t="shared" si="21"/>
        <v>16</v>
      </c>
      <c r="V48" s="11">
        <f t="shared" si="22"/>
        <v>39.0790916</v>
      </c>
      <c r="W48" s="11">
        <f t="shared" si="14"/>
        <v>576.9209084</v>
      </c>
      <c r="X48" s="100">
        <f t="shared" si="15"/>
        <v>0.05341860263</v>
      </c>
      <c r="Y48" s="11">
        <f t="shared" si="16"/>
        <v>129520.8499</v>
      </c>
    </row>
    <row r="49">
      <c r="A49" s="97">
        <v>48.0</v>
      </c>
      <c r="B49" s="11" t="s">
        <v>312</v>
      </c>
      <c r="C49" s="98" t="s">
        <v>114</v>
      </c>
      <c r="D49" s="99">
        <v>44434.0</v>
      </c>
      <c r="E49" s="11">
        <v>74.05</v>
      </c>
      <c r="F49" s="99">
        <v>44483.0</v>
      </c>
      <c r="G49" s="11">
        <v>77.05</v>
      </c>
      <c r="H49" s="10">
        <f>IFERROR(__xludf.DUMMYFUNCTION("GOOGLEFINANCE(""NSE:""&amp;B49,""price"")"),37.5)</f>
        <v>37.5</v>
      </c>
      <c r="I49" s="97">
        <v>100.0</v>
      </c>
      <c r="J49" s="11">
        <f t="shared" si="1"/>
        <v>7405</v>
      </c>
      <c r="K49" s="11">
        <f t="shared" si="2"/>
        <v>15110</v>
      </c>
      <c r="L49" s="11">
        <f t="shared" si="17"/>
        <v>0</v>
      </c>
      <c r="M49" s="100">
        <f t="shared" si="4"/>
        <v>0</v>
      </c>
      <c r="N49" s="11">
        <f t="shared" si="5"/>
        <v>300</v>
      </c>
      <c r="O49" s="100">
        <f t="shared" si="6"/>
        <v>0.04051316678</v>
      </c>
      <c r="P49" s="11">
        <f t="shared" si="7"/>
        <v>15.11</v>
      </c>
      <c r="Q49" s="11">
        <f t="shared" si="8"/>
        <v>0.491075</v>
      </c>
      <c r="R49" s="11">
        <f t="shared" si="9"/>
        <v>0.0883935</v>
      </c>
      <c r="S49" s="11">
        <f t="shared" si="10"/>
        <v>0.007555</v>
      </c>
      <c r="T49" s="11">
        <f t="shared" si="11"/>
        <v>15.6970235</v>
      </c>
      <c r="U49" s="11">
        <f t="shared" si="21"/>
        <v>16</v>
      </c>
      <c r="V49" s="11">
        <f t="shared" si="22"/>
        <v>31.6970235</v>
      </c>
      <c r="W49" s="11">
        <f t="shared" si="14"/>
        <v>268.3029765</v>
      </c>
      <c r="X49" s="100">
        <f t="shared" si="15"/>
        <v>0.03623267745</v>
      </c>
      <c r="Y49" s="11">
        <f t="shared" si="16"/>
        <v>129789.1529</v>
      </c>
    </row>
    <row r="50">
      <c r="A50" s="97">
        <v>48.0</v>
      </c>
      <c r="B50" s="11" t="s">
        <v>121</v>
      </c>
      <c r="C50" s="98" t="s">
        <v>114</v>
      </c>
      <c r="D50" s="99">
        <v>44466.0</v>
      </c>
      <c r="E50" s="11">
        <v>834.65</v>
      </c>
      <c r="F50" s="97"/>
      <c r="G50" s="11">
        <v>0.0</v>
      </c>
      <c r="H50" s="10">
        <f>IFERROR(__xludf.DUMMYFUNCTION("GOOGLEFINANCE(""NSE:""&amp;B50,""price"")"),1185.2)</f>
        <v>1185.2</v>
      </c>
      <c r="I50" s="97">
        <v>12.0</v>
      </c>
      <c r="J50" s="11">
        <f t="shared" si="1"/>
        <v>10015.8</v>
      </c>
      <c r="K50" s="11">
        <f t="shared" si="2"/>
        <v>10015.8</v>
      </c>
      <c r="L50" s="11">
        <f t="shared" si="17"/>
        <v>4206.6</v>
      </c>
      <c r="M50" s="100">
        <f t="shared" si="4"/>
        <v>0.4199964057</v>
      </c>
      <c r="N50" s="11">
        <f t="shared" si="5"/>
        <v>0</v>
      </c>
      <c r="O50" s="100">
        <f t="shared" si="6"/>
        <v>0</v>
      </c>
      <c r="P50" s="11">
        <f t="shared" si="7"/>
        <v>10.0158</v>
      </c>
      <c r="Q50" s="11">
        <f t="shared" si="8"/>
        <v>0.3255135</v>
      </c>
      <c r="R50" s="11">
        <f t="shared" si="9"/>
        <v>0.05859243</v>
      </c>
      <c r="S50" s="11">
        <f t="shared" si="10"/>
        <v>0.0050079</v>
      </c>
      <c r="T50" s="11">
        <f t="shared" si="11"/>
        <v>10.40491383</v>
      </c>
      <c r="U50" s="11">
        <f t="shared" si="21"/>
        <v>0</v>
      </c>
      <c r="V50" s="11">
        <f t="shared" si="22"/>
        <v>10.40491383</v>
      </c>
      <c r="W50" s="11">
        <f t="shared" si="14"/>
        <v>0</v>
      </c>
      <c r="X50" s="100">
        <f t="shared" si="15"/>
        <v>0</v>
      </c>
      <c r="Y50" s="11">
        <f t="shared" si="16"/>
        <v>129789.1529</v>
      </c>
    </row>
    <row r="51">
      <c r="A51" s="106">
        <v>49.0</v>
      </c>
      <c r="B51" s="104" t="s">
        <v>313</v>
      </c>
      <c r="C51" s="109" t="s">
        <v>114</v>
      </c>
      <c r="D51" s="105">
        <v>44474.0</v>
      </c>
      <c r="E51" s="104">
        <v>434.2</v>
      </c>
      <c r="F51" s="105">
        <v>44503.0</v>
      </c>
      <c r="G51" s="104">
        <v>480.0</v>
      </c>
      <c r="H51" s="126">
        <f>IFERROR(__xludf.DUMMYFUNCTION("GOOGLEFINANCE(""NSE:""&amp;B51,""price"")"),951.5)</f>
        <v>951.5</v>
      </c>
      <c r="I51" s="106">
        <v>30.0</v>
      </c>
      <c r="J51" s="104">
        <f t="shared" si="1"/>
        <v>13026</v>
      </c>
      <c r="K51" s="104">
        <f t="shared" si="2"/>
        <v>27426</v>
      </c>
      <c r="L51" s="104">
        <f t="shared" si="17"/>
        <v>0</v>
      </c>
      <c r="M51" s="110">
        <f t="shared" si="4"/>
        <v>0</v>
      </c>
      <c r="N51" s="104">
        <f t="shared" si="5"/>
        <v>1374</v>
      </c>
      <c r="O51" s="110">
        <f t="shared" si="6"/>
        <v>0.105481345</v>
      </c>
      <c r="P51" s="104">
        <f t="shared" si="7"/>
        <v>27.426</v>
      </c>
      <c r="Q51" s="104">
        <f t="shared" si="8"/>
        <v>0.891345</v>
      </c>
      <c r="R51" s="104">
        <f t="shared" si="9"/>
        <v>0.1604421</v>
      </c>
      <c r="S51" s="104">
        <f t="shared" si="10"/>
        <v>0.013713</v>
      </c>
      <c r="T51" s="104">
        <f t="shared" si="11"/>
        <v>28.4915001</v>
      </c>
      <c r="U51" s="104">
        <f t="shared" si="21"/>
        <v>16</v>
      </c>
      <c r="V51" s="104">
        <f t="shared" si="22"/>
        <v>44.4915001</v>
      </c>
      <c r="W51" s="104">
        <f t="shared" si="14"/>
        <v>1329.5085</v>
      </c>
      <c r="X51" s="110">
        <f t="shared" si="15"/>
        <v>0.1020657531</v>
      </c>
      <c r="Y51" s="104">
        <f t="shared" ref="Y51:Y53" si="23">sum(Y48,W51)</f>
        <v>130850.3584</v>
      </c>
    </row>
    <row r="52">
      <c r="A52" s="97">
        <v>50.0</v>
      </c>
      <c r="B52" s="11" t="s">
        <v>34</v>
      </c>
      <c r="C52" s="98" t="s">
        <v>114</v>
      </c>
      <c r="D52" s="99">
        <v>44516.0</v>
      </c>
      <c r="E52" s="11">
        <v>1168.0</v>
      </c>
      <c r="F52" s="99">
        <v>44561.0</v>
      </c>
      <c r="G52" s="11">
        <v>1315.4</v>
      </c>
      <c r="H52" s="126">
        <f>IFERROR(__xludf.DUMMYFUNCTION("GOOGLEFINANCE(""NSE:""&amp;B52,""price"")"),1674.8)</f>
        <v>1674.8</v>
      </c>
      <c r="I52" s="97">
        <v>10.0</v>
      </c>
      <c r="J52" s="104">
        <f t="shared" si="1"/>
        <v>11680</v>
      </c>
      <c r="K52" s="104">
        <f t="shared" si="2"/>
        <v>24834</v>
      </c>
      <c r="L52" s="104">
        <f t="shared" si="17"/>
        <v>0</v>
      </c>
      <c r="M52" s="110">
        <f t="shared" si="4"/>
        <v>0</v>
      </c>
      <c r="N52" s="104">
        <f t="shared" si="5"/>
        <v>1474</v>
      </c>
      <c r="O52" s="110">
        <f t="shared" si="6"/>
        <v>0.1261986301</v>
      </c>
      <c r="P52" s="104">
        <f t="shared" si="7"/>
        <v>24.834</v>
      </c>
      <c r="Q52" s="104">
        <f t="shared" si="8"/>
        <v>0.807105</v>
      </c>
      <c r="R52" s="104">
        <f t="shared" si="9"/>
        <v>0.1452789</v>
      </c>
      <c r="S52" s="104">
        <f t="shared" si="10"/>
        <v>0.012417</v>
      </c>
      <c r="T52" s="104">
        <f t="shared" si="11"/>
        <v>25.7988009</v>
      </c>
      <c r="U52" s="104">
        <f t="shared" si="21"/>
        <v>16</v>
      </c>
      <c r="V52" s="104">
        <f t="shared" si="22"/>
        <v>41.7988009</v>
      </c>
      <c r="W52" s="104">
        <f t="shared" si="14"/>
        <v>1432.201199</v>
      </c>
      <c r="X52" s="110">
        <f t="shared" si="15"/>
        <v>0.1226199657</v>
      </c>
      <c r="Y52" s="104">
        <f t="shared" si="23"/>
        <v>131221.3541</v>
      </c>
    </row>
    <row r="53">
      <c r="A53" s="106">
        <v>51.0</v>
      </c>
      <c r="B53" s="104" t="s">
        <v>35</v>
      </c>
      <c r="C53" s="109" t="s">
        <v>114</v>
      </c>
      <c r="D53" s="105">
        <v>44504.0</v>
      </c>
      <c r="E53" s="104">
        <v>822.5</v>
      </c>
      <c r="F53" s="105">
        <v>44568.0</v>
      </c>
      <c r="G53" s="104">
        <v>873.0</v>
      </c>
      <c r="H53" s="126">
        <f>IFERROR(__xludf.DUMMYFUNCTION("GOOGLEFINANCE(""NSE:""&amp;B53,""price"")"),680.5)</f>
        <v>680.5</v>
      </c>
      <c r="I53" s="106">
        <v>11.0</v>
      </c>
      <c r="J53" s="104">
        <f t="shared" si="1"/>
        <v>9047.5</v>
      </c>
      <c r="K53" s="104">
        <f t="shared" si="2"/>
        <v>18650.5</v>
      </c>
      <c r="L53" s="104">
        <f t="shared" si="17"/>
        <v>0</v>
      </c>
      <c r="M53" s="110">
        <f t="shared" si="4"/>
        <v>0</v>
      </c>
      <c r="N53" s="104">
        <f t="shared" si="5"/>
        <v>555.5</v>
      </c>
      <c r="O53" s="110">
        <f t="shared" si="6"/>
        <v>0.06139817629</v>
      </c>
      <c r="P53" s="104">
        <f t="shared" si="7"/>
        <v>18.6505</v>
      </c>
      <c r="Q53" s="104">
        <f t="shared" si="8"/>
        <v>0.60614125</v>
      </c>
      <c r="R53" s="104">
        <f t="shared" si="9"/>
        <v>0.109105425</v>
      </c>
      <c r="S53" s="104">
        <f t="shared" si="10"/>
        <v>0.00932525</v>
      </c>
      <c r="T53" s="104">
        <f t="shared" si="11"/>
        <v>19.37507193</v>
      </c>
      <c r="U53" s="104">
        <f t="shared" si="21"/>
        <v>16</v>
      </c>
      <c r="V53" s="104">
        <f t="shared" si="22"/>
        <v>35.37507193</v>
      </c>
      <c r="W53" s="104">
        <f t="shared" si="14"/>
        <v>520.1249281</v>
      </c>
      <c r="X53" s="110">
        <f t="shared" si="15"/>
        <v>0.05748824847</v>
      </c>
      <c r="Y53" s="104">
        <f t="shared" si="23"/>
        <v>130309.2778</v>
      </c>
    </row>
    <row r="54">
      <c r="A54" s="111"/>
      <c r="B54" s="112" t="s">
        <v>272</v>
      </c>
      <c r="C54" s="113"/>
      <c r="D54" s="113"/>
      <c r="E54" s="113"/>
      <c r="F54" s="113"/>
      <c r="G54" s="113"/>
      <c r="H54" s="113"/>
      <c r="I54" s="114"/>
      <c r="J54" s="118"/>
      <c r="K54" s="115">
        <f t="array" ref="K54">SUM(INDIRECT("J2"&amp; ":J" &amp; ROW()-1) )</f>
        <v>543715.01</v>
      </c>
      <c r="L54" s="115" t="str">
        <f t="array" ref="L54">SUM( INDIRECT("L2"&amp; ":L" &amp; ROW()-1) )</f>
        <v>#N/A</v>
      </c>
      <c r="M54" s="116"/>
      <c r="N54" s="117">
        <f t="array" ref="N54">SUM(INDIRECT("N2"&amp; ":N" &amp; ROW()-1) )</f>
        <v>45122.29</v>
      </c>
      <c r="O54" s="116">
        <f t="array" ref="O54">AVERAGEIF(INDIRECT("O2"&amp; ":O" &amp; ROW()-1),"&lt;&gt;0")</f>
        <v>0.08460979569</v>
      </c>
      <c r="P54" s="116">
        <f t="array" ref="P54">SUM(INDIRECT("O3"&amp; ":O" &amp; ROW()-1) )</f>
        <v>3.860187857</v>
      </c>
      <c r="Q54" s="115">
        <f t="array" ref="Q54">SUM(INDIRECT("P3"&amp; ":P" &amp; ROW()-1) )</f>
        <v>1052.40226</v>
      </c>
      <c r="R54" s="115">
        <f t="array" ref="R54">SUM(INDIRECT("Q3"&amp; ":Q" &amp; ROW()-1) )</f>
        <v>34.20307345</v>
      </c>
      <c r="S54" s="115">
        <f t="array" ref="S54">SUM(INDIRECT("R3"&amp; ":R" &amp; ROW()-1) )</f>
        <v>6.156553221</v>
      </c>
      <c r="T54" s="115">
        <f t="array" ref="T54">SUM(INDIRECT("S3"&amp; ":S" &amp; ROW()-1) )</f>
        <v>0.52620113</v>
      </c>
      <c r="U54" s="115">
        <f t="array" ref="U54">SUM(INDIRECT("T3"&amp; ":T" &amp; ROW()-1) )</f>
        <v>1093.288088</v>
      </c>
      <c r="V54" s="123">
        <f t="array" ref="V54">SUM(INDIRECT("V2"&amp; ":V" &amp; ROW()-1) )</f>
        <v>2093.228446</v>
      </c>
      <c r="W54" s="115">
        <f t="array" ref="W54">SUM(INDIRECT("W2"&amp; ":W" &amp; ROW()-1) )</f>
        <v>43070.98751</v>
      </c>
      <c r="X54" s="116">
        <f>W54/AB2</f>
        <v>0.4785665279</v>
      </c>
      <c r="Y54" s="118"/>
    </row>
  </sheetData>
  <autoFilter ref="$A$1:$Y$54"/>
  <mergeCells count="1">
    <mergeCell ref="B54:I54"/>
  </mergeCells>
  <conditionalFormatting sqref="L2:O54 W2:X54 AB4:AB5 AB8:AB16 AC12">
    <cfRule type="cellIs" dxfId="0" priority="1" operator="lessThan">
      <formula>0</formula>
    </cfRule>
  </conditionalFormatting>
  <conditionalFormatting sqref="L2:O54 W2:X54 AB4:AB5 AB8:AB16 AC12">
    <cfRule type="cellIs" dxfId="1" priority="2" operator="greaterThan">
      <formula>0</formula>
    </cfRule>
  </conditionalFormatting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3" max="3" width="10.75"/>
    <col customWidth="1" min="4" max="4" width="8.38"/>
    <col customWidth="1" min="5" max="5" width="10.5"/>
    <col customWidth="1" min="6" max="6" width="6.5"/>
    <col customWidth="1" min="7" max="7" width="8.38"/>
    <col customWidth="1" min="8" max="8" width="6.88"/>
    <col customWidth="1" min="9" max="10" width="10.25"/>
    <col customWidth="1" min="11" max="11" width="15.13"/>
    <col customWidth="1" min="12" max="12" width="7.13"/>
    <col customWidth="1" min="14" max="14" width="7.13"/>
    <col customWidth="1" hidden="1" min="15" max="15" width="7.0"/>
    <col customWidth="1" hidden="1" min="16" max="16" width="9.75"/>
    <col customWidth="1" hidden="1" min="17" max="17" width="5.13"/>
    <col customWidth="1" hidden="1" min="18" max="18" width="11.25"/>
    <col customWidth="1" hidden="1" min="19" max="19" width="8.0"/>
    <col customWidth="1" hidden="1" min="20" max="20" width="10.13"/>
    <col customWidth="1" min="21" max="21" width="11.25"/>
    <col customWidth="1" min="22" max="22" width="9.38"/>
    <col customWidth="1" min="23" max="23" width="8.5"/>
    <col customWidth="1" min="25" max="25" width="7.13"/>
    <col customWidth="1" min="26" max="26" width="17.88"/>
    <col customWidth="1" min="27" max="27" width="18.0"/>
    <col customWidth="1" min="28" max="28" width="16.5"/>
  </cols>
  <sheetData>
    <row r="1">
      <c r="A1" s="94" t="s">
        <v>314</v>
      </c>
      <c r="B1" s="94" t="s">
        <v>4</v>
      </c>
      <c r="C1" s="94" t="s">
        <v>74</v>
      </c>
      <c r="D1" s="94" t="s">
        <v>75</v>
      </c>
      <c r="E1" s="94" t="s">
        <v>76</v>
      </c>
      <c r="F1" s="94" t="s">
        <v>77</v>
      </c>
      <c r="G1" s="94" t="s">
        <v>78</v>
      </c>
      <c r="H1" s="94" t="s">
        <v>79</v>
      </c>
      <c r="I1" s="94" t="s">
        <v>80</v>
      </c>
      <c r="J1" s="94" t="s">
        <v>81</v>
      </c>
      <c r="K1" s="94" t="s">
        <v>6</v>
      </c>
      <c r="L1" s="94" t="s">
        <v>82</v>
      </c>
      <c r="M1" s="94" t="s">
        <v>5</v>
      </c>
      <c r="N1" s="94" t="s">
        <v>85</v>
      </c>
      <c r="O1" s="94" t="s">
        <v>86</v>
      </c>
      <c r="P1" s="94" t="s">
        <v>87</v>
      </c>
      <c r="Q1" s="94" t="s">
        <v>88</v>
      </c>
      <c r="R1" s="94" t="s">
        <v>89</v>
      </c>
      <c r="S1" s="94" t="s">
        <v>90</v>
      </c>
      <c r="T1" s="94" t="s">
        <v>91</v>
      </c>
      <c r="U1" s="94" t="s">
        <v>92</v>
      </c>
      <c r="V1" s="94" t="s">
        <v>93</v>
      </c>
      <c r="W1" s="94" t="s">
        <v>94</v>
      </c>
      <c r="X1" s="95" t="s">
        <v>95</v>
      </c>
      <c r="Y1" s="20"/>
      <c r="Z1" s="21"/>
    </row>
    <row r="2">
      <c r="A2" s="97">
        <v>1.0</v>
      </c>
      <c r="B2" s="97" t="s">
        <v>38</v>
      </c>
      <c r="C2" s="99">
        <v>42950.0</v>
      </c>
      <c r="D2" s="11">
        <v>263.63</v>
      </c>
      <c r="E2" s="99"/>
      <c r="F2" s="11"/>
      <c r="G2" s="10">
        <f>IFERROR(__xludf.DUMMYFUNCTION("GOOGLEFINANCE(""NSE:""&amp;B2,""price"")"),400.65)</f>
        <v>400.65</v>
      </c>
      <c r="H2" s="97">
        <v>30.0</v>
      </c>
      <c r="I2" s="11">
        <f t="shared" ref="I2:I14" si="1">D2*H2</f>
        <v>7908.9</v>
      </c>
      <c r="J2" s="11">
        <f t="shared" ref="J2:J14" si="2">IF(F2&gt;0,(D2+F2)*H2,D2*H2)</f>
        <v>7908.9</v>
      </c>
      <c r="K2" s="11">
        <f t="shared" ref="K2:K14" si="3">IF(F2&gt;0,0,(G2-D2)*H2)</f>
        <v>4110.6</v>
      </c>
      <c r="L2" s="100">
        <f t="shared" ref="L2:L14" si="4">IF(F2&gt;0,0,(G2-D2)/D2)</f>
        <v>0.51974358</v>
      </c>
      <c r="M2" s="11">
        <f t="shared" ref="M2:M14" si="5">IF(F2=0,0,(F2-D2)*H2)</f>
        <v>0</v>
      </c>
      <c r="N2" s="100">
        <f t="shared" ref="N2:N14" si="6">IF(F2&gt;0,(F2-D2)/D2,0)</f>
        <v>0</v>
      </c>
      <c r="O2" s="11">
        <f t="shared" ref="O2:O14" si="7">0.001*J2</f>
        <v>7.9089</v>
      </c>
      <c r="P2" s="11">
        <f t="shared" ref="P2:P14" si="8">0.0000325*J2</f>
        <v>0.25703925</v>
      </c>
      <c r="Q2" s="11">
        <f t="shared" ref="Q2:Q14" si="9">0.18*P2</f>
        <v>0.046267065</v>
      </c>
      <c r="R2" s="11">
        <f t="shared" ref="R2:R14" si="10">0.0000005*J2</f>
        <v>0.00395445</v>
      </c>
      <c r="S2" s="11">
        <f t="shared" ref="S2:S14" si="11">O2+P2+Q2+R2</f>
        <v>8.216160765</v>
      </c>
      <c r="T2" s="11">
        <f t="shared" ref="T2:T14" si="12">IF(F2&gt;0,16,0)</f>
        <v>0</v>
      </c>
      <c r="U2" s="11">
        <f t="shared" ref="U2:U14" si="13">S2+T2</f>
        <v>8.216160765</v>
      </c>
      <c r="V2" s="11">
        <f t="shared" ref="V2:V14" si="14">IF(F2&gt;0,M2-U2,0)</f>
        <v>0</v>
      </c>
      <c r="W2" s="100">
        <f t="shared" ref="W2:W14" si="15">V2/I2</f>
        <v>0</v>
      </c>
      <c r="X2" s="102">
        <f t="shared" ref="X2:X4" si="16">sum(X1,V2)</f>
        <v>0</v>
      </c>
      <c r="Y2" s="31"/>
      <c r="Z2" s="32" t="s">
        <v>98</v>
      </c>
      <c r="AA2" s="9">
        <v>90000.0</v>
      </c>
    </row>
    <row r="3">
      <c r="A3" s="97">
        <v>2.0</v>
      </c>
      <c r="B3" s="97" t="s">
        <v>141</v>
      </c>
      <c r="C3" s="99">
        <v>43858.0</v>
      </c>
      <c r="D3" s="11">
        <v>187.15</v>
      </c>
      <c r="E3" s="99">
        <v>44363.0</v>
      </c>
      <c r="F3" s="11">
        <v>1200.0</v>
      </c>
      <c r="G3" s="10">
        <f>IFERROR(__xludf.DUMMYFUNCTION("GOOGLEFINANCE(""NSE:""&amp;B3,""price"")"),1017.0)</f>
        <v>1017</v>
      </c>
      <c r="H3" s="97">
        <v>10.0</v>
      </c>
      <c r="I3" s="11">
        <f t="shared" si="1"/>
        <v>1871.5</v>
      </c>
      <c r="J3" s="11">
        <f t="shared" si="2"/>
        <v>13871.5</v>
      </c>
      <c r="K3" s="11">
        <f t="shared" si="3"/>
        <v>0</v>
      </c>
      <c r="L3" s="100">
        <f t="shared" si="4"/>
        <v>0</v>
      </c>
      <c r="M3" s="11">
        <f t="shared" si="5"/>
        <v>10128.5</v>
      </c>
      <c r="N3" s="100">
        <f t="shared" si="6"/>
        <v>5.411969009</v>
      </c>
      <c r="O3" s="11">
        <f t="shared" si="7"/>
        <v>13.8715</v>
      </c>
      <c r="P3" s="11">
        <f t="shared" si="8"/>
        <v>0.45082375</v>
      </c>
      <c r="Q3" s="11">
        <f t="shared" si="9"/>
        <v>0.081148275</v>
      </c>
      <c r="R3" s="11">
        <f t="shared" si="10"/>
        <v>0.00693575</v>
      </c>
      <c r="S3" s="11">
        <f t="shared" si="11"/>
        <v>14.41040778</v>
      </c>
      <c r="T3" s="11">
        <f t="shared" si="12"/>
        <v>16</v>
      </c>
      <c r="U3" s="11">
        <f t="shared" si="13"/>
        <v>30.41040778</v>
      </c>
      <c r="V3" s="11">
        <f t="shared" si="14"/>
        <v>10098.08959</v>
      </c>
      <c r="W3" s="100">
        <f t="shared" si="15"/>
        <v>5.395719793</v>
      </c>
      <c r="X3" s="102">
        <f t="shared" si="16"/>
        <v>10098.08959</v>
      </c>
      <c r="Y3" s="31"/>
      <c r="Z3" s="32" t="s">
        <v>99</v>
      </c>
      <c r="AA3" s="127" t="str">
        <f>AA2+(V15+K15)</f>
        <v>#N/A</v>
      </c>
    </row>
    <row r="4">
      <c r="A4" s="97">
        <v>3.0</v>
      </c>
      <c r="B4" s="97" t="s">
        <v>66</v>
      </c>
      <c r="C4" s="99">
        <v>43873.0</v>
      </c>
      <c r="D4" s="11">
        <v>324.7</v>
      </c>
      <c r="E4" s="99"/>
      <c r="F4" s="11"/>
      <c r="G4" s="10">
        <f>IFERROR(__xludf.DUMMYFUNCTION("GOOGLEFINANCE(""NSE:""&amp;B4,""price"")"),971.25)</f>
        <v>971.25</v>
      </c>
      <c r="H4" s="97">
        <v>1.0</v>
      </c>
      <c r="I4" s="11">
        <f t="shared" si="1"/>
        <v>324.7</v>
      </c>
      <c r="J4" s="11">
        <f t="shared" si="2"/>
        <v>324.7</v>
      </c>
      <c r="K4" s="11">
        <f t="shared" si="3"/>
        <v>646.55</v>
      </c>
      <c r="L4" s="100">
        <f t="shared" si="4"/>
        <v>1.991222667</v>
      </c>
      <c r="M4" s="11">
        <f t="shared" si="5"/>
        <v>0</v>
      </c>
      <c r="N4" s="100">
        <f t="shared" si="6"/>
        <v>0</v>
      </c>
      <c r="O4" s="11">
        <f t="shared" si="7"/>
        <v>0.3247</v>
      </c>
      <c r="P4" s="11">
        <f t="shared" si="8"/>
        <v>0.01055275</v>
      </c>
      <c r="Q4" s="11">
        <f t="shared" si="9"/>
        <v>0.001899495</v>
      </c>
      <c r="R4" s="11">
        <f t="shared" si="10"/>
        <v>0.00016235</v>
      </c>
      <c r="S4" s="11">
        <f t="shared" si="11"/>
        <v>0.337314595</v>
      </c>
      <c r="T4" s="11">
        <f t="shared" si="12"/>
        <v>0</v>
      </c>
      <c r="U4" s="11">
        <f t="shared" si="13"/>
        <v>0.337314595</v>
      </c>
      <c r="V4" s="11">
        <f t="shared" si="14"/>
        <v>0</v>
      </c>
      <c r="W4" s="100">
        <f t="shared" si="15"/>
        <v>0</v>
      </c>
      <c r="X4" s="102">
        <f t="shared" si="16"/>
        <v>10098.08959</v>
      </c>
      <c r="Y4" s="31"/>
      <c r="Z4" s="32" t="s">
        <v>100</v>
      </c>
      <c r="AA4" s="9" t="str">
        <f>AA3-AA2</f>
        <v>#N/A</v>
      </c>
    </row>
    <row r="5">
      <c r="A5" s="97">
        <v>4.0</v>
      </c>
      <c r="B5" s="97" t="s">
        <v>167</v>
      </c>
      <c r="C5" s="99">
        <v>44253.0</v>
      </c>
      <c r="D5" s="11">
        <v>595.9</v>
      </c>
      <c r="E5" s="99"/>
      <c r="F5" s="11"/>
      <c r="G5" s="10">
        <f>IFERROR(__xludf.DUMMYFUNCTION("GOOGLEFINANCE(""NSE:""&amp;B5,""price"")"),1362.4)</f>
        <v>1362.4</v>
      </c>
      <c r="H5" s="97">
        <v>20.0</v>
      </c>
      <c r="I5" s="11">
        <f t="shared" si="1"/>
        <v>11918</v>
      </c>
      <c r="J5" s="11">
        <f t="shared" si="2"/>
        <v>11918</v>
      </c>
      <c r="K5" s="11">
        <f t="shared" si="3"/>
        <v>15330</v>
      </c>
      <c r="L5" s="100">
        <f t="shared" si="4"/>
        <v>1.286289646</v>
      </c>
      <c r="M5" s="11">
        <f t="shared" si="5"/>
        <v>0</v>
      </c>
      <c r="N5" s="100">
        <f t="shared" si="6"/>
        <v>0</v>
      </c>
      <c r="O5" s="11">
        <f t="shared" si="7"/>
        <v>11.918</v>
      </c>
      <c r="P5" s="11">
        <f t="shared" si="8"/>
        <v>0.387335</v>
      </c>
      <c r="Q5" s="11">
        <f t="shared" si="9"/>
        <v>0.0697203</v>
      </c>
      <c r="R5" s="101">
        <f t="shared" si="10"/>
        <v>0.005959</v>
      </c>
      <c r="S5" s="11">
        <f t="shared" si="11"/>
        <v>12.3810143</v>
      </c>
      <c r="T5" s="11">
        <f t="shared" si="12"/>
        <v>0</v>
      </c>
      <c r="U5" s="11">
        <f t="shared" si="13"/>
        <v>12.3810143</v>
      </c>
      <c r="V5" s="11">
        <f t="shared" si="14"/>
        <v>0</v>
      </c>
      <c r="W5" s="100">
        <f t="shared" si="15"/>
        <v>0</v>
      </c>
      <c r="X5" s="11">
        <f>sum($AA$2,V5)</f>
        <v>90000</v>
      </c>
      <c r="Y5" s="31"/>
      <c r="Z5" s="32" t="s">
        <v>103</v>
      </c>
      <c r="AA5" s="37" t="str">
        <f>AA4/AA2</f>
        <v>#N/A</v>
      </c>
    </row>
    <row r="6">
      <c r="A6" s="97">
        <v>5.0</v>
      </c>
      <c r="B6" s="97" t="s">
        <v>144</v>
      </c>
      <c r="C6" s="99">
        <v>44277.0</v>
      </c>
      <c r="D6" s="11">
        <v>722.5</v>
      </c>
      <c r="E6" s="99">
        <v>44344.0</v>
      </c>
      <c r="F6" s="11">
        <v>782.5</v>
      </c>
      <c r="G6" s="10">
        <f>IFERROR(__xludf.DUMMYFUNCTION("GOOGLEFINANCE(""NSE:""&amp;B6,""price"")"),1492.8)</f>
        <v>1492.8</v>
      </c>
      <c r="H6" s="97">
        <v>5.0</v>
      </c>
      <c r="I6" s="11">
        <f t="shared" si="1"/>
        <v>3612.5</v>
      </c>
      <c r="J6" s="11">
        <f t="shared" si="2"/>
        <v>7525</v>
      </c>
      <c r="K6" s="11">
        <f t="shared" si="3"/>
        <v>0</v>
      </c>
      <c r="L6" s="100">
        <f t="shared" si="4"/>
        <v>0</v>
      </c>
      <c r="M6" s="11">
        <f t="shared" si="5"/>
        <v>300</v>
      </c>
      <c r="N6" s="100">
        <f t="shared" si="6"/>
        <v>0.0830449827</v>
      </c>
      <c r="O6" s="11">
        <f t="shared" si="7"/>
        <v>7.525</v>
      </c>
      <c r="P6" s="11">
        <f t="shared" si="8"/>
        <v>0.2445625</v>
      </c>
      <c r="Q6" s="11">
        <f t="shared" si="9"/>
        <v>0.04402125</v>
      </c>
      <c r="R6" s="11">
        <f t="shared" si="10"/>
        <v>0.0037625</v>
      </c>
      <c r="S6" s="11">
        <f t="shared" si="11"/>
        <v>7.81734625</v>
      </c>
      <c r="T6" s="11">
        <f t="shared" si="12"/>
        <v>16</v>
      </c>
      <c r="U6" s="11">
        <f t="shared" si="13"/>
        <v>23.81734625</v>
      </c>
      <c r="V6" s="11">
        <f t="shared" si="14"/>
        <v>276.1826538</v>
      </c>
      <c r="W6" s="100">
        <f t="shared" si="15"/>
        <v>0.07645194567</v>
      </c>
      <c r="X6" s="11">
        <f t="shared" ref="X6:X8" si="17">sum(X5,V6)</f>
        <v>90276.18265</v>
      </c>
    </row>
    <row r="7">
      <c r="A7" s="97">
        <v>6.0</v>
      </c>
      <c r="B7" s="97" t="s">
        <v>52</v>
      </c>
      <c r="C7" s="99">
        <v>44323.0</v>
      </c>
      <c r="D7" s="11">
        <v>48.6</v>
      </c>
      <c r="E7" s="99"/>
      <c r="F7" s="11"/>
      <c r="G7" s="10">
        <f>IFERROR(__xludf.DUMMYFUNCTION("GOOGLEFINANCE(""NSE:""&amp;B7,""price"")"),168.98)</f>
        <v>168.98</v>
      </c>
      <c r="H7" s="97">
        <v>102.0</v>
      </c>
      <c r="I7" s="11">
        <f t="shared" si="1"/>
        <v>4957.2</v>
      </c>
      <c r="J7" s="11">
        <f t="shared" si="2"/>
        <v>4957.2</v>
      </c>
      <c r="K7" s="11">
        <f t="shared" si="3"/>
        <v>12278.76</v>
      </c>
      <c r="L7" s="100">
        <f t="shared" si="4"/>
        <v>2.476954733</v>
      </c>
      <c r="M7" s="11">
        <f t="shared" si="5"/>
        <v>0</v>
      </c>
      <c r="N7" s="100">
        <f t="shared" si="6"/>
        <v>0</v>
      </c>
      <c r="O7" s="11">
        <f t="shared" si="7"/>
        <v>4.9572</v>
      </c>
      <c r="P7" s="11">
        <f t="shared" si="8"/>
        <v>0.161109</v>
      </c>
      <c r="Q7" s="11">
        <f t="shared" si="9"/>
        <v>0.02899962</v>
      </c>
      <c r="R7" s="11">
        <f t="shared" si="10"/>
        <v>0.0024786</v>
      </c>
      <c r="S7" s="11">
        <f t="shared" si="11"/>
        <v>5.14978722</v>
      </c>
      <c r="T7" s="11">
        <f t="shared" si="12"/>
        <v>0</v>
      </c>
      <c r="U7" s="11">
        <f t="shared" si="13"/>
        <v>5.14978722</v>
      </c>
      <c r="V7" s="11">
        <f t="shared" si="14"/>
        <v>0</v>
      </c>
      <c r="W7" s="100">
        <f t="shared" si="15"/>
        <v>0</v>
      </c>
      <c r="X7" s="11">
        <f t="shared" si="17"/>
        <v>90276.18265</v>
      </c>
    </row>
    <row r="8">
      <c r="A8" s="97">
        <v>7.0</v>
      </c>
      <c r="B8" s="97" t="s">
        <v>21</v>
      </c>
      <c r="C8" s="99">
        <v>44406.0</v>
      </c>
      <c r="D8" s="11">
        <v>723.0</v>
      </c>
      <c r="E8" s="99"/>
      <c r="F8" s="11"/>
      <c r="G8" s="10">
        <f>IFERROR(__xludf.DUMMYFUNCTION("GOOGLEFINANCE(""NSE:""&amp;B8,""price"")"),1224.5)</f>
        <v>1224.5</v>
      </c>
      <c r="H8" s="97">
        <v>10.0</v>
      </c>
      <c r="I8" s="11">
        <f t="shared" si="1"/>
        <v>7230</v>
      </c>
      <c r="J8" s="11">
        <f t="shared" si="2"/>
        <v>7230</v>
      </c>
      <c r="K8" s="11">
        <f t="shared" si="3"/>
        <v>5015</v>
      </c>
      <c r="L8" s="100">
        <f t="shared" si="4"/>
        <v>0.693637621</v>
      </c>
      <c r="M8" s="11">
        <f t="shared" si="5"/>
        <v>0</v>
      </c>
      <c r="N8" s="100">
        <f t="shared" si="6"/>
        <v>0</v>
      </c>
      <c r="O8" s="11">
        <f t="shared" si="7"/>
        <v>7.23</v>
      </c>
      <c r="P8" s="11">
        <f t="shared" si="8"/>
        <v>0.234975</v>
      </c>
      <c r="Q8" s="11">
        <f t="shared" si="9"/>
        <v>0.0422955</v>
      </c>
      <c r="R8" s="11">
        <f t="shared" si="10"/>
        <v>0.003615</v>
      </c>
      <c r="S8" s="11">
        <f t="shared" si="11"/>
        <v>7.5108855</v>
      </c>
      <c r="T8" s="11">
        <f t="shared" si="12"/>
        <v>0</v>
      </c>
      <c r="U8" s="11">
        <f t="shared" si="13"/>
        <v>7.5108855</v>
      </c>
      <c r="V8" s="11">
        <f t="shared" si="14"/>
        <v>0</v>
      </c>
      <c r="W8" s="100">
        <f t="shared" si="15"/>
        <v>0</v>
      </c>
      <c r="X8" s="11">
        <f t="shared" si="17"/>
        <v>90276.18265</v>
      </c>
    </row>
    <row r="9">
      <c r="A9" s="97">
        <v>8.0</v>
      </c>
      <c r="B9" s="97" t="s">
        <v>35</v>
      </c>
      <c r="C9" s="99">
        <v>44508.0</v>
      </c>
      <c r="D9" s="11">
        <v>833.3</v>
      </c>
      <c r="E9" s="99"/>
      <c r="F9" s="11"/>
      <c r="G9" s="10">
        <f>IFERROR(__xludf.DUMMYFUNCTION("GOOGLEFINANCE(""NSE:""&amp;B9,""price"")"),680.5)</f>
        <v>680.5</v>
      </c>
      <c r="H9" s="97">
        <v>11.0</v>
      </c>
      <c r="I9" s="11">
        <f t="shared" si="1"/>
        <v>9166.3</v>
      </c>
      <c r="J9" s="11">
        <f t="shared" si="2"/>
        <v>9166.3</v>
      </c>
      <c r="K9" s="11">
        <f t="shared" si="3"/>
        <v>-1680.8</v>
      </c>
      <c r="L9" s="100">
        <f t="shared" si="4"/>
        <v>-0.1833673347</v>
      </c>
      <c r="M9" s="11">
        <f t="shared" si="5"/>
        <v>0</v>
      </c>
      <c r="N9" s="100">
        <f t="shared" si="6"/>
        <v>0</v>
      </c>
      <c r="O9" s="11">
        <f t="shared" si="7"/>
        <v>9.1663</v>
      </c>
      <c r="P9" s="11">
        <f t="shared" si="8"/>
        <v>0.29790475</v>
      </c>
      <c r="Q9" s="11">
        <f t="shared" si="9"/>
        <v>0.053622855</v>
      </c>
      <c r="R9" s="11">
        <f t="shared" si="10"/>
        <v>0.00458315</v>
      </c>
      <c r="S9" s="11">
        <f t="shared" si="11"/>
        <v>9.522410755</v>
      </c>
      <c r="T9" s="11">
        <f t="shared" si="12"/>
        <v>0</v>
      </c>
      <c r="U9" s="11">
        <f t="shared" si="13"/>
        <v>9.522410755</v>
      </c>
      <c r="V9" s="11">
        <f t="shared" si="14"/>
        <v>0</v>
      </c>
      <c r="W9" s="100">
        <f t="shared" si="15"/>
        <v>0</v>
      </c>
      <c r="X9" s="11">
        <f>sum(X7,V9)</f>
        <v>90276.18265</v>
      </c>
    </row>
    <row r="10">
      <c r="A10" s="97">
        <v>9.0</v>
      </c>
      <c r="B10" s="97" t="s">
        <v>38</v>
      </c>
      <c r="C10" s="99">
        <v>44552.0</v>
      </c>
      <c r="D10" s="11">
        <v>145.55</v>
      </c>
      <c r="E10" s="99"/>
      <c r="F10" s="11"/>
      <c r="G10" s="10">
        <f>IFERROR(__xludf.DUMMYFUNCTION("GOOGLEFINANCE(""NSE:""&amp;B10,""price"")"),400.65)</f>
        <v>400.65</v>
      </c>
      <c r="H10" s="97">
        <v>3.0</v>
      </c>
      <c r="I10" s="11">
        <f t="shared" si="1"/>
        <v>436.65</v>
      </c>
      <c r="J10" s="11">
        <f t="shared" si="2"/>
        <v>436.65</v>
      </c>
      <c r="K10" s="11">
        <f t="shared" si="3"/>
        <v>765.3</v>
      </c>
      <c r="L10" s="100">
        <f t="shared" si="4"/>
        <v>1.752662315</v>
      </c>
      <c r="M10" s="11">
        <f t="shared" si="5"/>
        <v>0</v>
      </c>
      <c r="N10" s="100">
        <f t="shared" si="6"/>
        <v>0</v>
      </c>
      <c r="O10" s="11">
        <f t="shared" si="7"/>
        <v>0.43665</v>
      </c>
      <c r="P10" s="11">
        <f t="shared" si="8"/>
        <v>0.014191125</v>
      </c>
      <c r="Q10" s="11">
        <f t="shared" si="9"/>
        <v>0.0025544025</v>
      </c>
      <c r="R10" s="11">
        <f t="shared" si="10"/>
        <v>0.000218325</v>
      </c>
      <c r="S10" s="11">
        <f t="shared" si="11"/>
        <v>0.4536138525</v>
      </c>
      <c r="T10" s="11">
        <f t="shared" si="12"/>
        <v>0</v>
      </c>
      <c r="U10" s="11">
        <f t="shared" si="13"/>
        <v>0.4536138525</v>
      </c>
      <c r="V10" s="11">
        <f t="shared" si="14"/>
        <v>0</v>
      </c>
      <c r="W10" s="100">
        <f t="shared" si="15"/>
        <v>0</v>
      </c>
      <c r="X10" s="11">
        <f t="shared" ref="X10:X14" si="18">sum(X9,V10)</f>
        <v>90276.18265</v>
      </c>
    </row>
    <row r="11">
      <c r="A11" s="97">
        <v>10.0</v>
      </c>
      <c r="B11" s="97" t="s">
        <v>52</v>
      </c>
      <c r="C11" s="99">
        <v>44874.0</v>
      </c>
      <c r="D11" s="11">
        <v>35.23</v>
      </c>
      <c r="E11" s="99"/>
      <c r="F11" s="11"/>
      <c r="G11" s="10">
        <f>IFERROR(__xludf.DUMMYFUNCTION("GOOGLEFINANCE(""NSE:""&amp;B11,""price"")"),168.98)</f>
        <v>168.98</v>
      </c>
      <c r="H11" s="97">
        <v>52.0</v>
      </c>
      <c r="I11" s="11">
        <f t="shared" si="1"/>
        <v>1831.96</v>
      </c>
      <c r="J11" s="11">
        <f t="shared" si="2"/>
        <v>1831.96</v>
      </c>
      <c r="K11" s="11">
        <f t="shared" si="3"/>
        <v>6955</v>
      </c>
      <c r="L11" s="100">
        <f t="shared" si="4"/>
        <v>3.796480272</v>
      </c>
      <c r="M11" s="11">
        <f t="shared" si="5"/>
        <v>0</v>
      </c>
      <c r="N11" s="100">
        <f t="shared" si="6"/>
        <v>0</v>
      </c>
      <c r="O11" s="11">
        <f t="shared" si="7"/>
        <v>1.83196</v>
      </c>
      <c r="P11" s="11">
        <f t="shared" si="8"/>
        <v>0.0595387</v>
      </c>
      <c r="Q11" s="11">
        <f t="shared" si="9"/>
        <v>0.010716966</v>
      </c>
      <c r="R11" s="11">
        <f t="shared" si="10"/>
        <v>0.00091598</v>
      </c>
      <c r="S11" s="11">
        <f t="shared" si="11"/>
        <v>1.903131646</v>
      </c>
      <c r="T11" s="11">
        <f t="shared" si="12"/>
        <v>0</v>
      </c>
      <c r="U11" s="11">
        <f t="shared" si="13"/>
        <v>1.903131646</v>
      </c>
      <c r="V11" s="11">
        <f t="shared" si="14"/>
        <v>0</v>
      </c>
      <c r="W11" s="100">
        <f t="shared" si="15"/>
        <v>0</v>
      </c>
      <c r="X11" s="11">
        <f t="shared" si="18"/>
        <v>90276.18265</v>
      </c>
    </row>
    <row r="12">
      <c r="A12" s="97">
        <v>11.0</v>
      </c>
      <c r="B12" s="97" t="s">
        <v>315</v>
      </c>
      <c r="C12" s="99">
        <v>44858.0</v>
      </c>
      <c r="D12" s="11">
        <v>29.23</v>
      </c>
      <c r="E12" s="99"/>
      <c r="F12" s="11"/>
      <c r="G12" s="10" t="str">
        <f>IFERROR(__xludf.DUMMYFUNCTION("GOOGLEFINANCE(""NSE:""&amp;B12,""price"")"),"#N/A")</f>
        <v>#N/A</v>
      </c>
      <c r="H12" s="97">
        <v>101.0</v>
      </c>
      <c r="I12" s="11">
        <f t="shared" si="1"/>
        <v>2952.23</v>
      </c>
      <c r="J12" s="11">
        <f t="shared" si="2"/>
        <v>2952.23</v>
      </c>
      <c r="K12" s="11" t="str">
        <f t="shared" si="3"/>
        <v>#N/A</v>
      </c>
      <c r="L12" s="100" t="str">
        <f t="shared" si="4"/>
        <v>#N/A</v>
      </c>
      <c r="M12" s="11">
        <f t="shared" si="5"/>
        <v>0</v>
      </c>
      <c r="N12" s="100">
        <f t="shared" si="6"/>
        <v>0</v>
      </c>
      <c r="O12" s="11">
        <f t="shared" si="7"/>
        <v>2.95223</v>
      </c>
      <c r="P12" s="11">
        <f t="shared" si="8"/>
        <v>0.095947475</v>
      </c>
      <c r="Q12" s="11">
        <f t="shared" si="9"/>
        <v>0.0172705455</v>
      </c>
      <c r="R12" s="11">
        <f t="shared" si="10"/>
        <v>0.001476115</v>
      </c>
      <c r="S12" s="11">
        <f t="shared" si="11"/>
        <v>3.066924136</v>
      </c>
      <c r="T12" s="11">
        <f t="shared" si="12"/>
        <v>0</v>
      </c>
      <c r="U12" s="11">
        <f t="shared" si="13"/>
        <v>3.066924136</v>
      </c>
      <c r="V12" s="11">
        <f t="shared" si="14"/>
        <v>0</v>
      </c>
      <c r="W12" s="100">
        <f t="shared" si="15"/>
        <v>0</v>
      </c>
      <c r="X12" s="11">
        <f t="shared" si="18"/>
        <v>90276.18265</v>
      </c>
    </row>
    <row r="13">
      <c r="A13" s="97">
        <v>12.0</v>
      </c>
      <c r="B13" s="97" t="s">
        <v>69</v>
      </c>
      <c r="C13" s="99">
        <v>44770.0</v>
      </c>
      <c r="D13" s="11">
        <v>98.1</v>
      </c>
      <c r="E13" s="99"/>
      <c r="F13" s="11"/>
      <c r="G13" s="10">
        <f>IFERROR(__xludf.DUMMYFUNCTION("GOOGLEFINANCE(""NSE:""&amp;B13,""price"")"),170.82)</f>
        <v>170.82</v>
      </c>
      <c r="H13" s="97">
        <v>50.0</v>
      </c>
      <c r="I13" s="11">
        <f t="shared" si="1"/>
        <v>4905</v>
      </c>
      <c r="J13" s="11">
        <f t="shared" si="2"/>
        <v>4905</v>
      </c>
      <c r="K13" s="11">
        <f t="shared" si="3"/>
        <v>3636</v>
      </c>
      <c r="L13" s="100">
        <f t="shared" si="4"/>
        <v>0.7412844037</v>
      </c>
      <c r="M13" s="11">
        <f t="shared" si="5"/>
        <v>0</v>
      </c>
      <c r="N13" s="100">
        <f t="shared" si="6"/>
        <v>0</v>
      </c>
      <c r="O13" s="11">
        <f t="shared" si="7"/>
        <v>4.905</v>
      </c>
      <c r="P13" s="11">
        <f t="shared" si="8"/>
        <v>0.1594125</v>
      </c>
      <c r="Q13" s="11">
        <f t="shared" si="9"/>
        <v>0.02869425</v>
      </c>
      <c r="R13" s="11">
        <f t="shared" si="10"/>
        <v>0.0024525</v>
      </c>
      <c r="S13" s="11">
        <f t="shared" si="11"/>
        <v>5.09555925</v>
      </c>
      <c r="T13" s="11">
        <f t="shared" si="12"/>
        <v>0</v>
      </c>
      <c r="U13" s="11">
        <f t="shared" si="13"/>
        <v>5.09555925</v>
      </c>
      <c r="V13" s="11">
        <f t="shared" si="14"/>
        <v>0</v>
      </c>
      <c r="W13" s="100">
        <f t="shared" si="15"/>
        <v>0</v>
      </c>
      <c r="X13" s="11">
        <f t="shared" si="18"/>
        <v>90276.18265</v>
      </c>
    </row>
    <row r="14">
      <c r="A14" s="97">
        <v>13.0</v>
      </c>
      <c r="B14" s="97" t="s">
        <v>69</v>
      </c>
      <c r="C14" s="99">
        <v>44858.0</v>
      </c>
      <c r="D14" s="11">
        <v>101.25</v>
      </c>
      <c r="E14" s="99"/>
      <c r="F14" s="11"/>
      <c r="G14" s="10">
        <f>IFERROR(__xludf.DUMMYFUNCTION("GOOGLEFINANCE(""NSE:""&amp;B14,""price"")"),170.82)</f>
        <v>170.82</v>
      </c>
      <c r="H14" s="97">
        <v>51.0</v>
      </c>
      <c r="I14" s="11">
        <f t="shared" si="1"/>
        <v>5163.75</v>
      </c>
      <c r="J14" s="11">
        <f t="shared" si="2"/>
        <v>5163.75</v>
      </c>
      <c r="K14" s="11">
        <f t="shared" si="3"/>
        <v>3548.07</v>
      </c>
      <c r="L14" s="100">
        <f t="shared" si="4"/>
        <v>0.6871111111</v>
      </c>
      <c r="M14" s="11">
        <f t="shared" si="5"/>
        <v>0</v>
      </c>
      <c r="N14" s="100">
        <f t="shared" si="6"/>
        <v>0</v>
      </c>
      <c r="O14" s="11">
        <f t="shared" si="7"/>
        <v>5.16375</v>
      </c>
      <c r="P14" s="11">
        <f t="shared" si="8"/>
        <v>0.167821875</v>
      </c>
      <c r="Q14" s="11">
        <f t="shared" si="9"/>
        <v>0.0302079375</v>
      </c>
      <c r="R14" s="11">
        <f t="shared" si="10"/>
        <v>0.002581875</v>
      </c>
      <c r="S14" s="11">
        <f t="shared" si="11"/>
        <v>5.364361688</v>
      </c>
      <c r="T14" s="11">
        <f t="shared" si="12"/>
        <v>0</v>
      </c>
      <c r="U14" s="11">
        <f t="shared" si="13"/>
        <v>5.364361688</v>
      </c>
      <c r="V14" s="11">
        <f t="shared" si="14"/>
        <v>0</v>
      </c>
      <c r="W14" s="100">
        <f t="shared" si="15"/>
        <v>0</v>
      </c>
      <c r="X14" s="11">
        <f t="shared" si="18"/>
        <v>90276.18265</v>
      </c>
    </row>
    <row r="15">
      <c r="A15" s="128"/>
      <c r="B15" s="129" t="s">
        <v>272</v>
      </c>
      <c r="C15" s="130"/>
      <c r="D15" s="130"/>
      <c r="E15" s="130"/>
      <c r="F15" s="130"/>
      <c r="G15" s="130"/>
      <c r="H15" s="131"/>
      <c r="I15" s="132">
        <f t="array" ref="I15">SUM(INDIRECT("I2"&amp; ":I" &amp; ROW()-1) )</f>
        <v>62278.69</v>
      </c>
      <c r="J15" s="132">
        <f t="array" ref="J15">SUM(INDIRECT("J2"&amp; ":J" &amp; ROW()-1) )</f>
        <v>78191.19</v>
      </c>
      <c r="K15" s="132" t="str">
        <f t="array" ref="K15">SUM( INDIRECT("K2"&amp; ":K" &amp; ROW()-1) )</f>
        <v>#N/A</v>
      </c>
      <c r="L15" s="133" t="str">
        <f>K15/AA2</f>
        <v>#N/A</v>
      </c>
      <c r="M15" s="132">
        <f t="array" ref="M15">SUM(INDIRECT("M2"&amp; ":M" &amp; ROW()-1) )</f>
        <v>10428.5</v>
      </c>
      <c r="N15" s="133">
        <f>M15/AA2</f>
        <v>0.1158722222</v>
      </c>
      <c r="O15" s="132">
        <f t="array" ref="O15">SUM(INDIRECT("O3"&amp; ":O" &amp; ROW()-1) )</f>
        <v>70.28229</v>
      </c>
      <c r="P15" s="132">
        <f t="array" ref="P15">SUM(INDIRECT("P3"&amp; ":P" &amp; ROW()-1) )</f>
        <v>2.284174425</v>
      </c>
      <c r="Q15" s="132">
        <f t="array" ref="Q15">SUM(INDIRECT("Q3"&amp; ":Q" &amp; ROW()-1) )</f>
        <v>0.4111513965</v>
      </c>
      <c r="R15" s="132">
        <f t="array" ref="R15">SUM(INDIRECT("R3"&amp; ":R" &amp; ROW()-1) )</f>
        <v>0.035141145</v>
      </c>
      <c r="S15" s="132">
        <f t="array" ref="S15">SUM(INDIRECT("S3"&amp; ":S" &amp; ROW()-1) )</f>
        <v>73.01275697</v>
      </c>
      <c r="T15" s="132">
        <f t="array" ref="T15">SUM(INDIRECT("T3"&amp; ":T" &amp; ROW()-1) )</f>
        <v>32</v>
      </c>
      <c r="U15" s="134">
        <f t="array" ref="U15">SUM(INDIRECT("U2"&amp; ":U" &amp; ROW()-1) )</f>
        <v>113.2289177</v>
      </c>
      <c r="V15" s="132">
        <f t="array" ref="V15">SUM(INDIRECT("V2"&amp; ":V" &amp; ROW()-1) )</f>
        <v>10374.27225</v>
      </c>
      <c r="W15" s="133">
        <f>V15/AA2</f>
        <v>0.1152696916</v>
      </c>
      <c r="X15" s="135"/>
    </row>
    <row r="16"/>
    <row r="17"/>
    <row r="18"/>
    <row r="19"/>
  </sheetData>
  <autoFilter ref="$A$1:$X$15">
    <sortState ref="A1:X15">
      <sortCondition ref="C1:C15"/>
    </sortState>
  </autoFilter>
  <mergeCells count="1">
    <mergeCell ref="B15:H15"/>
  </mergeCells>
  <conditionalFormatting sqref="K2:N15 V2:W15 AA4:AA5">
    <cfRule type="cellIs" dxfId="0" priority="1" operator="lessThan">
      <formula>0</formula>
    </cfRule>
  </conditionalFormatting>
  <conditionalFormatting sqref="K2:N15 V2:W15 AA4:AA5">
    <cfRule type="cellIs" dxfId="1" priority="2" operator="greaterThan">
      <formula>0</formula>
    </cfRule>
  </conditionalFormatting>
  <drawing r:id="rId3"/>
  <legacy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3" max="3" width="12.13"/>
    <col customWidth="1" min="4" max="5" width="6.88"/>
    <col customWidth="1" min="6" max="6" width="18.0"/>
    <col customWidth="1" min="7" max="7" width="10.88"/>
    <col customWidth="1" min="8" max="8" width="3.5"/>
    <col customWidth="1" min="14" max="15" width="12.75"/>
    <col customWidth="1" min="16" max="16" width="16.5"/>
    <col customWidth="1" min="18" max="18" width="31.38"/>
  </cols>
  <sheetData>
    <row r="1">
      <c r="A1" s="136" t="s">
        <v>314</v>
      </c>
      <c r="B1" s="136" t="s">
        <v>179</v>
      </c>
      <c r="C1" s="136" t="s">
        <v>177</v>
      </c>
      <c r="D1" s="136" t="s">
        <v>78</v>
      </c>
      <c r="E1" s="136" t="s">
        <v>75</v>
      </c>
      <c r="F1" s="136" t="s">
        <v>77</v>
      </c>
      <c r="G1" s="136" t="s">
        <v>76</v>
      </c>
      <c r="H1" s="136" t="s">
        <v>316</v>
      </c>
      <c r="I1" s="136" t="s">
        <v>80</v>
      </c>
      <c r="J1" s="136" t="s">
        <v>317</v>
      </c>
      <c r="K1" s="136" t="s">
        <v>318</v>
      </c>
      <c r="L1" s="136" t="s">
        <v>319</v>
      </c>
      <c r="M1" s="136" t="s">
        <v>320</v>
      </c>
      <c r="N1" s="136" t="s">
        <v>321</v>
      </c>
      <c r="O1" s="137"/>
      <c r="P1" s="40" t="s">
        <v>316</v>
      </c>
      <c r="Q1" s="40">
        <v>20.0</v>
      </c>
    </row>
    <row r="2">
      <c r="A2" s="97">
        <v>1.0</v>
      </c>
      <c r="B2" s="138" t="s">
        <v>322</v>
      </c>
      <c r="C2" s="139">
        <v>44201.0</v>
      </c>
      <c r="D2" s="140">
        <f>IFERROR(__xludf.DUMMYFUNCTION("GOOGLEFINANCE(""NSE:""&amp;B2,""PRICE"")"),1224.5)</f>
        <v>1224.5</v>
      </c>
      <c r="E2" s="141">
        <v>661.0</v>
      </c>
      <c r="F2" s="141">
        <v>735.1</v>
      </c>
      <c r="G2" s="142">
        <v>44347.0</v>
      </c>
      <c r="H2" s="143">
        <v>9.0</v>
      </c>
      <c r="I2" s="141">
        <f t="shared" ref="I2:I6" si="1">E2*H2</f>
        <v>5949</v>
      </c>
      <c r="J2" s="141">
        <f t="shared" ref="J2:J6" si="2">D2*H2</f>
        <v>11020.5</v>
      </c>
      <c r="K2" s="141">
        <f t="shared" ref="K2:K6" si="3">F2*H2</f>
        <v>6615.9</v>
      </c>
      <c r="L2" s="144">
        <f t="shared" ref="L2:L6" si="4">J2-I2</f>
        <v>5071.5</v>
      </c>
      <c r="M2" s="145">
        <f t="shared" ref="M2:M5" si="5">K2-I2</f>
        <v>666.9</v>
      </c>
      <c r="N2" s="146">
        <f t="shared" ref="N2:N5" si="6">(K2-I2)/K2</f>
        <v>0.1008026119</v>
      </c>
      <c r="O2" s="147">
        <v>1014.61</v>
      </c>
      <c r="P2" s="40" t="s">
        <v>75</v>
      </c>
      <c r="Q2" s="148">
        <v>945.0</v>
      </c>
    </row>
    <row r="3">
      <c r="A3" s="97">
        <v>2.0</v>
      </c>
      <c r="B3" s="138" t="s">
        <v>322</v>
      </c>
      <c r="C3" s="139">
        <v>44235.0</v>
      </c>
      <c r="D3" s="140">
        <f>IFERROR(__xludf.DUMMYFUNCTION("GOOGLEFINANCE(""NSE:""&amp;B3,""PRICE"")"),1224.5)</f>
        <v>1224.5</v>
      </c>
      <c r="E3" s="141">
        <v>742.0</v>
      </c>
      <c r="F3" s="141">
        <v>735.1</v>
      </c>
      <c r="G3" s="142">
        <v>44347.0</v>
      </c>
      <c r="H3" s="143">
        <v>9.0</v>
      </c>
      <c r="I3" s="141">
        <f t="shared" si="1"/>
        <v>6678</v>
      </c>
      <c r="J3" s="141">
        <f t="shared" si="2"/>
        <v>11020.5</v>
      </c>
      <c r="K3" s="141">
        <f t="shared" si="3"/>
        <v>6615.9</v>
      </c>
      <c r="L3" s="144">
        <f t="shared" si="4"/>
        <v>4342.5</v>
      </c>
      <c r="M3" s="145">
        <f t="shared" si="5"/>
        <v>-62.1</v>
      </c>
      <c r="N3" s="146">
        <f t="shared" si="6"/>
        <v>-0.00938647803</v>
      </c>
      <c r="O3" s="149"/>
      <c r="P3" s="40" t="s">
        <v>77</v>
      </c>
      <c r="Q3" s="148">
        <v>981.0</v>
      </c>
    </row>
    <row r="4">
      <c r="A4" s="97">
        <v>3.0</v>
      </c>
      <c r="B4" s="138" t="s">
        <v>322</v>
      </c>
      <c r="C4" s="139">
        <v>44292.0</v>
      </c>
      <c r="D4" s="140">
        <f>IFERROR(__xludf.DUMMYFUNCTION("GOOGLEFINANCE(""NSE:""&amp;B4,""PRICE"")"),1224.5)</f>
        <v>1224.5</v>
      </c>
      <c r="E4" s="141">
        <v>683.5</v>
      </c>
      <c r="F4" s="141">
        <v>735.1</v>
      </c>
      <c r="G4" s="142">
        <v>44347.0</v>
      </c>
      <c r="H4" s="143">
        <v>9.0</v>
      </c>
      <c r="I4" s="141">
        <f t="shared" si="1"/>
        <v>6151.5</v>
      </c>
      <c r="J4" s="141">
        <f t="shared" si="2"/>
        <v>11020.5</v>
      </c>
      <c r="K4" s="141">
        <f t="shared" si="3"/>
        <v>6615.9</v>
      </c>
      <c r="L4" s="144">
        <f t="shared" si="4"/>
        <v>4869</v>
      </c>
      <c r="M4" s="145">
        <f t="shared" si="5"/>
        <v>464.4</v>
      </c>
      <c r="N4" s="146">
        <f t="shared" si="6"/>
        <v>0.07019453136</v>
      </c>
      <c r="O4" s="150"/>
      <c r="P4" s="151" t="s">
        <v>81</v>
      </c>
      <c r="Q4" s="148">
        <f>Q1*(Q3+Q2)</f>
        <v>38520</v>
      </c>
    </row>
    <row r="5">
      <c r="A5" s="97">
        <v>4.0</v>
      </c>
      <c r="B5" s="138" t="s">
        <v>34</v>
      </c>
      <c r="C5" s="152">
        <v>44347.0</v>
      </c>
      <c r="D5" s="140">
        <f>IFERROR(__xludf.DUMMYFUNCTION("GOOGLEFINANCE(""NSE:""&amp;B5,""PRICE"")"),1674.8)</f>
        <v>1674.8</v>
      </c>
      <c r="E5" s="141">
        <v>945.0</v>
      </c>
      <c r="F5" s="141">
        <v>971.0</v>
      </c>
      <c r="G5" s="142">
        <v>44356.0</v>
      </c>
      <c r="H5" s="143">
        <v>20.0</v>
      </c>
      <c r="I5" s="141">
        <f t="shared" si="1"/>
        <v>18900</v>
      </c>
      <c r="J5" s="141">
        <f t="shared" si="2"/>
        <v>33496</v>
      </c>
      <c r="K5" s="141">
        <f t="shared" si="3"/>
        <v>19420</v>
      </c>
      <c r="L5" s="144">
        <f t="shared" si="4"/>
        <v>14596</v>
      </c>
      <c r="M5" s="145">
        <f t="shared" si="5"/>
        <v>520</v>
      </c>
      <c r="N5" s="146">
        <f t="shared" si="6"/>
        <v>0.02677651905</v>
      </c>
      <c r="O5" s="153"/>
      <c r="P5" s="154" t="s">
        <v>323</v>
      </c>
      <c r="Q5" s="155">
        <f>0.001*Q4</f>
        <v>38.52</v>
      </c>
      <c r="R5" s="156" t="s">
        <v>324</v>
      </c>
    </row>
    <row r="6">
      <c r="A6" s="97">
        <v>5.0</v>
      </c>
      <c r="B6" s="138"/>
      <c r="C6" s="140"/>
      <c r="D6" s="140"/>
      <c r="E6" s="141"/>
      <c r="F6" s="141"/>
      <c r="G6" s="143"/>
      <c r="H6" s="143"/>
      <c r="I6" s="141">
        <f t="shared" si="1"/>
        <v>0</v>
      </c>
      <c r="J6" s="141">
        <f t="shared" si="2"/>
        <v>0</v>
      </c>
      <c r="K6" s="141">
        <f t="shared" si="3"/>
        <v>0</v>
      </c>
      <c r="L6" s="144">
        <f t="shared" si="4"/>
        <v>0</v>
      </c>
      <c r="M6" s="145">
        <v>0.0</v>
      </c>
      <c r="N6" s="146"/>
      <c r="O6" s="153"/>
      <c r="P6" s="157" t="s">
        <v>325</v>
      </c>
      <c r="Q6" s="155">
        <f>0.0000325*Q17</f>
        <v>0</v>
      </c>
      <c r="R6" s="158" t="s">
        <v>326</v>
      </c>
    </row>
    <row r="7">
      <c r="A7" s="97">
        <v>6.0</v>
      </c>
      <c r="B7" s="16"/>
      <c r="C7" s="16"/>
      <c r="D7" s="16"/>
      <c r="E7" s="144"/>
      <c r="F7" s="144"/>
      <c r="G7" s="16"/>
      <c r="H7" s="16"/>
      <c r="I7" s="144"/>
      <c r="J7" s="144"/>
      <c r="K7" s="144"/>
      <c r="L7" s="16"/>
      <c r="M7" s="16"/>
      <c r="N7" s="146"/>
      <c r="O7" s="153"/>
      <c r="P7" s="157" t="s">
        <v>327</v>
      </c>
      <c r="Q7" s="155">
        <v>0.0</v>
      </c>
    </row>
    <row r="8">
      <c r="A8" s="97">
        <v>7.0</v>
      </c>
      <c r="B8" s="16"/>
      <c r="C8" s="16"/>
      <c r="D8" s="16"/>
      <c r="E8" s="144"/>
      <c r="F8" s="144"/>
      <c r="G8" s="16"/>
      <c r="H8" s="16"/>
      <c r="I8" s="144"/>
      <c r="J8" s="144"/>
      <c r="K8" s="144"/>
      <c r="L8" s="16"/>
      <c r="M8" s="16"/>
      <c r="N8" s="146"/>
      <c r="O8" s="153"/>
      <c r="P8" s="157" t="s">
        <v>88</v>
      </c>
      <c r="Q8" s="155">
        <f>0.18*Q6</f>
        <v>0</v>
      </c>
      <c r="R8" s="156" t="s">
        <v>328</v>
      </c>
    </row>
    <row r="9">
      <c r="A9" s="97">
        <v>8.0</v>
      </c>
      <c r="B9" s="16"/>
      <c r="C9" s="16"/>
      <c r="D9" s="16"/>
      <c r="E9" s="144"/>
      <c r="F9" s="144"/>
      <c r="G9" s="16"/>
      <c r="H9" s="16"/>
      <c r="I9" s="144"/>
      <c r="J9" s="144"/>
      <c r="K9" s="144"/>
      <c r="L9" s="16"/>
      <c r="M9" s="16"/>
      <c r="N9" s="146"/>
      <c r="O9" s="153"/>
      <c r="P9" s="157" t="s">
        <v>89</v>
      </c>
      <c r="Q9" s="155">
        <f>0.0000005*Q4</f>
        <v>0.01926</v>
      </c>
      <c r="R9" s="159" t="s">
        <v>329</v>
      </c>
    </row>
    <row r="10">
      <c r="A10" s="97">
        <v>9.0</v>
      </c>
      <c r="B10" s="16"/>
      <c r="C10" s="16"/>
      <c r="D10" s="16"/>
      <c r="E10" s="144"/>
      <c r="F10" s="144"/>
      <c r="G10" s="16"/>
      <c r="H10" s="16"/>
      <c r="I10" s="144"/>
      <c r="J10" s="144"/>
      <c r="K10" s="144"/>
      <c r="L10" s="16"/>
      <c r="M10" s="16"/>
      <c r="N10" s="146"/>
      <c r="O10" s="153"/>
      <c r="P10" s="157" t="s">
        <v>90</v>
      </c>
      <c r="Q10" s="155">
        <f>sum(Q5:Q9)</f>
        <v>38.53926</v>
      </c>
    </row>
    <row r="11">
      <c r="A11" s="97">
        <v>10.0</v>
      </c>
      <c r="B11" s="16"/>
      <c r="C11" s="16"/>
      <c r="D11" s="16"/>
      <c r="E11" s="144"/>
      <c r="F11" s="144"/>
      <c r="G11" s="16"/>
      <c r="H11" s="16"/>
      <c r="I11" s="144"/>
      <c r="J11" s="144"/>
      <c r="K11" s="144"/>
      <c r="L11" s="16"/>
      <c r="M11" s="16"/>
      <c r="N11" s="146"/>
      <c r="O11" s="153"/>
      <c r="P11" s="151" t="s">
        <v>91</v>
      </c>
      <c r="Q11" s="155">
        <v>15.94</v>
      </c>
    </row>
    <row r="12">
      <c r="A12" s="97">
        <v>11.0</v>
      </c>
      <c r="B12" s="16"/>
      <c r="C12" s="16"/>
      <c r="D12" s="16"/>
      <c r="E12" s="144"/>
      <c r="F12" s="144"/>
      <c r="G12" s="16"/>
      <c r="H12" s="16"/>
      <c r="I12" s="144"/>
      <c r="J12" s="144"/>
      <c r="K12" s="144"/>
      <c r="L12" s="16"/>
      <c r="M12" s="16"/>
      <c r="N12" s="146"/>
      <c r="O12" s="153"/>
      <c r="P12" s="40" t="s">
        <v>92</v>
      </c>
      <c r="Q12" s="160">
        <f>sum(Q10:Q11)</f>
        <v>54.47926</v>
      </c>
    </row>
    <row r="13">
      <c r="A13" s="97">
        <v>12.0</v>
      </c>
      <c r="B13" s="16"/>
      <c r="C13" s="16"/>
      <c r="D13" s="16"/>
      <c r="E13" s="144"/>
      <c r="F13" s="144"/>
      <c r="G13" s="16"/>
      <c r="H13" s="16"/>
      <c r="I13" s="144"/>
      <c r="J13" s="144"/>
      <c r="K13" s="144"/>
      <c r="L13" s="16"/>
      <c r="M13" s="16"/>
      <c r="N13" s="146"/>
      <c r="O13" s="153"/>
      <c r="P13" s="161" t="s">
        <v>330</v>
      </c>
      <c r="Q13" s="162">
        <f>(Q3-Q2)*Q1</f>
        <v>720</v>
      </c>
    </row>
    <row r="14">
      <c r="A14" s="16"/>
      <c r="B14" s="16"/>
      <c r="C14" s="16"/>
      <c r="D14" s="16"/>
      <c r="E14" s="144"/>
      <c r="F14" s="144"/>
      <c r="G14" s="16"/>
      <c r="H14" s="16"/>
      <c r="I14" s="144"/>
      <c r="J14" s="144"/>
      <c r="K14" s="144"/>
      <c r="L14" s="16"/>
      <c r="M14" s="16"/>
      <c r="N14" s="146"/>
      <c r="O14" s="153"/>
      <c r="P14" s="161" t="s">
        <v>100</v>
      </c>
      <c r="Q14" s="162">
        <f>((Q3-Q2)*Q1)-Q12</f>
        <v>665.52074</v>
      </c>
    </row>
    <row r="15">
      <c r="A15" s="163"/>
      <c r="B15" s="163"/>
      <c r="C15" s="163"/>
      <c r="D15" s="163"/>
      <c r="E15" s="164"/>
      <c r="F15" s="164"/>
      <c r="G15" s="163"/>
      <c r="H15" s="163"/>
      <c r="I15" s="165">
        <f t="shared" ref="I15:L15" si="7">SUM(I2:I14)</f>
        <v>37678.5</v>
      </c>
      <c r="J15" s="165">
        <f t="shared" si="7"/>
        <v>66557.5</v>
      </c>
      <c r="K15" s="165">
        <f t="shared" si="7"/>
        <v>39267.7</v>
      </c>
      <c r="L15" s="165">
        <f t="shared" si="7"/>
        <v>28879</v>
      </c>
      <c r="M15" s="165">
        <f>sum(M2:M14)</f>
        <v>1589.2</v>
      </c>
      <c r="N15" s="166"/>
      <c r="O15" s="167"/>
    </row>
    <row r="16">
      <c r="F16" s="168"/>
      <c r="I16" s="168"/>
      <c r="J16" s="168"/>
      <c r="K16" s="168"/>
    </row>
    <row r="17">
      <c r="F17" s="168"/>
      <c r="I17" s="168"/>
      <c r="J17" s="168"/>
      <c r="K17" s="168"/>
    </row>
    <row r="18">
      <c r="A18" s="136" t="s">
        <v>125</v>
      </c>
      <c r="B18" s="136" t="s">
        <v>177</v>
      </c>
      <c r="C18" s="136" t="s">
        <v>147</v>
      </c>
      <c r="D18" s="136" t="s">
        <v>331</v>
      </c>
      <c r="E18" s="136" t="s">
        <v>332</v>
      </c>
      <c r="F18" s="136" t="s">
        <v>272</v>
      </c>
      <c r="I18" s="168"/>
      <c r="J18" s="168"/>
      <c r="K18" s="168"/>
    </row>
    <row r="19">
      <c r="A19" s="97">
        <v>1.0</v>
      </c>
      <c r="B19" s="169">
        <v>44197.0</v>
      </c>
      <c r="C19" s="145">
        <v>2000.0</v>
      </c>
      <c r="D19" s="145">
        <v>2000.0</v>
      </c>
      <c r="E19" s="145">
        <v>2000.0</v>
      </c>
      <c r="F19" s="144">
        <f t="shared" ref="F19:F30" si="8">sum(C19:E19)</f>
        <v>6000</v>
      </c>
      <c r="G19" s="168"/>
      <c r="H19" s="168"/>
      <c r="I19" s="168"/>
      <c r="J19" s="168"/>
      <c r="K19" s="168"/>
    </row>
    <row r="20">
      <c r="A20" s="97">
        <v>2.0</v>
      </c>
      <c r="B20" s="169">
        <v>44235.0</v>
      </c>
      <c r="C20" s="145">
        <v>3218.0</v>
      </c>
      <c r="D20" s="145">
        <v>1000.0</v>
      </c>
      <c r="E20" s="145">
        <v>2218.0</v>
      </c>
      <c r="F20" s="144">
        <f t="shared" si="8"/>
        <v>6436</v>
      </c>
      <c r="G20" s="168"/>
      <c r="H20" s="168"/>
      <c r="I20" s="168"/>
      <c r="J20" s="168"/>
      <c r="K20" s="168"/>
    </row>
    <row r="21">
      <c r="A21" s="97">
        <v>3.0</v>
      </c>
      <c r="B21" s="169">
        <v>44292.0</v>
      </c>
      <c r="C21" s="145">
        <v>4101.5</v>
      </c>
      <c r="D21" s="145">
        <v>2050.0</v>
      </c>
      <c r="E21" s="145">
        <v>0.0</v>
      </c>
      <c r="F21" s="144">
        <f t="shared" si="8"/>
        <v>6151.5</v>
      </c>
      <c r="G21" s="168"/>
      <c r="H21" s="168"/>
      <c r="I21" s="168"/>
      <c r="J21" s="168"/>
      <c r="K21" s="168"/>
    </row>
    <row r="22">
      <c r="A22" s="97">
        <v>4.0</v>
      </c>
      <c r="B22" s="16"/>
      <c r="C22" s="144"/>
      <c r="D22" s="144"/>
      <c r="E22" s="144"/>
      <c r="F22" s="144">
        <f t="shared" si="8"/>
        <v>0</v>
      </c>
      <c r="G22" s="168"/>
      <c r="H22" s="168"/>
      <c r="I22" s="168"/>
      <c r="J22" s="168"/>
      <c r="K22" s="168"/>
    </row>
    <row r="23">
      <c r="A23" s="97">
        <v>5.0</v>
      </c>
      <c r="B23" s="16"/>
      <c r="C23" s="144"/>
      <c r="D23" s="144"/>
      <c r="E23" s="144"/>
      <c r="F23" s="144">
        <f t="shared" si="8"/>
        <v>0</v>
      </c>
      <c r="G23" s="168"/>
      <c r="H23" s="168"/>
      <c r="I23" s="168"/>
      <c r="J23" s="168"/>
      <c r="K23" s="168"/>
    </row>
    <row r="24">
      <c r="A24" s="97">
        <v>6.0</v>
      </c>
      <c r="B24" s="16"/>
      <c r="C24" s="144"/>
      <c r="D24" s="144"/>
      <c r="E24" s="144"/>
      <c r="F24" s="144">
        <f t="shared" si="8"/>
        <v>0</v>
      </c>
      <c r="G24" s="168"/>
      <c r="H24" s="168"/>
      <c r="I24" s="168"/>
      <c r="J24" s="168"/>
      <c r="K24" s="168"/>
    </row>
    <row r="25">
      <c r="A25" s="97">
        <v>7.0</v>
      </c>
      <c r="B25" s="16"/>
      <c r="C25" s="144"/>
      <c r="D25" s="144"/>
      <c r="E25" s="144"/>
      <c r="F25" s="144">
        <f t="shared" si="8"/>
        <v>0</v>
      </c>
      <c r="G25" s="168"/>
      <c r="H25" s="168"/>
      <c r="I25" s="168"/>
      <c r="J25" s="168"/>
      <c r="K25" s="168"/>
    </row>
    <row r="26">
      <c r="A26" s="97">
        <v>8.0</v>
      </c>
      <c r="B26" s="16"/>
      <c r="C26" s="144"/>
      <c r="D26" s="144"/>
      <c r="E26" s="144"/>
      <c r="F26" s="144">
        <f t="shared" si="8"/>
        <v>0</v>
      </c>
      <c r="G26" s="168"/>
      <c r="H26" s="168"/>
      <c r="I26" s="168"/>
      <c r="J26" s="168"/>
      <c r="K26" s="168"/>
    </row>
    <row r="27">
      <c r="A27" s="97">
        <v>9.0</v>
      </c>
      <c r="B27" s="16"/>
      <c r="C27" s="144"/>
      <c r="D27" s="144"/>
      <c r="E27" s="144"/>
      <c r="F27" s="144">
        <f t="shared" si="8"/>
        <v>0</v>
      </c>
      <c r="G27" s="168"/>
      <c r="H27" s="168"/>
      <c r="I27" s="168"/>
      <c r="J27" s="168"/>
      <c r="K27" s="168"/>
    </row>
    <row r="28">
      <c r="A28" s="97">
        <v>10.0</v>
      </c>
      <c r="B28" s="16"/>
      <c r="C28" s="144"/>
      <c r="D28" s="144"/>
      <c r="E28" s="144"/>
      <c r="F28" s="144">
        <f t="shared" si="8"/>
        <v>0</v>
      </c>
      <c r="G28" s="168"/>
      <c r="H28" s="168"/>
      <c r="I28" s="168"/>
      <c r="J28" s="168"/>
      <c r="K28" s="168"/>
    </row>
    <row r="29">
      <c r="A29" s="97">
        <v>11.0</v>
      </c>
      <c r="B29" s="16"/>
      <c r="C29" s="144"/>
      <c r="D29" s="144"/>
      <c r="E29" s="144"/>
      <c r="F29" s="144">
        <f t="shared" si="8"/>
        <v>0</v>
      </c>
      <c r="G29" s="168"/>
      <c r="H29" s="168"/>
      <c r="I29" s="168"/>
      <c r="J29" s="168"/>
      <c r="K29" s="168"/>
    </row>
    <row r="30">
      <c r="A30" s="97">
        <v>12.0</v>
      </c>
      <c r="B30" s="16"/>
      <c r="C30" s="144"/>
      <c r="D30" s="144"/>
      <c r="E30" s="144"/>
      <c r="F30" s="144">
        <f t="shared" si="8"/>
        <v>0</v>
      </c>
      <c r="G30" s="168"/>
      <c r="H30" s="168"/>
      <c r="I30" s="168"/>
      <c r="J30" s="168"/>
      <c r="K30" s="168"/>
    </row>
    <row r="31">
      <c r="C31" s="168"/>
      <c r="D31" s="168"/>
      <c r="E31" s="170" t="s">
        <v>272</v>
      </c>
      <c r="F31" s="171">
        <f>sum(F19:F30)</f>
        <v>18587.5</v>
      </c>
      <c r="G31" s="168"/>
      <c r="H31" s="168"/>
      <c r="I31" s="168"/>
      <c r="J31" s="168"/>
      <c r="K31" s="168"/>
    </row>
    <row r="32">
      <c r="C32" s="168"/>
      <c r="D32" s="168"/>
      <c r="E32" s="168"/>
      <c r="F32" s="168"/>
      <c r="G32" s="168"/>
      <c r="H32" s="168"/>
      <c r="I32" s="168"/>
      <c r="J32" s="168"/>
      <c r="K32" s="168"/>
    </row>
  </sheetData>
  <mergeCells count="1">
    <mergeCell ref="O2:O4"/>
  </mergeCells>
  <conditionalFormatting sqref="Q13:Q14">
    <cfRule type="cellIs" dxfId="12" priority="1" operator="lessThan">
      <formula>0</formula>
    </cfRule>
  </conditionalFormatting>
  <conditionalFormatting sqref="Q13:Q14">
    <cfRule type="cellIs" dxfId="13" priority="2" operator="greaterThan">
      <formula>0</formula>
    </cfRule>
  </conditionalFormatting>
  <conditionalFormatting sqref="L2:O14">
    <cfRule type="cellIs" dxfId="13" priority="3" operator="greaterThan">
      <formula>0</formula>
    </cfRule>
  </conditionalFormatting>
  <conditionalFormatting sqref="L2:O14">
    <cfRule type="cellIs" dxfId="14" priority="4" operator="lessThan">
      <formula>0</formula>
    </cfRule>
  </conditionalFormatting>
  <drawing r:id="rId1"/>
</worksheet>
</file>